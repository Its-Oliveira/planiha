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48.253.8\Obras2025\Obras\Convenios\Federal\contrucao_nova_ubs_viladirce\"/>
    </mc:Choice>
  </mc:AlternateContent>
  <xr:revisionPtr revIDLastSave="0" documentId="13_ncr:1_{1781131F-6948-4EEC-AE22-C55CD88D5A26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Orçamento Sintético" sheetId="1" r:id="rId1"/>
  </sheets>
  <definedNames>
    <definedName name="_xlnm.Print_Area" localSheetId="0">'Orçamento Sintético'!$A$1:$BB$518</definedName>
    <definedName name="_xlnm.Print_Titles" localSheetId="0">'Orçamento Sintético'!$2:$15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2" i="1" l="1"/>
  <c r="J18" i="1"/>
  <c r="N106" i="1"/>
  <c r="BA507" i="1" l="1"/>
  <c r="BA481" i="1"/>
  <c r="BA479" i="1"/>
  <c r="BA477" i="1"/>
  <c r="BA475" i="1"/>
  <c r="BA474" i="1"/>
  <c r="BA465" i="1"/>
  <c r="BA466" i="1"/>
  <c r="BA467" i="1"/>
  <c r="BA468" i="1"/>
  <c r="BA469" i="1"/>
  <c r="BA470" i="1"/>
  <c r="BA471" i="1"/>
  <c r="BA464" i="1"/>
  <c r="BA457" i="1"/>
  <c r="BA458" i="1"/>
  <c r="BA459" i="1"/>
  <c r="BA460" i="1"/>
  <c r="BA461" i="1"/>
  <c r="BA462" i="1"/>
  <c r="BA456" i="1"/>
  <c r="BA452" i="1"/>
  <c r="BA453" i="1"/>
  <c r="BA454" i="1"/>
  <c r="BA451" i="1"/>
  <c r="BA439" i="1"/>
  <c r="BA440" i="1"/>
  <c r="BA441" i="1"/>
  <c r="BA442" i="1"/>
  <c r="BA443" i="1"/>
  <c r="BA444" i="1"/>
  <c r="BA445" i="1"/>
  <c r="BA446" i="1"/>
  <c r="BA447" i="1"/>
  <c r="BA448" i="1"/>
  <c r="BB448" i="1" s="1"/>
  <c r="BA449" i="1"/>
  <c r="BA438" i="1"/>
  <c r="BA426" i="1"/>
  <c r="BA427" i="1"/>
  <c r="BA428" i="1"/>
  <c r="BA429" i="1"/>
  <c r="BA430" i="1"/>
  <c r="BA431" i="1"/>
  <c r="BA432" i="1"/>
  <c r="BA433" i="1"/>
  <c r="BB433" i="1" s="1"/>
  <c r="BA434" i="1"/>
  <c r="BB434" i="1" s="1"/>
  <c r="BA435" i="1"/>
  <c r="BA425" i="1"/>
  <c r="BA420" i="1"/>
  <c r="BA421" i="1"/>
  <c r="BA422" i="1"/>
  <c r="BA423" i="1"/>
  <c r="BA419" i="1"/>
  <c r="BA334" i="1"/>
  <c r="BA335" i="1"/>
  <c r="BB335" i="1" s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B347" i="1" s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B359" i="1" s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B371" i="1" s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B383" i="1" s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B395" i="1" s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B407" i="1" s="1"/>
  <c r="BA408" i="1"/>
  <c r="BA409" i="1"/>
  <c r="BA410" i="1"/>
  <c r="BA411" i="1"/>
  <c r="BA412" i="1"/>
  <c r="BA413" i="1"/>
  <c r="BA414" i="1"/>
  <c r="BA415" i="1"/>
  <c r="BA416" i="1"/>
  <c r="BA417" i="1"/>
  <c r="BA333" i="1"/>
  <c r="BA320" i="1"/>
  <c r="BA321" i="1"/>
  <c r="BA322" i="1"/>
  <c r="BA323" i="1"/>
  <c r="BA324" i="1"/>
  <c r="BA325" i="1"/>
  <c r="BA326" i="1"/>
  <c r="BA327" i="1"/>
  <c r="BA328" i="1"/>
  <c r="BA329" i="1"/>
  <c r="BA330" i="1"/>
  <c r="BB330" i="1" s="1"/>
  <c r="BA319" i="1"/>
  <c r="BA298" i="1"/>
  <c r="BA299" i="1"/>
  <c r="BA300" i="1"/>
  <c r="BA301" i="1"/>
  <c r="BA302" i="1"/>
  <c r="BA303" i="1"/>
  <c r="BA304" i="1"/>
  <c r="BA305" i="1"/>
  <c r="BA306" i="1"/>
  <c r="BA307" i="1"/>
  <c r="BA308" i="1"/>
  <c r="BB308" i="1" s="1"/>
  <c r="BA309" i="1"/>
  <c r="BA310" i="1"/>
  <c r="BA311" i="1"/>
  <c r="BA312" i="1"/>
  <c r="BA313" i="1"/>
  <c r="BA314" i="1"/>
  <c r="BA315" i="1"/>
  <c r="BA316" i="1"/>
  <c r="BA317" i="1"/>
  <c r="BA297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B274" i="1" s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B286" i="1" s="1"/>
  <c r="BA287" i="1"/>
  <c r="BA288" i="1"/>
  <c r="BA289" i="1"/>
  <c r="BA290" i="1"/>
  <c r="BA291" i="1"/>
  <c r="BA292" i="1"/>
  <c r="BA293" i="1"/>
  <c r="BA294" i="1"/>
  <c r="BA295" i="1"/>
  <c r="BA26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B234" i="1" s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22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05" i="1"/>
  <c r="BA198" i="1"/>
  <c r="BA199" i="1"/>
  <c r="BA200" i="1"/>
  <c r="BA201" i="1"/>
  <c r="BA202" i="1"/>
  <c r="BA203" i="1"/>
  <c r="BA197" i="1"/>
  <c r="BA195" i="1"/>
  <c r="BA192" i="1"/>
  <c r="BA190" i="1"/>
  <c r="BA189" i="1"/>
  <c r="BA187" i="1"/>
  <c r="BA186" i="1"/>
  <c r="BA181" i="1"/>
  <c r="BA182" i="1"/>
  <c r="BA183" i="1"/>
  <c r="BA184" i="1"/>
  <c r="BA180" i="1"/>
  <c r="BA177" i="1"/>
  <c r="BA174" i="1"/>
  <c r="BA171" i="1"/>
  <c r="BA169" i="1"/>
  <c r="BA168" i="1"/>
  <c r="BA166" i="1"/>
  <c r="BA165" i="1"/>
  <c r="BB156" i="1"/>
  <c r="AZ156" i="1"/>
  <c r="BA162" i="1"/>
  <c r="BA158" i="1"/>
  <c r="BA159" i="1"/>
  <c r="BB159" i="1" s="1"/>
  <c r="BA160" i="1"/>
  <c r="BA157" i="1"/>
  <c r="BA149" i="1"/>
  <c r="BA150" i="1"/>
  <c r="BB150" i="1" s="1"/>
  <c r="BA151" i="1"/>
  <c r="BB151" i="1" s="1"/>
  <c r="BA152" i="1"/>
  <c r="BA153" i="1"/>
  <c r="BA154" i="1"/>
  <c r="BB154" i="1" s="1"/>
  <c r="BA148" i="1"/>
  <c r="BA146" i="1"/>
  <c r="BA142" i="1"/>
  <c r="BA143" i="1"/>
  <c r="BA141" i="1"/>
  <c r="BA135" i="1"/>
  <c r="BA136" i="1"/>
  <c r="BB136" i="1" s="1"/>
  <c r="BA137" i="1"/>
  <c r="BA138" i="1"/>
  <c r="BA139" i="1"/>
  <c r="BB139" i="1" s="1"/>
  <c r="BA134" i="1"/>
  <c r="BA128" i="1"/>
  <c r="BA129" i="1"/>
  <c r="BA130" i="1"/>
  <c r="BA131" i="1"/>
  <c r="BA127" i="1"/>
  <c r="BA123" i="1"/>
  <c r="BB123" i="1"/>
  <c r="BA122" i="1"/>
  <c r="BA120" i="1"/>
  <c r="BA119" i="1"/>
  <c r="BA117" i="1"/>
  <c r="BA116" i="1"/>
  <c r="BA113" i="1"/>
  <c r="BA114" i="1"/>
  <c r="BA112" i="1"/>
  <c r="BA108" i="1"/>
  <c r="BA109" i="1"/>
  <c r="BA107" i="1"/>
  <c r="BA103" i="1"/>
  <c r="BA104" i="1"/>
  <c r="BA105" i="1"/>
  <c r="BA102" i="1"/>
  <c r="BA95" i="1"/>
  <c r="BA96" i="1"/>
  <c r="BB96" i="1" s="1"/>
  <c r="BA97" i="1"/>
  <c r="BB97" i="1" s="1"/>
  <c r="BA98" i="1"/>
  <c r="BA99" i="1"/>
  <c r="BA100" i="1"/>
  <c r="BB100" i="1" s="1"/>
  <c r="BA94" i="1"/>
  <c r="BA89" i="1"/>
  <c r="BA90" i="1"/>
  <c r="BA91" i="1"/>
  <c r="BA88" i="1"/>
  <c r="BA79" i="1"/>
  <c r="BA80" i="1"/>
  <c r="BA81" i="1"/>
  <c r="BA82" i="1"/>
  <c r="BA83" i="1"/>
  <c r="BA84" i="1"/>
  <c r="BA85" i="1"/>
  <c r="BA86" i="1"/>
  <c r="BA78" i="1"/>
  <c r="BB78" i="1" s="1"/>
  <c r="BA69" i="1"/>
  <c r="BA70" i="1"/>
  <c r="BA71" i="1"/>
  <c r="BB71" i="1" s="1"/>
  <c r="BA72" i="1"/>
  <c r="BB72" i="1" s="1"/>
  <c r="BA73" i="1"/>
  <c r="BB73" i="1" s="1"/>
  <c r="BA74" i="1"/>
  <c r="BA75" i="1"/>
  <c r="BA76" i="1"/>
  <c r="BA68" i="1"/>
  <c r="BA62" i="1"/>
  <c r="BA63" i="1"/>
  <c r="BA64" i="1"/>
  <c r="BB64" i="1" s="1"/>
  <c r="BA65" i="1"/>
  <c r="BB65" i="1" s="1"/>
  <c r="BA66" i="1"/>
  <c r="BA61" i="1"/>
  <c r="BB61" i="1" s="1"/>
  <c r="BA48" i="1"/>
  <c r="BA49" i="1"/>
  <c r="BA50" i="1"/>
  <c r="BA51" i="1"/>
  <c r="BA52" i="1"/>
  <c r="BA53" i="1"/>
  <c r="BA54" i="1"/>
  <c r="BA55" i="1"/>
  <c r="BA56" i="1"/>
  <c r="BA57" i="1"/>
  <c r="BA58" i="1"/>
  <c r="BA47" i="1"/>
  <c r="BA37" i="1"/>
  <c r="BA38" i="1"/>
  <c r="BA39" i="1"/>
  <c r="BA44" i="1"/>
  <c r="BA45" i="1"/>
  <c r="BA36" i="1"/>
  <c r="BA22" i="1"/>
  <c r="BB22" i="1" s="1"/>
  <c r="BA23" i="1"/>
  <c r="BA24" i="1"/>
  <c r="BA25" i="1"/>
  <c r="AY507" i="1"/>
  <c r="AY506" i="1"/>
  <c r="AY504" i="1"/>
  <c r="BA504" i="1" s="1"/>
  <c r="BB504" i="1" s="1"/>
  <c r="AY503" i="1"/>
  <c r="AZ503" i="1" s="1"/>
  <c r="AY493" i="1"/>
  <c r="BA493" i="1" s="1"/>
  <c r="BB493" i="1" s="1"/>
  <c r="AY494" i="1"/>
  <c r="BA494" i="1" s="1"/>
  <c r="BB494" i="1" s="1"/>
  <c r="AY495" i="1"/>
  <c r="BA495" i="1" s="1"/>
  <c r="BB495" i="1" s="1"/>
  <c r="AY496" i="1"/>
  <c r="AZ496" i="1" s="1"/>
  <c r="AY497" i="1"/>
  <c r="AZ497" i="1" s="1"/>
  <c r="AY498" i="1"/>
  <c r="BA498" i="1" s="1"/>
  <c r="BB498" i="1" s="1"/>
  <c r="AY499" i="1"/>
  <c r="AZ499" i="1" s="1"/>
  <c r="AY500" i="1"/>
  <c r="BA500" i="1" s="1"/>
  <c r="BB500" i="1" s="1"/>
  <c r="AY501" i="1"/>
  <c r="AY492" i="1"/>
  <c r="BA492" i="1" s="1"/>
  <c r="BB492" i="1" s="1"/>
  <c r="AY485" i="1"/>
  <c r="BA485" i="1" s="1"/>
  <c r="BB485" i="1" s="1"/>
  <c r="AY486" i="1"/>
  <c r="AZ486" i="1" s="1"/>
  <c r="AY487" i="1"/>
  <c r="AZ487" i="1" s="1"/>
  <c r="AY488" i="1"/>
  <c r="BA488" i="1" s="1"/>
  <c r="BB488" i="1" s="1"/>
  <c r="AY489" i="1"/>
  <c r="BA489" i="1" s="1"/>
  <c r="BB489" i="1" s="1"/>
  <c r="AY490" i="1"/>
  <c r="BA490" i="1" s="1"/>
  <c r="BB490" i="1" s="1"/>
  <c r="AY484" i="1"/>
  <c r="BA484" i="1" s="1"/>
  <c r="BB484" i="1" s="1"/>
  <c r="AY481" i="1"/>
  <c r="AY479" i="1"/>
  <c r="AY477" i="1"/>
  <c r="AY475" i="1"/>
  <c r="AY474" i="1"/>
  <c r="AY465" i="1"/>
  <c r="AY466" i="1"/>
  <c r="AY467" i="1"/>
  <c r="AZ467" i="1" s="1"/>
  <c r="AY468" i="1"/>
  <c r="AZ468" i="1" s="1"/>
  <c r="AY469" i="1"/>
  <c r="AY470" i="1"/>
  <c r="AZ470" i="1" s="1"/>
  <c r="AY471" i="1"/>
  <c r="AY464" i="1"/>
  <c r="AY457" i="1"/>
  <c r="AY458" i="1"/>
  <c r="AY459" i="1"/>
  <c r="AY460" i="1"/>
  <c r="AY461" i="1"/>
  <c r="AY462" i="1"/>
  <c r="AY456" i="1"/>
  <c r="AY452" i="1"/>
  <c r="AY453" i="1"/>
  <c r="AY454" i="1"/>
  <c r="AY451" i="1"/>
  <c r="AY439" i="1"/>
  <c r="AY440" i="1"/>
  <c r="AY441" i="1"/>
  <c r="AY442" i="1"/>
  <c r="AY443" i="1"/>
  <c r="AY444" i="1"/>
  <c r="AY445" i="1"/>
  <c r="AY446" i="1"/>
  <c r="AY447" i="1"/>
  <c r="AY448" i="1"/>
  <c r="AY449" i="1"/>
  <c r="AY438" i="1"/>
  <c r="AY426" i="1"/>
  <c r="AY427" i="1"/>
  <c r="AY428" i="1"/>
  <c r="AY429" i="1"/>
  <c r="AY430" i="1"/>
  <c r="AY431" i="1"/>
  <c r="AZ431" i="1" s="1"/>
  <c r="AY432" i="1"/>
  <c r="AY433" i="1"/>
  <c r="AZ433" i="1" s="1"/>
  <c r="AY434" i="1"/>
  <c r="AY435" i="1"/>
  <c r="AY425" i="1"/>
  <c r="AY420" i="1"/>
  <c r="AY421" i="1"/>
  <c r="AY422" i="1"/>
  <c r="AY423" i="1"/>
  <c r="AY419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Z345" i="1" s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Z357" i="1" s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Z369" i="1" s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Z381" i="1" s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Z393" i="1" s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Z405" i="1" s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Z417" i="1" s="1"/>
  <c r="AY333" i="1"/>
  <c r="AY320" i="1"/>
  <c r="AY321" i="1"/>
  <c r="AZ321" i="1" s="1"/>
  <c r="AY322" i="1"/>
  <c r="AY323" i="1"/>
  <c r="AY324" i="1"/>
  <c r="AY325" i="1"/>
  <c r="AY326" i="1"/>
  <c r="AY327" i="1"/>
  <c r="AZ327" i="1" s="1"/>
  <c r="AY328" i="1"/>
  <c r="AY329" i="1"/>
  <c r="AY330" i="1"/>
  <c r="AY319" i="1"/>
  <c r="AY298" i="1"/>
  <c r="AY299" i="1"/>
  <c r="AZ299" i="1" s="1"/>
  <c r="AY300" i="1"/>
  <c r="AY301" i="1"/>
  <c r="AZ301" i="1" s="1"/>
  <c r="AY302" i="1"/>
  <c r="AY303" i="1"/>
  <c r="AY304" i="1"/>
  <c r="AY305" i="1"/>
  <c r="AZ305" i="1" s="1"/>
  <c r="AY306" i="1"/>
  <c r="AY307" i="1"/>
  <c r="AZ307" i="1" s="1"/>
  <c r="AY308" i="1"/>
  <c r="AY309" i="1"/>
  <c r="AY310" i="1"/>
  <c r="AY311" i="1"/>
  <c r="AZ311" i="1" s="1"/>
  <c r="AY312" i="1"/>
  <c r="AY313" i="1"/>
  <c r="AZ313" i="1" s="1"/>
  <c r="AY314" i="1"/>
  <c r="AY315" i="1"/>
  <c r="AY316" i="1"/>
  <c r="AY317" i="1"/>
  <c r="AZ317" i="1" s="1"/>
  <c r="AY297" i="1"/>
  <c r="AY263" i="1"/>
  <c r="AY264" i="1"/>
  <c r="AY265" i="1"/>
  <c r="AY266" i="1"/>
  <c r="AY267" i="1"/>
  <c r="AY268" i="1"/>
  <c r="AY269" i="1"/>
  <c r="AY270" i="1"/>
  <c r="AY271" i="1"/>
  <c r="AY272" i="1"/>
  <c r="AY273" i="1"/>
  <c r="AZ273" i="1" s="1"/>
  <c r="AY274" i="1"/>
  <c r="AZ274" i="1" s="1"/>
  <c r="AY275" i="1"/>
  <c r="AY276" i="1"/>
  <c r="AY277" i="1"/>
  <c r="AY278" i="1"/>
  <c r="AY279" i="1"/>
  <c r="AY280" i="1"/>
  <c r="AY281" i="1"/>
  <c r="AY282" i="1"/>
  <c r="AY283" i="1"/>
  <c r="AY284" i="1"/>
  <c r="AY285" i="1"/>
  <c r="AZ285" i="1" s="1"/>
  <c r="AY286" i="1"/>
  <c r="AZ286" i="1" s="1"/>
  <c r="AY287" i="1"/>
  <c r="AY288" i="1"/>
  <c r="AY289" i="1"/>
  <c r="AY290" i="1"/>
  <c r="AY291" i="1"/>
  <c r="AY292" i="1"/>
  <c r="AY293" i="1"/>
  <c r="AY294" i="1"/>
  <c r="AY295" i="1"/>
  <c r="AY26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Z234" i="1" s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Z246" i="1" s="1"/>
  <c r="AY247" i="1"/>
  <c r="AY248" i="1"/>
  <c r="AY249" i="1"/>
  <c r="AZ249" i="1" s="1"/>
  <c r="AY250" i="1"/>
  <c r="AZ250" i="1" s="1"/>
  <c r="AY251" i="1"/>
  <c r="AY252" i="1"/>
  <c r="AZ252" i="1" s="1"/>
  <c r="AY253" i="1"/>
  <c r="AY254" i="1"/>
  <c r="AY255" i="1"/>
  <c r="AY256" i="1"/>
  <c r="AZ256" i="1" s="1"/>
  <c r="AY257" i="1"/>
  <c r="AY258" i="1"/>
  <c r="AZ258" i="1" s="1"/>
  <c r="AY259" i="1"/>
  <c r="AY260" i="1"/>
  <c r="AY222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05" i="1"/>
  <c r="AY198" i="1"/>
  <c r="AY199" i="1"/>
  <c r="AZ199" i="1" s="1"/>
  <c r="AY200" i="1"/>
  <c r="AZ200" i="1" s="1"/>
  <c r="AY201" i="1"/>
  <c r="AY202" i="1"/>
  <c r="AY203" i="1"/>
  <c r="AY197" i="1"/>
  <c r="AY195" i="1"/>
  <c r="AY192" i="1"/>
  <c r="AY190" i="1"/>
  <c r="AY189" i="1"/>
  <c r="AY187" i="1"/>
  <c r="AY186" i="1"/>
  <c r="AY181" i="1"/>
  <c r="AY182" i="1"/>
  <c r="AY183" i="1"/>
  <c r="AY184" i="1"/>
  <c r="AY180" i="1"/>
  <c r="AY177" i="1"/>
  <c r="AY174" i="1"/>
  <c r="AY171" i="1"/>
  <c r="AY169" i="1"/>
  <c r="AY168" i="1"/>
  <c r="AY166" i="1"/>
  <c r="AY165" i="1"/>
  <c r="AY162" i="1"/>
  <c r="AY158" i="1"/>
  <c r="AY159" i="1"/>
  <c r="AY160" i="1"/>
  <c r="AY157" i="1"/>
  <c r="AY149" i="1"/>
  <c r="AY150" i="1"/>
  <c r="AY151" i="1"/>
  <c r="AZ151" i="1" s="1"/>
  <c r="AY152" i="1"/>
  <c r="AZ152" i="1" s="1"/>
  <c r="AY153" i="1"/>
  <c r="AY154" i="1"/>
  <c r="AY148" i="1"/>
  <c r="AY146" i="1"/>
  <c r="AY142" i="1"/>
  <c r="AY143" i="1"/>
  <c r="AY141" i="1"/>
  <c r="AY135" i="1"/>
  <c r="AY136" i="1"/>
  <c r="AZ136" i="1" s="1"/>
  <c r="AY137" i="1"/>
  <c r="AZ137" i="1" s="1"/>
  <c r="AY138" i="1"/>
  <c r="AY139" i="1"/>
  <c r="AY134" i="1"/>
  <c r="AY128" i="1"/>
  <c r="AY129" i="1"/>
  <c r="AZ129" i="1" s="1"/>
  <c r="AY130" i="1"/>
  <c r="AY131" i="1"/>
  <c r="AY127" i="1"/>
  <c r="AY123" i="1"/>
  <c r="AY122" i="1"/>
  <c r="AY120" i="1"/>
  <c r="AY119" i="1"/>
  <c r="AY117" i="1"/>
  <c r="AY116" i="1"/>
  <c r="AY113" i="1"/>
  <c r="AY114" i="1"/>
  <c r="AY112" i="1"/>
  <c r="AY108" i="1"/>
  <c r="AY109" i="1"/>
  <c r="AY107" i="1"/>
  <c r="AY103" i="1"/>
  <c r="AY104" i="1"/>
  <c r="AZ104" i="1" s="1"/>
  <c r="AY105" i="1"/>
  <c r="AZ105" i="1" s="1"/>
  <c r="AY102" i="1"/>
  <c r="AY95" i="1"/>
  <c r="AY96" i="1"/>
  <c r="AY97" i="1"/>
  <c r="AZ97" i="1" s="1"/>
  <c r="AY98" i="1"/>
  <c r="AZ98" i="1" s="1"/>
  <c r="AY99" i="1"/>
  <c r="AY100" i="1"/>
  <c r="AY94" i="1"/>
  <c r="AY89" i="1"/>
  <c r="AY90" i="1"/>
  <c r="AY91" i="1"/>
  <c r="AY88" i="1"/>
  <c r="AY79" i="1"/>
  <c r="AY80" i="1"/>
  <c r="AY81" i="1"/>
  <c r="AY82" i="1"/>
  <c r="AY83" i="1"/>
  <c r="AY84" i="1"/>
  <c r="AY85" i="1"/>
  <c r="AY86" i="1"/>
  <c r="AY78" i="1"/>
  <c r="AY69" i="1"/>
  <c r="AY70" i="1"/>
  <c r="AY71" i="1"/>
  <c r="AY72" i="1"/>
  <c r="AY73" i="1"/>
  <c r="AZ73" i="1" s="1"/>
  <c r="AY74" i="1"/>
  <c r="AY75" i="1"/>
  <c r="AY76" i="1"/>
  <c r="AY68" i="1"/>
  <c r="AY62" i="1"/>
  <c r="AY63" i="1"/>
  <c r="AY64" i="1"/>
  <c r="AY65" i="1"/>
  <c r="AY66" i="1"/>
  <c r="AY61" i="1"/>
  <c r="AY48" i="1"/>
  <c r="AY49" i="1"/>
  <c r="AY50" i="1"/>
  <c r="AY51" i="1"/>
  <c r="AY52" i="1"/>
  <c r="AY53" i="1"/>
  <c r="AY54" i="1"/>
  <c r="AY55" i="1"/>
  <c r="AY56" i="1"/>
  <c r="AY57" i="1"/>
  <c r="AY58" i="1"/>
  <c r="AZ58" i="1" s="1"/>
  <c r="AY47" i="1"/>
  <c r="AZ47" i="1" s="1"/>
  <c r="AY37" i="1"/>
  <c r="AY38" i="1"/>
  <c r="AZ38" i="1" s="1"/>
  <c r="AY39" i="1"/>
  <c r="AZ39" i="1" s="1"/>
  <c r="AY40" i="1"/>
  <c r="BA40" i="1" s="1"/>
  <c r="BB40" i="1" s="1"/>
  <c r="AY41" i="1"/>
  <c r="BA41" i="1" s="1"/>
  <c r="BB41" i="1" s="1"/>
  <c r="AY42" i="1"/>
  <c r="BA42" i="1" s="1"/>
  <c r="BB42" i="1" s="1"/>
  <c r="AY43" i="1"/>
  <c r="BA43" i="1" s="1"/>
  <c r="BB43" i="1" s="1"/>
  <c r="AY44" i="1"/>
  <c r="AY45" i="1"/>
  <c r="AY36" i="1"/>
  <c r="AY30" i="1"/>
  <c r="BA30" i="1" s="1"/>
  <c r="BB30" i="1" s="1"/>
  <c r="AY31" i="1"/>
  <c r="BA31" i="1" s="1"/>
  <c r="BB31" i="1" s="1"/>
  <c r="AY32" i="1"/>
  <c r="BA32" i="1" s="1"/>
  <c r="BB32" i="1" s="1"/>
  <c r="AY33" i="1"/>
  <c r="BA33" i="1" s="1"/>
  <c r="BB33" i="1" s="1"/>
  <c r="AY34" i="1"/>
  <c r="BA34" i="1" s="1"/>
  <c r="BB34" i="1" s="1"/>
  <c r="AY29" i="1"/>
  <c r="BA29" i="1" s="1"/>
  <c r="BB29" i="1" s="1"/>
  <c r="AY19" i="1"/>
  <c r="BA19" i="1" s="1"/>
  <c r="BB19" i="1" s="1"/>
  <c r="AY20" i="1"/>
  <c r="BA20" i="1" s="1"/>
  <c r="BB20" i="1" s="1"/>
  <c r="AY21" i="1"/>
  <c r="BA21" i="1" s="1"/>
  <c r="BB21" i="1" s="1"/>
  <c r="AY22" i="1"/>
  <c r="AY23" i="1"/>
  <c r="AY24" i="1"/>
  <c r="AY25" i="1"/>
  <c r="AY26" i="1"/>
  <c r="BA26" i="1" s="1"/>
  <c r="BB26" i="1" s="1"/>
  <c r="AY18" i="1"/>
  <c r="AZ18" i="1" s="1"/>
  <c r="S507" i="1"/>
  <c r="S506" i="1"/>
  <c r="BA506" i="1" s="1"/>
  <c r="BB506" i="1" s="1"/>
  <c r="S504" i="1"/>
  <c r="S503" i="1"/>
  <c r="BA503" i="1" s="1"/>
  <c r="BB503" i="1" s="1"/>
  <c r="S493" i="1"/>
  <c r="S494" i="1"/>
  <c r="S495" i="1"/>
  <c r="S496" i="1"/>
  <c r="S497" i="1"/>
  <c r="S498" i="1"/>
  <c r="S499" i="1"/>
  <c r="S500" i="1"/>
  <c r="T500" i="1" s="1"/>
  <c r="S501" i="1"/>
  <c r="T501" i="1" s="1"/>
  <c r="S492" i="1"/>
  <c r="S485" i="1"/>
  <c r="S486" i="1"/>
  <c r="S487" i="1"/>
  <c r="S488" i="1"/>
  <c r="S489" i="1"/>
  <c r="S490" i="1"/>
  <c r="S484" i="1"/>
  <c r="S481" i="1"/>
  <c r="S479" i="1"/>
  <c r="S477" i="1"/>
  <c r="S475" i="1"/>
  <c r="S474" i="1"/>
  <c r="S465" i="1"/>
  <c r="S466" i="1"/>
  <c r="S467" i="1"/>
  <c r="S468" i="1"/>
  <c r="S469" i="1"/>
  <c r="S470" i="1"/>
  <c r="S471" i="1"/>
  <c r="S464" i="1"/>
  <c r="S457" i="1"/>
  <c r="S458" i="1"/>
  <c r="S459" i="1"/>
  <c r="S460" i="1"/>
  <c r="S461" i="1"/>
  <c r="S462" i="1"/>
  <c r="S456" i="1"/>
  <c r="S452" i="1"/>
  <c r="S453" i="1"/>
  <c r="S454" i="1"/>
  <c r="S451" i="1"/>
  <c r="S439" i="1"/>
  <c r="S440" i="1"/>
  <c r="S441" i="1"/>
  <c r="S442" i="1"/>
  <c r="S443" i="1"/>
  <c r="S444" i="1"/>
  <c r="S445" i="1"/>
  <c r="S446" i="1"/>
  <c r="S447" i="1"/>
  <c r="S448" i="1"/>
  <c r="S449" i="1"/>
  <c r="S438" i="1"/>
  <c r="S426" i="1"/>
  <c r="S427" i="1"/>
  <c r="S428" i="1"/>
  <c r="S429" i="1"/>
  <c r="S430" i="1"/>
  <c r="S431" i="1"/>
  <c r="S432" i="1"/>
  <c r="S433" i="1"/>
  <c r="S434" i="1"/>
  <c r="S435" i="1"/>
  <c r="S425" i="1"/>
  <c r="S420" i="1"/>
  <c r="S421" i="1"/>
  <c r="S422" i="1"/>
  <c r="S423" i="1"/>
  <c r="S419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T345" i="1" s="1"/>
  <c r="S346" i="1"/>
  <c r="S347" i="1"/>
  <c r="S348" i="1"/>
  <c r="S349" i="1"/>
  <c r="S350" i="1"/>
  <c r="S351" i="1"/>
  <c r="S352" i="1"/>
  <c r="S353" i="1"/>
  <c r="S354" i="1"/>
  <c r="S355" i="1"/>
  <c r="S356" i="1"/>
  <c r="S357" i="1"/>
  <c r="T357" i="1" s="1"/>
  <c r="S358" i="1"/>
  <c r="S359" i="1"/>
  <c r="S360" i="1"/>
  <c r="S361" i="1"/>
  <c r="S362" i="1"/>
  <c r="S363" i="1"/>
  <c r="S364" i="1"/>
  <c r="S365" i="1"/>
  <c r="S366" i="1"/>
  <c r="S367" i="1"/>
  <c r="S368" i="1"/>
  <c r="S369" i="1"/>
  <c r="T369" i="1" s="1"/>
  <c r="S370" i="1"/>
  <c r="S371" i="1"/>
  <c r="S372" i="1"/>
  <c r="S373" i="1"/>
  <c r="S374" i="1"/>
  <c r="S375" i="1"/>
  <c r="S376" i="1"/>
  <c r="S377" i="1"/>
  <c r="S378" i="1"/>
  <c r="S379" i="1"/>
  <c r="S380" i="1"/>
  <c r="S381" i="1"/>
  <c r="T381" i="1" s="1"/>
  <c r="S382" i="1"/>
  <c r="S383" i="1"/>
  <c r="S384" i="1"/>
  <c r="S385" i="1"/>
  <c r="S386" i="1"/>
  <c r="S387" i="1"/>
  <c r="S388" i="1"/>
  <c r="S389" i="1"/>
  <c r="S390" i="1"/>
  <c r="S391" i="1"/>
  <c r="S392" i="1"/>
  <c r="S393" i="1"/>
  <c r="T393" i="1" s="1"/>
  <c r="S394" i="1"/>
  <c r="S395" i="1"/>
  <c r="S396" i="1"/>
  <c r="S397" i="1"/>
  <c r="S398" i="1"/>
  <c r="S399" i="1"/>
  <c r="S400" i="1"/>
  <c r="S401" i="1"/>
  <c r="S402" i="1"/>
  <c r="S403" i="1"/>
  <c r="S404" i="1"/>
  <c r="S405" i="1"/>
  <c r="T405" i="1" s="1"/>
  <c r="S406" i="1"/>
  <c r="S407" i="1"/>
  <c r="S408" i="1"/>
  <c r="S409" i="1"/>
  <c r="S410" i="1"/>
  <c r="S411" i="1"/>
  <c r="S412" i="1"/>
  <c r="S413" i="1"/>
  <c r="S414" i="1"/>
  <c r="S415" i="1"/>
  <c r="S416" i="1"/>
  <c r="S417" i="1"/>
  <c r="T417" i="1" s="1"/>
  <c r="T429" i="1"/>
  <c r="S333" i="1"/>
  <c r="S320" i="1"/>
  <c r="S321" i="1"/>
  <c r="S322" i="1"/>
  <c r="S323" i="1"/>
  <c r="S324" i="1"/>
  <c r="S325" i="1"/>
  <c r="S326" i="1"/>
  <c r="S327" i="1"/>
  <c r="S328" i="1"/>
  <c r="S329" i="1"/>
  <c r="S330" i="1"/>
  <c r="S319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T309" i="1" s="1"/>
  <c r="S310" i="1"/>
  <c r="S311" i="1"/>
  <c r="S312" i="1"/>
  <c r="S313" i="1"/>
  <c r="S314" i="1"/>
  <c r="S315" i="1"/>
  <c r="S316" i="1"/>
  <c r="S317" i="1"/>
  <c r="S297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6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T234" i="1" s="1"/>
  <c r="S235" i="1"/>
  <c r="S236" i="1"/>
  <c r="S237" i="1"/>
  <c r="S238" i="1"/>
  <c r="S239" i="1"/>
  <c r="S240" i="1"/>
  <c r="S241" i="1"/>
  <c r="S242" i="1"/>
  <c r="S243" i="1"/>
  <c r="S244" i="1"/>
  <c r="S245" i="1"/>
  <c r="S246" i="1"/>
  <c r="T246" i="1" s="1"/>
  <c r="S247" i="1"/>
  <c r="S248" i="1"/>
  <c r="S249" i="1"/>
  <c r="S250" i="1"/>
  <c r="S251" i="1"/>
  <c r="S252" i="1"/>
  <c r="S253" i="1"/>
  <c r="S254" i="1"/>
  <c r="S255" i="1"/>
  <c r="S256" i="1"/>
  <c r="S257" i="1"/>
  <c r="S258" i="1"/>
  <c r="T258" i="1" s="1"/>
  <c r="S259" i="1"/>
  <c r="S260" i="1"/>
  <c r="S222" i="1"/>
  <c r="S206" i="1"/>
  <c r="S207" i="1"/>
  <c r="S208" i="1"/>
  <c r="T208" i="1" s="1"/>
  <c r="S209" i="1"/>
  <c r="S210" i="1"/>
  <c r="S211" i="1"/>
  <c r="S212" i="1"/>
  <c r="S213" i="1"/>
  <c r="S214" i="1"/>
  <c r="S215" i="1"/>
  <c r="S216" i="1"/>
  <c r="S217" i="1"/>
  <c r="T217" i="1" s="1"/>
  <c r="S218" i="1"/>
  <c r="S219" i="1"/>
  <c r="S205" i="1"/>
  <c r="S198" i="1"/>
  <c r="S199" i="1"/>
  <c r="S200" i="1"/>
  <c r="S201" i="1"/>
  <c r="S202" i="1"/>
  <c r="S203" i="1"/>
  <c r="S197" i="1"/>
  <c r="S195" i="1"/>
  <c r="S192" i="1"/>
  <c r="S190" i="1"/>
  <c r="S189" i="1"/>
  <c r="S187" i="1"/>
  <c r="S186" i="1"/>
  <c r="S181" i="1"/>
  <c r="S182" i="1"/>
  <c r="S183" i="1"/>
  <c r="S184" i="1"/>
  <c r="S180" i="1"/>
  <c r="S177" i="1"/>
  <c r="S174" i="1"/>
  <c r="S171" i="1"/>
  <c r="S169" i="1"/>
  <c r="S168" i="1"/>
  <c r="S166" i="1"/>
  <c r="S165" i="1"/>
  <c r="S162" i="1"/>
  <c r="R156" i="1"/>
  <c r="T156" i="1"/>
  <c r="S158" i="1"/>
  <c r="S159" i="1"/>
  <c r="S160" i="1"/>
  <c r="S157" i="1"/>
  <c r="S149" i="1"/>
  <c r="S150" i="1"/>
  <c r="S151" i="1"/>
  <c r="S152" i="1"/>
  <c r="S153" i="1"/>
  <c r="S154" i="1"/>
  <c r="S148" i="1"/>
  <c r="S146" i="1"/>
  <c r="S142" i="1"/>
  <c r="S143" i="1"/>
  <c r="S141" i="1"/>
  <c r="S135" i="1"/>
  <c r="S136" i="1"/>
  <c r="S137" i="1"/>
  <c r="S138" i="1"/>
  <c r="S139" i="1"/>
  <c r="S134" i="1"/>
  <c r="S128" i="1"/>
  <c r="S129" i="1"/>
  <c r="S130" i="1"/>
  <c r="S131" i="1"/>
  <c r="S127" i="1"/>
  <c r="S123" i="1"/>
  <c r="S122" i="1"/>
  <c r="S120" i="1"/>
  <c r="S119" i="1"/>
  <c r="S117" i="1"/>
  <c r="S116" i="1"/>
  <c r="S113" i="1"/>
  <c r="S114" i="1"/>
  <c r="S112" i="1"/>
  <c r="S108" i="1"/>
  <c r="S109" i="1"/>
  <c r="S107" i="1"/>
  <c r="S103" i="1"/>
  <c r="S104" i="1"/>
  <c r="S105" i="1"/>
  <c r="S102" i="1"/>
  <c r="S95" i="1"/>
  <c r="S96" i="1"/>
  <c r="S97" i="1"/>
  <c r="S98" i="1"/>
  <c r="S99" i="1"/>
  <c r="S100" i="1"/>
  <c r="S94" i="1"/>
  <c r="S89" i="1"/>
  <c r="S90" i="1"/>
  <c r="S91" i="1"/>
  <c r="S88" i="1"/>
  <c r="S79" i="1"/>
  <c r="S80" i="1"/>
  <c r="S81" i="1"/>
  <c r="S82" i="1"/>
  <c r="S83" i="1"/>
  <c r="S84" i="1"/>
  <c r="S85" i="1"/>
  <c r="S86" i="1"/>
  <c r="S78" i="1"/>
  <c r="S69" i="1"/>
  <c r="S70" i="1"/>
  <c r="S71" i="1"/>
  <c r="S72" i="1"/>
  <c r="S73" i="1"/>
  <c r="S74" i="1"/>
  <c r="S75" i="1"/>
  <c r="S76" i="1"/>
  <c r="S68" i="1"/>
  <c r="S62" i="1"/>
  <c r="S63" i="1"/>
  <c r="S64" i="1"/>
  <c r="S65" i="1"/>
  <c r="S66" i="1"/>
  <c r="S61" i="1"/>
  <c r="S48" i="1"/>
  <c r="S49" i="1"/>
  <c r="S50" i="1"/>
  <c r="S51" i="1"/>
  <c r="S52" i="1"/>
  <c r="S53" i="1"/>
  <c r="S54" i="1"/>
  <c r="S55" i="1"/>
  <c r="S56" i="1"/>
  <c r="S57" i="1"/>
  <c r="S58" i="1"/>
  <c r="S47" i="1"/>
  <c r="S37" i="1"/>
  <c r="S38" i="1"/>
  <c r="S39" i="1"/>
  <c r="S40" i="1"/>
  <c r="S41" i="1"/>
  <c r="S42" i="1"/>
  <c r="S43" i="1"/>
  <c r="S44" i="1"/>
  <c r="S45" i="1"/>
  <c r="S36" i="1"/>
  <c r="S30" i="1"/>
  <c r="S31" i="1"/>
  <c r="S32" i="1"/>
  <c r="S33" i="1"/>
  <c r="S34" i="1"/>
  <c r="S29" i="1"/>
  <c r="N204" i="1"/>
  <c r="N156" i="1"/>
  <c r="N150" i="1"/>
  <c r="H109" i="1"/>
  <c r="N109" i="1"/>
  <c r="S19" i="1"/>
  <c r="S20" i="1"/>
  <c r="S21" i="1"/>
  <c r="S22" i="1"/>
  <c r="S23" i="1"/>
  <c r="S24" i="1"/>
  <c r="S25" i="1"/>
  <c r="S26" i="1"/>
  <c r="S18" i="1"/>
  <c r="T18" i="1" s="1"/>
  <c r="BB507" i="1"/>
  <c r="BB481" i="1"/>
  <c r="BB480" i="1" s="1"/>
  <c r="BB479" i="1"/>
  <c r="BB478" i="1" s="1"/>
  <c r="BB477" i="1"/>
  <c r="BB476" i="1" s="1"/>
  <c r="BB475" i="1"/>
  <c r="BB474" i="1"/>
  <c r="BB471" i="1"/>
  <c r="BB470" i="1"/>
  <c r="BB469" i="1"/>
  <c r="BB468" i="1"/>
  <c r="BB467" i="1"/>
  <c r="BB466" i="1"/>
  <c r="BB465" i="1"/>
  <c r="BB464" i="1"/>
  <c r="BB462" i="1"/>
  <c r="BB461" i="1"/>
  <c r="BB460" i="1"/>
  <c r="BB459" i="1"/>
  <c r="BB458" i="1"/>
  <c r="BB457" i="1"/>
  <c r="BB456" i="1"/>
  <c r="BB454" i="1"/>
  <c r="BB453" i="1"/>
  <c r="BB452" i="1"/>
  <c r="BB451" i="1"/>
  <c r="BB449" i="1"/>
  <c r="BB447" i="1"/>
  <c r="BB446" i="1"/>
  <c r="BB445" i="1"/>
  <c r="BB444" i="1"/>
  <c r="BB443" i="1"/>
  <c r="BB442" i="1"/>
  <c r="BB441" i="1"/>
  <c r="BB440" i="1"/>
  <c r="BB439" i="1"/>
  <c r="BB438" i="1"/>
  <c r="BB435" i="1"/>
  <c r="BB432" i="1"/>
  <c r="BB431" i="1"/>
  <c r="BB430" i="1"/>
  <c r="BB429" i="1"/>
  <c r="BB428" i="1"/>
  <c r="BB427" i="1"/>
  <c r="BB426" i="1"/>
  <c r="BB425" i="1"/>
  <c r="BB423" i="1"/>
  <c r="BB422" i="1"/>
  <c r="BB421" i="1"/>
  <c r="BB420" i="1"/>
  <c r="BB419" i="1"/>
  <c r="BB417" i="1"/>
  <c r="BB416" i="1"/>
  <c r="BB415" i="1"/>
  <c r="BB414" i="1"/>
  <c r="BB413" i="1"/>
  <c r="BB412" i="1"/>
  <c r="BB411" i="1"/>
  <c r="BB410" i="1"/>
  <c r="BB409" i="1"/>
  <c r="BB408" i="1"/>
  <c r="BB406" i="1"/>
  <c r="BB405" i="1"/>
  <c r="BB404" i="1"/>
  <c r="BB403" i="1"/>
  <c r="BB402" i="1"/>
  <c r="BB401" i="1"/>
  <c r="BB400" i="1"/>
  <c r="BB399" i="1"/>
  <c r="BB398" i="1"/>
  <c r="BB397" i="1"/>
  <c r="BB396" i="1"/>
  <c r="BB394" i="1"/>
  <c r="BB393" i="1"/>
  <c r="BB392" i="1"/>
  <c r="BB391" i="1"/>
  <c r="BB390" i="1"/>
  <c r="BB389" i="1"/>
  <c r="BB388" i="1"/>
  <c r="BB387" i="1"/>
  <c r="BB386" i="1"/>
  <c r="BB385" i="1"/>
  <c r="BB384" i="1"/>
  <c r="BB382" i="1"/>
  <c r="BB381" i="1"/>
  <c r="BB380" i="1"/>
  <c r="BB379" i="1"/>
  <c r="BB378" i="1"/>
  <c r="BB377" i="1"/>
  <c r="BB376" i="1"/>
  <c r="BB375" i="1"/>
  <c r="BB374" i="1"/>
  <c r="BB373" i="1"/>
  <c r="BB372" i="1"/>
  <c r="BB370" i="1"/>
  <c r="BB369" i="1"/>
  <c r="BB368" i="1"/>
  <c r="BB367" i="1"/>
  <c r="BB366" i="1"/>
  <c r="BB365" i="1"/>
  <c r="BB364" i="1"/>
  <c r="BB363" i="1"/>
  <c r="BB362" i="1"/>
  <c r="BB361" i="1"/>
  <c r="BB360" i="1"/>
  <c r="BB358" i="1"/>
  <c r="BB357" i="1"/>
  <c r="BB356" i="1"/>
  <c r="BB355" i="1"/>
  <c r="BB354" i="1"/>
  <c r="BB353" i="1"/>
  <c r="BB352" i="1"/>
  <c r="BB351" i="1"/>
  <c r="BB350" i="1"/>
  <c r="BB349" i="1"/>
  <c r="BB348" i="1"/>
  <c r="BB346" i="1"/>
  <c r="BB345" i="1"/>
  <c r="BB344" i="1"/>
  <c r="BB343" i="1"/>
  <c r="BB342" i="1"/>
  <c r="BB341" i="1"/>
  <c r="BB340" i="1"/>
  <c r="BB339" i="1"/>
  <c r="BB338" i="1"/>
  <c r="BB337" i="1"/>
  <c r="BB336" i="1"/>
  <c r="BB334" i="1"/>
  <c r="BB333" i="1"/>
  <c r="BB329" i="1"/>
  <c r="BB328" i="1"/>
  <c r="BB327" i="1"/>
  <c r="BB326" i="1"/>
  <c r="BB325" i="1"/>
  <c r="BB324" i="1"/>
  <c r="BB323" i="1"/>
  <c r="BB322" i="1"/>
  <c r="BB321" i="1"/>
  <c r="BB320" i="1"/>
  <c r="BB319" i="1"/>
  <c r="BB317" i="1"/>
  <c r="BB316" i="1"/>
  <c r="BB315" i="1"/>
  <c r="BB314" i="1"/>
  <c r="BB313" i="1"/>
  <c r="BB312" i="1"/>
  <c r="BB311" i="1"/>
  <c r="BB310" i="1"/>
  <c r="BB309" i="1"/>
  <c r="BB307" i="1"/>
  <c r="BB306" i="1"/>
  <c r="BB305" i="1"/>
  <c r="BB304" i="1"/>
  <c r="BB303" i="1"/>
  <c r="BB302" i="1"/>
  <c r="BB301" i="1"/>
  <c r="BB300" i="1"/>
  <c r="BB299" i="1"/>
  <c r="BB298" i="1"/>
  <c r="BB297" i="1"/>
  <c r="BB295" i="1"/>
  <c r="BB294" i="1"/>
  <c r="BB293" i="1"/>
  <c r="BB292" i="1"/>
  <c r="BB291" i="1"/>
  <c r="BB290" i="1"/>
  <c r="BB289" i="1"/>
  <c r="BB288" i="1"/>
  <c r="BB287" i="1"/>
  <c r="BB285" i="1"/>
  <c r="BB284" i="1"/>
  <c r="BB283" i="1"/>
  <c r="BB282" i="1"/>
  <c r="BB281" i="1"/>
  <c r="BB280" i="1"/>
  <c r="BB279" i="1"/>
  <c r="BB278" i="1"/>
  <c r="BB277" i="1"/>
  <c r="BB276" i="1"/>
  <c r="BB275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3" i="1"/>
  <c r="BB202" i="1"/>
  <c r="BB201" i="1"/>
  <c r="BB200" i="1"/>
  <c r="BB199" i="1"/>
  <c r="BB198" i="1"/>
  <c r="BB197" i="1"/>
  <c r="BB195" i="1"/>
  <c r="BB194" i="1" s="1"/>
  <c r="BB192" i="1"/>
  <c r="BB191" i="1" s="1"/>
  <c r="BB190" i="1"/>
  <c r="BB189" i="1"/>
  <c r="BB187" i="1"/>
  <c r="BB185" i="1" s="1"/>
  <c r="BB186" i="1"/>
  <c r="BB184" i="1"/>
  <c r="BB183" i="1"/>
  <c r="BB182" i="1"/>
  <c r="BB181" i="1"/>
  <c r="BB180" i="1"/>
  <c r="BB177" i="1"/>
  <c r="BB176" i="1" s="1"/>
  <c r="BB175" i="1" s="1"/>
  <c r="BB174" i="1"/>
  <c r="BB173" i="1" s="1"/>
  <c r="BB172" i="1" s="1"/>
  <c r="BB171" i="1"/>
  <c r="BB170" i="1" s="1"/>
  <c r="BB169" i="1"/>
  <c r="BB168" i="1"/>
  <c r="BB166" i="1"/>
  <c r="BB165" i="1"/>
  <c r="BB162" i="1"/>
  <c r="BB161" i="1" s="1"/>
  <c r="BB160" i="1"/>
  <c r="BB158" i="1"/>
  <c r="BB157" i="1"/>
  <c r="BB153" i="1"/>
  <c r="BB152" i="1"/>
  <c r="BB149" i="1"/>
  <c r="BB148" i="1"/>
  <c r="BB146" i="1"/>
  <c r="BB145" i="1" s="1"/>
  <c r="BB144" i="1" s="1"/>
  <c r="BB143" i="1"/>
  <c r="BB142" i="1"/>
  <c r="BB141" i="1"/>
  <c r="BB138" i="1"/>
  <c r="BB137" i="1"/>
  <c r="BB135" i="1"/>
  <c r="BB134" i="1"/>
  <c r="BB131" i="1"/>
  <c r="BB130" i="1"/>
  <c r="BB129" i="1"/>
  <c r="BB128" i="1"/>
  <c r="BB127" i="1"/>
  <c r="BB122" i="1"/>
  <c r="BB120" i="1"/>
  <c r="BB119" i="1"/>
  <c r="BB117" i="1"/>
  <c r="BB116" i="1"/>
  <c r="BB114" i="1"/>
  <c r="BB113" i="1"/>
  <c r="BB112" i="1"/>
  <c r="BB109" i="1"/>
  <c r="BB108" i="1"/>
  <c r="BB107" i="1"/>
  <c r="BB105" i="1"/>
  <c r="BB104" i="1"/>
  <c r="BB103" i="1"/>
  <c r="BB102" i="1"/>
  <c r="BB99" i="1"/>
  <c r="BB98" i="1"/>
  <c r="BB95" i="1"/>
  <c r="BB94" i="1"/>
  <c r="BB91" i="1"/>
  <c r="BB90" i="1"/>
  <c r="BB89" i="1"/>
  <c r="BB88" i="1"/>
  <c r="BB86" i="1"/>
  <c r="BB85" i="1"/>
  <c r="BB84" i="1"/>
  <c r="BB83" i="1"/>
  <c r="BB82" i="1"/>
  <c r="BB81" i="1"/>
  <c r="BB80" i="1"/>
  <c r="BB79" i="1"/>
  <c r="BB76" i="1"/>
  <c r="BB75" i="1"/>
  <c r="BB74" i="1"/>
  <c r="BB70" i="1"/>
  <c r="BB69" i="1"/>
  <c r="BB68" i="1"/>
  <c r="BB66" i="1"/>
  <c r="BB63" i="1"/>
  <c r="BB62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5" i="1"/>
  <c r="BB44" i="1"/>
  <c r="BB39" i="1"/>
  <c r="BB38" i="1"/>
  <c r="BB37" i="1"/>
  <c r="BB36" i="1"/>
  <c r="BB25" i="1"/>
  <c r="BB24" i="1"/>
  <c r="BB23" i="1"/>
  <c r="AZ507" i="1"/>
  <c r="AZ506" i="1"/>
  <c r="AZ504" i="1"/>
  <c r="AZ501" i="1"/>
  <c r="AZ500" i="1"/>
  <c r="AZ498" i="1"/>
  <c r="AZ495" i="1"/>
  <c r="AZ494" i="1"/>
  <c r="AZ493" i="1"/>
  <c r="AZ492" i="1"/>
  <c r="AZ490" i="1"/>
  <c r="AZ488" i="1"/>
  <c r="AZ485" i="1"/>
  <c r="AZ484" i="1"/>
  <c r="AZ481" i="1"/>
  <c r="AZ480" i="1" s="1"/>
  <c r="AZ479" i="1"/>
  <c r="AZ478" i="1" s="1"/>
  <c r="AZ477" i="1"/>
  <c r="AZ476" i="1" s="1"/>
  <c r="AZ475" i="1"/>
  <c r="AZ474" i="1"/>
  <c r="AZ471" i="1"/>
  <c r="AZ469" i="1"/>
  <c r="AZ466" i="1"/>
  <c r="AZ465" i="1"/>
  <c r="AZ464" i="1"/>
  <c r="AZ462" i="1"/>
  <c r="AZ461" i="1"/>
  <c r="AZ460" i="1"/>
  <c r="AZ459" i="1"/>
  <c r="AZ458" i="1"/>
  <c r="AZ457" i="1"/>
  <c r="AZ456" i="1"/>
  <c r="AZ454" i="1"/>
  <c r="AZ453" i="1"/>
  <c r="AZ452" i="1"/>
  <c r="AZ451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5" i="1"/>
  <c r="AZ434" i="1"/>
  <c r="AZ432" i="1"/>
  <c r="AZ430" i="1"/>
  <c r="AZ429" i="1"/>
  <c r="AZ428" i="1"/>
  <c r="AZ427" i="1"/>
  <c r="AZ426" i="1"/>
  <c r="AZ425" i="1"/>
  <c r="AZ423" i="1"/>
  <c r="AZ422" i="1"/>
  <c r="AZ421" i="1"/>
  <c r="AZ420" i="1"/>
  <c r="AZ419" i="1"/>
  <c r="AZ416" i="1"/>
  <c r="AZ415" i="1"/>
  <c r="AZ414" i="1"/>
  <c r="AZ413" i="1"/>
  <c r="AZ412" i="1"/>
  <c r="AZ411" i="1"/>
  <c r="AZ410" i="1"/>
  <c r="AZ409" i="1"/>
  <c r="AZ408" i="1"/>
  <c r="AZ407" i="1"/>
  <c r="AZ406" i="1"/>
  <c r="AZ404" i="1"/>
  <c r="AZ403" i="1"/>
  <c r="AZ402" i="1"/>
  <c r="AZ401" i="1"/>
  <c r="AZ400" i="1"/>
  <c r="AZ399" i="1"/>
  <c r="AZ398" i="1"/>
  <c r="AZ397" i="1"/>
  <c r="AZ396" i="1"/>
  <c r="AZ395" i="1"/>
  <c r="AZ394" i="1"/>
  <c r="AZ392" i="1"/>
  <c r="AZ391" i="1"/>
  <c r="AZ390" i="1"/>
  <c r="AZ389" i="1"/>
  <c r="AZ388" i="1"/>
  <c r="AZ387" i="1"/>
  <c r="AZ386" i="1"/>
  <c r="AZ385" i="1"/>
  <c r="AZ384" i="1"/>
  <c r="AZ383" i="1"/>
  <c r="AZ382" i="1"/>
  <c r="AZ380" i="1"/>
  <c r="AZ379" i="1"/>
  <c r="AZ378" i="1"/>
  <c r="AZ377" i="1"/>
  <c r="AZ376" i="1"/>
  <c r="AZ375" i="1"/>
  <c r="AZ374" i="1"/>
  <c r="AZ373" i="1"/>
  <c r="AZ372" i="1"/>
  <c r="AZ371" i="1"/>
  <c r="AZ370" i="1"/>
  <c r="AZ368" i="1"/>
  <c r="AZ367" i="1"/>
  <c r="AZ366" i="1"/>
  <c r="AZ365" i="1"/>
  <c r="AZ364" i="1"/>
  <c r="AZ363" i="1"/>
  <c r="AZ362" i="1"/>
  <c r="AZ361" i="1"/>
  <c r="AZ360" i="1"/>
  <c r="AZ359" i="1"/>
  <c r="AZ358" i="1"/>
  <c r="AZ356" i="1"/>
  <c r="AZ355" i="1"/>
  <c r="AZ354" i="1"/>
  <c r="AZ353" i="1"/>
  <c r="AZ352" i="1"/>
  <c r="AZ351" i="1"/>
  <c r="AZ350" i="1"/>
  <c r="AZ349" i="1"/>
  <c r="AZ348" i="1"/>
  <c r="AZ347" i="1"/>
  <c r="AZ346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0" i="1"/>
  <c r="AZ329" i="1"/>
  <c r="AZ328" i="1"/>
  <c r="AZ326" i="1"/>
  <c r="AZ325" i="1"/>
  <c r="AZ324" i="1"/>
  <c r="AZ323" i="1"/>
  <c r="AZ322" i="1"/>
  <c r="AZ320" i="1"/>
  <c r="AZ319" i="1"/>
  <c r="AZ316" i="1"/>
  <c r="AZ315" i="1"/>
  <c r="AZ314" i="1"/>
  <c r="AZ312" i="1"/>
  <c r="AZ310" i="1"/>
  <c r="AZ309" i="1"/>
  <c r="AZ308" i="1"/>
  <c r="AZ306" i="1"/>
  <c r="AZ304" i="1"/>
  <c r="AZ303" i="1"/>
  <c r="AZ302" i="1"/>
  <c r="AZ300" i="1"/>
  <c r="AZ298" i="1"/>
  <c r="AZ297" i="1"/>
  <c r="AZ295" i="1"/>
  <c r="AZ294" i="1"/>
  <c r="AZ293" i="1"/>
  <c r="AZ292" i="1"/>
  <c r="AZ291" i="1"/>
  <c r="AZ290" i="1"/>
  <c r="AZ289" i="1"/>
  <c r="AZ288" i="1"/>
  <c r="AZ287" i="1"/>
  <c r="AZ284" i="1"/>
  <c r="AZ283" i="1"/>
  <c r="AZ282" i="1"/>
  <c r="AZ281" i="1"/>
  <c r="AZ280" i="1"/>
  <c r="AZ279" i="1"/>
  <c r="AZ278" i="1"/>
  <c r="AZ277" i="1"/>
  <c r="AZ276" i="1"/>
  <c r="AZ275" i="1"/>
  <c r="AZ272" i="1"/>
  <c r="AZ271" i="1"/>
  <c r="AZ270" i="1"/>
  <c r="AZ269" i="1"/>
  <c r="AZ268" i="1"/>
  <c r="AZ267" i="1"/>
  <c r="AZ266" i="1"/>
  <c r="AZ265" i="1"/>
  <c r="AZ264" i="1"/>
  <c r="AZ263" i="1"/>
  <c r="AZ262" i="1"/>
  <c r="AZ260" i="1"/>
  <c r="AZ259" i="1"/>
  <c r="AZ257" i="1"/>
  <c r="AZ255" i="1"/>
  <c r="AZ254" i="1"/>
  <c r="AZ253" i="1"/>
  <c r="AZ251" i="1"/>
  <c r="AZ248" i="1"/>
  <c r="AZ247" i="1"/>
  <c r="AZ245" i="1"/>
  <c r="AZ244" i="1"/>
  <c r="AZ243" i="1"/>
  <c r="AZ242" i="1"/>
  <c r="AZ241" i="1"/>
  <c r="AZ240" i="1"/>
  <c r="AZ239" i="1"/>
  <c r="AZ238" i="1"/>
  <c r="AZ237" i="1"/>
  <c r="AZ236" i="1"/>
  <c r="AZ235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3" i="1"/>
  <c r="AZ202" i="1"/>
  <c r="AZ201" i="1"/>
  <c r="AZ198" i="1"/>
  <c r="AZ197" i="1"/>
  <c r="AZ195" i="1"/>
  <c r="AZ194" i="1" s="1"/>
  <c r="AZ192" i="1"/>
  <c r="AZ191" i="1" s="1"/>
  <c r="AZ190" i="1"/>
  <c r="AZ189" i="1"/>
  <c r="AZ187" i="1"/>
  <c r="AZ186" i="1"/>
  <c r="AZ184" i="1"/>
  <c r="AZ183" i="1"/>
  <c r="AZ182" i="1"/>
  <c r="AZ181" i="1"/>
  <c r="AZ180" i="1"/>
  <c r="AZ177" i="1"/>
  <c r="AZ176" i="1" s="1"/>
  <c r="AZ175" i="1" s="1"/>
  <c r="AZ174" i="1"/>
  <c r="AZ173" i="1" s="1"/>
  <c r="AZ172" i="1" s="1"/>
  <c r="AZ171" i="1"/>
  <c r="AZ170" i="1" s="1"/>
  <c r="AZ169" i="1"/>
  <c r="AZ168" i="1"/>
  <c r="AZ166" i="1"/>
  <c r="AZ165" i="1"/>
  <c r="AZ162" i="1"/>
  <c r="AZ161" i="1" s="1"/>
  <c r="AZ160" i="1"/>
  <c r="AZ159" i="1"/>
  <c r="AZ158" i="1"/>
  <c r="AZ157" i="1"/>
  <c r="AZ154" i="1"/>
  <c r="AZ153" i="1"/>
  <c r="AZ150" i="1"/>
  <c r="AZ149" i="1"/>
  <c r="AZ148" i="1"/>
  <c r="AZ146" i="1"/>
  <c r="AZ145" i="1" s="1"/>
  <c r="AZ144" i="1" s="1"/>
  <c r="AZ143" i="1"/>
  <c r="AZ142" i="1"/>
  <c r="AZ141" i="1"/>
  <c r="AZ139" i="1"/>
  <c r="AZ138" i="1"/>
  <c r="AZ135" i="1"/>
  <c r="AZ134" i="1"/>
  <c r="AZ131" i="1"/>
  <c r="AZ130" i="1"/>
  <c r="AZ128" i="1"/>
  <c r="AZ127" i="1"/>
  <c r="AZ123" i="1"/>
  <c r="AZ122" i="1"/>
  <c r="AZ120" i="1"/>
  <c r="AZ119" i="1"/>
  <c r="AZ117" i="1"/>
  <c r="AZ116" i="1"/>
  <c r="AZ114" i="1"/>
  <c r="AZ113" i="1"/>
  <c r="AZ112" i="1"/>
  <c r="AZ109" i="1"/>
  <c r="AZ108" i="1"/>
  <c r="AZ107" i="1"/>
  <c r="AZ103" i="1"/>
  <c r="AZ102" i="1"/>
  <c r="AZ100" i="1"/>
  <c r="AZ99" i="1"/>
  <c r="AZ96" i="1"/>
  <c r="AZ95" i="1"/>
  <c r="AZ94" i="1"/>
  <c r="AZ91" i="1"/>
  <c r="AZ90" i="1"/>
  <c r="AZ89" i="1"/>
  <c r="AZ88" i="1"/>
  <c r="AZ86" i="1"/>
  <c r="AZ85" i="1"/>
  <c r="AZ84" i="1"/>
  <c r="AZ83" i="1"/>
  <c r="AZ82" i="1"/>
  <c r="AZ81" i="1"/>
  <c r="AZ80" i="1"/>
  <c r="AZ79" i="1"/>
  <c r="AZ78" i="1"/>
  <c r="AZ76" i="1"/>
  <c r="AZ75" i="1"/>
  <c r="AZ74" i="1"/>
  <c r="AZ72" i="1"/>
  <c r="AZ71" i="1"/>
  <c r="AZ70" i="1"/>
  <c r="AZ69" i="1"/>
  <c r="AZ68" i="1"/>
  <c r="AZ66" i="1"/>
  <c r="AZ65" i="1"/>
  <c r="AZ64" i="1"/>
  <c r="AZ63" i="1"/>
  <c r="AZ62" i="1"/>
  <c r="AZ61" i="1"/>
  <c r="AZ57" i="1"/>
  <c r="AZ56" i="1"/>
  <c r="AZ55" i="1"/>
  <c r="AZ54" i="1"/>
  <c r="AZ53" i="1"/>
  <c r="AZ52" i="1"/>
  <c r="AZ51" i="1"/>
  <c r="AZ50" i="1"/>
  <c r="AZ49" i="1"/>
  <c r="AZ48" i="1"/>
  <c r="AZ45" i="1"/>
  <c r="AZ44" i="1"/>
  <c r="AZ43" i="1"/>
  <c r="AZ42" i="1"/>
  <c r="AZ41" i="1"/>
  <c r="AZ40" i="1"/>
  <c r="AZ37" i="1"/>
  <c r="AZ36" i="1"/>
  <c r="AZ34" i="1"/>
  <c r="AZ33" i="1"/>
  <c r="AZ32" i="1"/>
  <c r="AZ31" i="1"/>
  <c r="AZ30" i="1"/>
  <c r="AZ29" i="1"/>
  <c r="AZ25" i="1"/>
  <c r="AZ24" i="1"/>
  <c r="AZ23" i="1"/>
  <c r="AZ22" i="1"/>
  <c r="AZ21" i="1"/>
  <c r="AZ19" i="1"/>
  <c r="AX507" i="1"/>
  <c r="AX506" i="1"/>
  <c r="AX505" i="1" s="1"/>
  <c r="AX504" i="1"/>
  <c r="AX503" i="1"/>
  <c r="AX501" i="1"/>
  <c r="AX500" i="1"/>
  <c r="AX499" i="1"/>
  <c r="AX498" i="1"/>
  <c r="AX497" i="1"/>
  <c r="AX496" i="1"/>
  <c r="AX495" i="1"/>
  <c r="AX494" i="1"/>
  <c r="AX493" i="1"/>
  <c r="AX492" i="1"/>
  <c r="AX490" i="1"/>
  <c r="AX489" i="1"/>
  <c r="AX488" i="1"/>
  <c r="AX487" i="1"/>
  <c r="AX486" i="1"/>
  <c r="AX485" i="1"/>
  <c r="AX484" i="1"/>
  <c r="AX481" i="1"/>
  <c r="AX480" i="1" s="1"/>
  <c r="AX479" i="1"/>
  <c r="AX478" i="1"/>
  <c r="AX477" i="1"/>
  <c r="AX476" i="1" s="1"/>
  <c r="AX475" i="1"/>
  <c r="AX474" i="1"/>
  <c r="AX473" i="1"/>
  <c r="AX471" i="1"/>
  <c r="AX470" i="1"/>
  <c r="AX469" i="1"/>
  <c r="AX468" i="1"/>
  <c r="AX467" i="1"/>
  <c r="AX466" i="1"/>
  <c r="AX465" i="1"/>
  <c r="AX464" i="1"/>
  <c r="AX462" i="1"/>
  <c r="AX461" i="1"/>
  <c r="AX460" i="1"/>
  <c r="AX459" i="1"/>
  <c r="AX458" i="1"/>
  <c r="AX457" i="1"/>
  <c r="AX456" i="1"/>
  <c r="AX454" i="1"/>
  <c r="AX453" i="1"/>
  <c r="AX452" i="1"/>
  <c r="AX451" i="1"/>
  <c r="AX450" i="1" s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5" i="1"/>
  <c r="AX434" i="1"/>
  <c r="AX433" i="1"/>
  <c r="AX432" i="1"/>
  <c r="AX431" i="1"/>
  <c r="AX430" i="1"/>
  <c r="AX429" i="1"/>
  <c r="AX428" i="1"/>
  <c r="AX427" i="1"/>
  <c r="AX426" i="1"/>
  <c r="AX425" i="1"/>
  <c r="AX423" i="1"/>
  <c r="AX422" i="1"/>
  <c r="AX421" i="1"/>
  <c r="AX420" i="1"/>
  <c r="AX419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3" i="1"/>
  <c r="AX202" i="1"/>
  <c r="AX201" i="1"/>
  <c r="AX200" i="1"/>
  <c r="AX199" i="1"/>
  <c r="AX198" i="1"/>
  <c r="AX197" i="1"/>
  <c r="AX195" i="1"/>
  <c r="AX194" i="1" s="1"/>
  <c r="AX192" i="1"/>
  <c r="AX191" i="1"/>
  <c r="AX190" i="1"/>
  <c r="AX189" i="1"/>
  <c r="AX187" i="1"/>
  <c r="AX186" i="1"/>
  <c r="AX185" i="1"/>
  <c r="AX184" i="1"/>
  <c r="AX183" i="1"/>
  <c r="AX182" i="1"/>
  <c r="AX181" i="1"/>
  <c r="AX180" i="1"/>
  <c r="AX177" i="1"/>
  <c r="AX176" i="1" s="1"/>
  <c r="AX175" i="1" s="1"/>
  <c r="AX174" i="1"/>
  <c r="AX173" i="1" s="1"/>
  <c r="AX172" i="1" s="1"/>
  <c r="AX171" i="1"/>
  <c r="AX170" i="1" s="1"/>
  <c r="AX169" i="1"/>
  <c r="AX167" i="1" s="1"/>
  <c r="AX168" i="1"/>
  <c r="AX166" i="1"/>
  <c r="AX165" i="1"/>
  <c r="AX162" i="1"/>
  <c r="AX161" i="1" s="1"/>
  <c r="AX160" i="1"/>
  <c r="AX159" i="1"/>
  <c r="AX158" i="1"/>
  <c r="AX157" i="1"/>
  <c r="AX154" i="1"/>
  <c r="AX153" i="1"/>
  <c r="AX152" i="1"/>
  <c r="AX151" i="1"/>
  <c r="AX150" i="1"/>
  <c r="AX149" i="1"/>
  <c r="AX148" i="1"/>
  <c r="AX146" i="1"/>
  <c r="AX145" i="1" s="1"/>
  <c r="AX144" i="1" s="1"/>
  <c r="AX143" i="1"/>
  <c r="AX142" i="1"/>
  <c r="AX141" i="1"/>
  <c r="AX140" i="1" s="1"/>
  <c r="AX139" i="1"/>
  <c r="AX138" i="1"/>
  <c r="AX137" i="1"/>
  <c r="AX136" i="1"/>
  <c r="AX135" i="1"/>
  <c r="AX134" i="1"/>
  <c r="AX131" i="1"/>
  <c r="AX130" i="1"/>
  <c r="AX129" i="1"/>
  <c r="AX128" i="1"/>
  <c r="AX127" i="1"/>
  <c r="AX123" i="1"/>
  <c r="AX122" i="1"/>
  <c r="AX121" i="1" s="1"/>
  <c r="AX120" i="1"/>
  <c r="AX119" i="1"/>
  <c r="AX117" i="1"/>
  <c r="AX116" i="1"/>
  <c r="AX114" i="1"/>
  <c r="AX113" i="1"/>
  <c r="AX112" i="1"/>
  <c r="AX111" i="1" s="1"/>
  <c r="AX109" i="1"/>
  <c r="AX108" i="1"/>
  <c r="AX107" i="1"/>
  <c r="AX106" i="1" s="1"/>
  <c r="AX105" i="1"/>
  <c r="AX101" i="1" s="1"/>
  <c r="AX104" i="1"/>
  <c r="AX103" i="1"/>
  <c r="AX102" i="1"/>
  <c r="AX100" i="1"/>
  <c r="AX99" i="1"/>
  <c r="AX98" i="1"/>
  <c r="AX97" i="1"/>
  <c r="AX96" i="1"/>
  <c r="AX95" i="1"/>
  <c r="AX94" i="1"/>
  <c r="AX91" i="1"/>
  <c r="AX90" i="1"/>
  <c r="AX89" i="1"/>
  <c r="AX88" i="1"/>
  <c r="AX86" i="1"/>
  <c r="AX85" i="1"/>
  <c r="AX84" i="1"/>
  <c r="AX83" i="1"/>
  <c r="AX82" i="1"/>
  <c r="AX81" i="1"/>
  <c r="AX80" i="1"/>
  <c r="AX79" i="1"/>
  <c r="AX78" i="1"/>
  <c r="AX76" i="1"/>
  <c r="AX75" i="1"/>
  <c r="AX74" i="1"/>
  <c r="AX73" i="1"/>
  <c r="AX72" i="1"/>
  <c r="AX71" i="1"/>
  <c r="AX70" i="1"/>
  <c r="AX69" i="1"/>
  <c r="AX68" i="1"/>
  <c r="AX66" i="1"/>
  <c r="AX65" i="1"/>
  <c r="AX64" i="1"/>
  <c r="AX63" i="1"/>
  <c r="AX62" i="1"/>
  <c r="AX61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5" i="1"/>
  <c r="AX44" i="1"/>
  <c r="AX43" i="1"/>
  <c r="AX42" i="1"/>
  <c r="AX41" i="1"/>
  <c r="AX40" i="1"/>
  <c r="AX39" i="1"/>
  <c r="AX38" i="1"/>
  <c r="AX37" i="1"/>
  <c r="AX36" i="1"/>
  <c r="AX34" i="1"/>
  <c r="AX33" i="1"/>
  <c r="AX32" i="1"/>
  <c r="AX31" i="1"/>
  <c r="AX30" i="1"/>
  <c r="AX29" i="1"/>
  <c r="AX26" i="1"/>
  <c r="AX25" i="1"/>
  <c r="AX24" i="1"/>
  <c r="AX23" i="1"/>
  <c r="AX22" i="1"/>
  <c r="AX21" i="1"/>
  <c r="AX20" i="1"/>
  <c r="AX19" i="1"/>
  <c r="AX18" i="1"/>
  <c r="AX17" i="1" s="1"/>
  <c r="AX16" i="1" s="1"/>
  <c r="AV507" i="1"/>
  <c r="AV506" i="1"/>
  <c r="AV504" i="1"/>
  <c r="AV503" i="1"/>
  <c r="AV502" i="1" s="1"/>
  <c r="AV501" i="1"/>
  <c r="AV500" i="1"/>
  <c r="AV499" i="1"/>
  <c r="AV498" i="1"/>
  <c r="AV497" i="1"/>
  <c r="AV496" i="1"/>
  <c r="AV495" i="1"/>
  <c r="AV494" i="1"/>
  <c r="AV493" i="1"/>
  <c r="AV492" i="1"/>
  <c r="AV490" i="1"/>
  <c r="AV489" i="1"/>
  <c r="AV488" i="1"/>
  <c r="AV487" i="1"/>
  <c r="AV486" i="1"/>
  <c r="AV485" i="1"/>
  <c r="AV484" i="1"/>
  <c r="AV481" i="1"/>
  <c r="AV480" i="1" s="1"/>
  <c r="AV479" i="1"/>
  <c r="AV478" i="1" s="1"/>
  <c r="AV477" i="1"/>
  <c r="AV476" i="1"/>
  <c r="AV475" i="1"/>
  <c r="AV474" i="1"/>
  <c r="AV471" i="1"/>
  <c r="AV470" i="1"/>
  <c r="AV469" i="1"/>
  <c r="AV468" i="1"/>
  <c r="AV467" i="1"/>
  <c r="AV466" i="1"/>
  <c r="AV465" i="1"/>
  <c r="AV464" i="1"/>
  <c r="AV462" i="1"/>
  <c r="AV461" i="1"/>
  <c r="AV460" i="1"/>
  <c r="AV459" i="1"/>
  <c r="AV458" i="1"/>
  <c r="AV457" i="1"/>
  <c r="AV456" i="1"/>
  <c r="AV454" i="1"/>
  <c r="AV453" i="1"/>
  <c r="AV452" i="1"/>
  <c r="AV451" i="1"/>
  <c r="AV449" i="1"/>
  <c r="AV448" i="1"/>
  <c r="AV447" i="1"/>
  <c r="AV446" i="1"/>
  <c r="AV445" i="1"/>
  <c r="AV444" i="1"/>
  <c r="AV443" i="1"/>
  <c r="AV442" i="1"/>
  <c r="AV441" i="1"/>
  <c r="AV440" i="1"/>
  <c r="AV439" i="1"/>
  <c r="AV438" i="1"/>
  <c r="AV435" i="1"/>
  <c r="AV434" i="1"/>
  <c r="AV433" i="1"/>
  <c r="AV432" i="1"/>
  <c r="AV431" i="1"/>
  <c r="AV430" i="1"/>
  <c r="AV429" i="1"/>
  <c r="AV428" i="1"/>
  <c r="AV427" i="1"/>
  <c r="AV426" i="1"/>
  <c r="AV425" i="1"/>
  <c r="AV423" i="1"/>
  <c r="AV422" i="1"/>
  <c r="AV421" i="1"/>
  <c r="AV420" i="1"/>
  <c r="AV419" i="1"/>
  <c r="AV417" i="1"/>
  <c r="AV416" i="1"/>
  <c r="AV415" i="1"/>
  <c r="AV414" i="1"/>
  <c r="AV413" i="1"/>
  <c r="AV412" i="1"/>
  <c r="AV411" i="1"/>
  <c r="AV410" i="1"/>
  <c r="AV409" i="1"/>
  <c r="AV408" i="1"/>
  <c r="AV407" i="1"/>
  <c r="AV406" i="1"/>
  <c r="AV405" i="1"/>
  <c r="AV404" i="1"/>
  <c r="AV403" i="1"/>
  <c r="AV402" i="1"/>
  <c r="AV401" i="1"/>
  <c r="AV400" i="1"/>
  <c r="AV399" i="1"/>
  <c r="AV398" i="1"/>
  <c r="AV397" i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3" i="1"/>
  <c r="AV202" i="1"/>
  <c r="AV201" i="1"/>
  <c r="AV200" i="1"/>
  <c r="AV199" i="1"/>
  <c r="AV198" i="1"/>
  <c r="AV197" i="1"/>
  <c r="AV195" i="1"/>
  <c r="AV194" i="1" s="1"/>
  <c r="AV192" i="1"/>
  <c r="AV191" i="1" s="1"/>
  <c r="AV190" i="1"/>
  <c r="AV188" i="1" s="1"/>
  <c r="AV189" i="1"/>
  <c r="AV187" i="1"/>
  <c r="AV185" i="1" s="1"/>
  <c r="AV186" i="1"/>
  <c r="AV184" i="1"/>
  <c r="AV183" i="1"/>
  <c r="AV182" i="1"/>
  <c r="AV181" i="1"/>
  <c r="AV180" i="1"/>
  <c r="AV177" i="1"/>
  <c r="AV176" i="1"/>
  <c r="AV175" i="1" s="1"/>
  <c r="AV174" i="1"/>
  <c r="AV173" i="1" s="1"/>
  <c r="AV172" i="1" s="1"/>
  <c r="AV171" i="1"/>
  <c r="AV170" i="1" s="1"/>
  <c r="AV169" i="1"/>
  <c r="AV168" i="1"/>
  <c r="AV167" i="1" s="1"/>
  <c r="AV166" i="1"/>
  <c r="AV165" i="1"/>
  <c r="AV162" i="1"/>
  <c r="AV161" i="1" s="1"/>
  <c r="AV160" i="1"/>
  <c r="AV159" i="1"/>
  <c r="AV158" i="1"/>
  <c r="AV157" i="1"/>
  <c r="AV154" i="1"/>
  <c r="AV153" i="1"/>
  <c r="AV152" i="1"/>
  <c r="AV151" i="1"/>
  <c r="AV150" i="1"/>
  <c r="AV149" i="1"/>
  <c r="AV148" i="1"/>
  <c r="AV146" i="1"/>
  <c r="AV145" i="1" s="1"/>
  <c r="AV144" i="1" s="1"/>
  <c r="AV143" i="1"/>
  <c r="AV142" i="1"/>
  <c r="AV141" i="1"/>
  <c r="AV139" i="1"/>
  <c r="AV138" i="1"/>
  <c r="AV137" i="1"/>
  <c r="AV136" i="1"/>
  <c r="AV135" i="1"/>
  <c r="AV134" i="1"/>
  <c r="AV131" i="1"/>
  <c r="AV130" i="1"/>
  <c r="AV129" i="1"/>
  <c r="AV128" i="1"/>
  <c r="AV127" i="1"/>
  <c r="AV123" i="1"/>
  <c r="AV122" i="1"/>
  <c r="AV121" i="1" s="1"/>
  <c r="AV120" i="1"/>
  <c r="AV119" i="1"/>
  <c r="AV117" i="1"/>
  <c r="AV115" i="1" s="1"/>
  <c r="AV116" i="1"/>
  <c r="AV114" i="1"/>
  <c r="AV113" i="1"/>
  <c r="AV112" i="1"/>
  <c r="AV109" i="1"/>
  <c r="AV108" i="1"/>
  <c r="AV107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1" i="1"/>
  <c r="AV90" i="1"/>
  <c r="AV89" i="1"/>
  <c r="AV88" i="1"/>
  <c r="AV86" i="1"/>
  <c r="AV85" i="1"/>
  <c r="AV84" i="1"/>
  <c r="AV83" i="1"/>
  <c r="AV82" i="1"/>
  <c r="AV81" i="1"/>
  <c r="AV80" i="1"/>
  <c r="AV79" i="1"/>
  <c r="AV78" i="1"/>
  <c r="AV76" i="1"/>
  <c r="AV75" i="1"/>
  <c r="AV74" i="1"/>
  <c r="AV73" i="1"/>
  <c r="AV72" i="1"/>
  <c r="AV71" i="1"/>
  <c r="AV70" i="1"/>
  <c r="AV69" i="1"/>
  <c r="AV68" i="1"/>
  <c r="AV66" i="1"/>
  <c r="AV65" i="1"/>
  <c r="AV64" i="1"/>
  <c r="AV63" i="1"/>
  <c r="AV62" i="1"/>
  <c r="AV61" i="1"/>
  <c r="AV60" i="1" s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5" i="1"/>
  <c r="AV44" i="1"/>
  <c r="AV43" i="1"/>
  <c r="AV42" i="1"/>
  <c r="AV41" i="1"/>
  <c r="AV40" i="1"/>
  <c r="AV39" i="1"/>
  <c r="AV38" i="1"/>
  <c r="AV37" i="1"/>
  <c r="AV36" i="1"/>
  <c r="AV34" i="1"/>
  <c r="AV33" i="1"/>
  <c r="AV32" i="1"/>
  <c r="AV31" i="1"/>
  <c r="AV30" i="1"/>
  <c r="AV29" i="1"/>
  <c r="AV26" i="1"/>
  <c r="AV25" i="1"/>
  <c r="AV24" i="1"/>
  <c r="AV23" i="1"/>
  <c r="AV22" i="1"/>
  <c r="AV21" i="1"/>
  <c r="AV20" i="1"/>
  <c r="AV19" i="1"/>
  <c r="AV18" i="1"/>
  <c r="AT507" i="1"/>
  <c r="AT506" i="1"/>
  <c r="AT504" i="1"/>
  <c r="AT503" i="1"/>
  <c r="AT501" i="1"/>
  <c r="AT500" i="1"/>
  <c r="AT499" i="1"/>
  <c r="AT498" i="1"/>
  <c r="AT497" i="1"/>
  <c r="AT496" i="1"/>
  <c r="AT495" i="1"/>
  <c r="AT494" i="1"/>
  <c r="AT493" i="1"/>
  <c r="AT492" i="1"/>
  <c r="AT490" i="1"/>
  <c r="AT489" i="1"/>
  <c r="AT488" i="1"/>
  <c r="AT487" i="1"/>
  <c r="AT486" i="1"/>
  <c r="AT485" i="1"/>
  <c r="AT484" i="1"/>
  <c r="AT481" i="1"/>
  <c r="AT480" i="1"/>
  <c r="AT479" i="1"/>
  <c r="AT478" i="1" s="1"/>
  <c r="AT477" i="1"/>
  <c r="AT476" i="1"/>
  <c r="AT475" i="1"/>
  <c r="AT474" i="1"/>
  <c r="AT473" i="1" s="1"/>
  <c r="AT471" i="1"/>
  <c r="AT470" i="1"/>
  <c r="AT469" i="1"/>
  <c r="AT468" i="1"/>
  <c r="AT467" i="1"/>
  <c r="AT466" i="1"/>
  <c r="AT465" i="1"/>
  <c r="AT464" i="1"/>
  <c r="AT462" i="1"/>
  <c r="AT461" i="1"/>
  <c r="AT460" i="1"/>
  <c r="AT459" i="1"/>
  <c r="AT458" i="1"/>
  <c r="AT457" i="1"/>
  <c r="AT456" i="1"/>
  <c r="AT454" i="1"/>
  <c r="AT453" i="1"/>
  <c r="AT452" i="1"/>
  <c r="AT451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5" i="1"/>
  <c r="AT434" i="1"/>
  <c r="AT433" i="1"/>
  <c r="AT432" i="1"/>
  <c r="AT431" i="1"/>
  <c r="AT430" i="1"/>
  <c r="AT429" i="1"/>
  <c r="AT428" i="1"/>
  <c r="AT427" i="1"/>
  <c r="AT426" i="1"/>
  <c r="AT425" i="1"/>
  <c r="AT423" i="1"/>
  <c r="AT422" i="1"/>
  <c r="AT421" i="1"/>
  <c r="AT420" i="1"/>
  <c r="AT419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3" i="1"/>
  <c r="AT202" i="1"/>
  <c r="AT201" i="1"/>
  <c r="AT200" i="1"/>
  <c r="AT199" i="1"/>
  <c r="AT198" i="1"/>
  <c r="AT197" i="1"/>
  <c r="AT195" i="1"/>
  <c r="AT194" i="1" s="1"/>
  <c r="AT192" i="1"/>
  <c r="AT191" i="1" s="1"/>
  <c r="AT190" i="1"/>
  <c r="AT189" i="1"/>
  <c r="AT188" i="1"/>
  <c r="AT187" i="1"/>
  <c r="AT186" i="1"/>
  <c r="AT185" i="1" s="1"/>
  <c r="AT184" i="1"/>
  <c r="AT183" i="1"/>
  <c r="AT182" i="1"/>
  <c r="AT181" i="1"/>
  <c r="AT180" i="1"/>
  <c r="AT177" i="1"/>
  <c r="AT176" i="1" s="1"/>
  <c r="AT175" i="1" s="1"/>
  <c r="AT174" i="1"/>
  <c r="AT173" i="1" s="1"/>
  <c r="AT172" i="1" s="1"/>
  <c r="AT171" i="1"/>
  <c r="AT170" i="1" s="1"/>
  <c r="AT169" i="1"/>
  <c r="AT168" i="1"/>
  <c r="AT166" i="1"/>
  <c r="AT165" i="1"/>
  <c r="AT162" i="1"/>
  <c r="AT161" i="1" s="1"/>
  <c r="AT160" i="1"/>
  <c r="AT159" i="1"/>
  <c r="AT158" i="1"/>
  <c r="AT157" i="1"/>
  <c r="AT154" i="1"/>
  <c r="AT153" i="1"/>
  <c r="AT152" i="1"/>
  <c r="AT151" i="1"/>
  <c r="AT150" i="1"/>
  <c r="AT149" i="1"/>
  <c r="AT148" i="1"/>
  <c r="AT146" i="1"/>
  <c r="AT145" i="1" s="1"/>
  <c r="AT144" i="1" s="1"/>
  <c r="AT143" i="1"/>
  <c r="AT142" i="1"/>
  <c r="AT141" i="1"/>
  <c r="AT139" i="1"/>
  <c r="AT138" i="1"/>
  <c r="AT137" i="1"/>
  <c r="AT136" i="1"/>
  <c r="AT135" i="1"/>
  <c r="AT134" i="1"/>
  <c r="AT131" i="1"/>
  <c r="AT130" i="1"/>
  <c r="AT129" i="1"/>
  <c r="AT128" i="1"/>
  <c r="AT127" i="1"/>
  <c r="AT123" i="1"/>
  <c r="AT122" i="1"/>
  <c r="AT120" i="1"/>
  <c r="AT119" i="1"/>
  <c r="AT118" i="1" s="1"/>
  <c r="AT117" i="1"/>
  <c r="AT116" i="1"/>
  <c r="AT114" i="1"/>
  <c r="AT113" i="1"/>
  <c r="AT112" i="1"/>
  <c r="AT109" i="1"/>
  <c r="AT108" i="1"/>
  <c r="AT107" i="1"/>
  <c r="AT105" i="1"/>
  <c r="AT104" i="1"/>
  <c r="AT103" i="1"/>
  <c r="AT102" i="1"/>
  <c r="AT100" i="1"/>
  <c r="AT99" i="1"/>
  <c r="AT98" i="1"/>
  <c r="AT97" i="1"/>
  <c r="AT96" i="1"/>
  <c r="AT95" i="1"/>
  <c r="AT94" i="1"/>
  <c r="AT91" i="1"/>
  <c r="AT90" i="1"/>
  <c r="AT89" i="1"/>
  <c r="AT88" i="1"/>
  <c r="AT86" i="1"/>
  <c r="AT85" i="1"/>
  <c r="AT84" i="1"/>
  <c r="AT83" i="1"/>
  <c r="AT82" i="1"/>
  <c r="AT81" i="1"/>
  <c r="AT80" i="1"/>
  <c r="AT79" i="1"/>
  <c r="AT78" i="1"/>
  <c r="AT76" i="1"/>
  <c r="AT75" i="1"/>
  <c r="AT74" i="1"/>
  <c r="AT73" i="1"/>
  <c r="AT72" i="1"/>
  <c r="AT71" i="1"/>
  <c r="AT70" i="1"/>
  <c r="AT69" i="1"/>
  <c r="AT68" i="1"/>
  <c r="AT66" i="1"/>
  <c r="AT65" i="1"/>
  <c r="AT64" i="1"/>
  <c r="AT63" i="1"/>
  <c r="AT62" i="1"/>
  <c r="AT61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5" i="1"/>
  <c r="AT44" i="1"/>
  <c r="AT43" i="1"/>
  <c r="AT42" i="1"/>
  <c r="AT41" i="1"/>
  <c r="AT40" i="1"/>
  <c r="AT39" i="1"/>
  <c r="AT38" i="1"/>
  <c r="AT37" i="1"/>
  <c r="AT36" i="1"/>
  <c r="AT34" i="1"/>
  <c r="AT33" i="1"/>
  <c r="AT32" i="1"/>
  <c r="AT31" i="1"/>
  <c r="AT30" i="1"/>
  <c r="AT29" i="1"/>
  <c r="AT26" i="1"/>
  <c r="AT25" i="1"/>
  <c r="AT24" i="1"/>
  <c r="AT23" i="1"/>
  <c r="AT22" i="1"/>
  <c r="AT21" i="1"/>
  <c r="AT20" i="1"/>
  <c r="AT19" i="1"/>
  <c r="AT18" i="1"/>
  <c r="AR507" i="1"/>
  <c r="AR506" i="1"/>
  <c r="AR504" i="1"/>
  <c r="AR503" i="1"/>
  <c r="AR501" i="1"/>
  <c r="AR500" i="1"/>
  <c r="AR499" i="1"/>
  <c r="AR498" i="1"/>
  <c r="AR497" i="1"/>
  <c r="AR496" i="1"/>
  <c r="AR495" i="1"/>
  <c r="AR494" i="1"/>
  <c r="AR493" i="1"/>
  <c r="AR492" i="1"/>
  <c r="AR490" i="1"/>
  <c r="AR489" i="1"/>
  <c r="AR488" i="1"/>
  <c r="AR487" i="1"/>
  <c r="AR486" i="1"/>
  <c r="AR485" i="1"/>
  <c r="AR484" i="1"/>
  <c r="AR481" i="1"/>
  <c r="AR480" i="1" s="1"/>
  <c r="AR479" i="1"/>
  <c r="AR478" i="1" s="1"/>
  <c r="AR477" i="1"/>
  <c r="AR476" i="1" s="1"/>
  <c r="AR475" i="1"/>
  <c r="AR474" i="1"/>
  <c r="AR473" i="1"/>
  <c r="AR471" i="1"/>
  <c r="AR470" i="1"/>
  <c r="AR469" i="1"/>
  <c r="AR468" i="1"/>
  <c r="AR467" i="1"/>
  <c r="AR466" i="1"/>
  <c r="AR465" i="1"/>
  <c r="AR464" i="1"/>
  <c r="AR462" i="1"/>
  <c r="AR461" i="1"/>
  <c r="AR460" i="1"/>
  <c r="AR459" i="1"/>
  <c r="AR458" i="1"/>
  <c r="AR457" i="1"/>
  <c r="AR456" i="1"/>
  <c r="AR454" i="1"/>
  <c r="AR453" i="1"/>
  <c r="AR452" i="1"/>
  <c r="AR451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5" i="1"/>
  <c r="AR434" i="1"/>
  <c r="AR433" i="1"/>
  <c r="AR432" i="1"/>
  <c r="AR431" i="1"/>
  <c r="AR430" i="1"/>
  <c r="AR429" i="1"/>
  <c r="AR428" i="1"/>
  <c r="AR427" i="1"/>
  <c r="AR426" i="1"/>
  <c r="AR425" i="1"/>
  <c r="AR423" i="1"/>
  <c r="AR422" i="1"/>
  <c r="AR421" i="1"/>
  <c r="AR420" i="1"/>
  <c r="AR419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3" i="1"/>
  <c r="AR202" i="1"/>
  <c r="AR201" i="1"/>
  <c r="AR200" i="1"/>
  <c r="AR199" i="1"/>
  <c r="AR198" i="1"/>
  <c r="AR197" i="1"/>
  <c r="AR195" i="1"/>
  <c r="AR194" i="1" s="1"/>
  <c r="AR192" i="1"/>
  <c r="AR191" i="1" s="1"/>
  <c r="AR190" i="1"/>
  <c r="AR189" i="1"/>
  <c r="AR188" i="1" s="1"/>
  <c r="AR187" i="1"/>
  <c r="AR186" i="1"/>
  <c r="AR185" i="1" s="1"/>
  <c r="AR184" i="1"/>
  <c r="AR183" i="1"/>
  <c r="AR182" i="1"/>
  <c r="AR181" i="1"/>
  <c r="AR180" i="1"/>
  <c r="AR177" i="1"/>
  <c r="AR176" i="1" s="1"/>
  <c r="AR175" i="1" s="1"/>
  <c r="AR174" i="1"/>
  <c r="AR173" i="1" s="1"/>
  <c r="AR172" i="1" s="1"/>
  <c r="AR171" i="1"/>
  <c r="AR170" i="1" s="1"/>
  <c r="AR169" i="1"/>
  <c r="AR168" i="1"/>
  <c r="AR166" i="1"/>
  <c r="AR165" i="1"/>
  <c r="AR162" i="1"/>
  <c r="AR161" i="1"/>
  <c r="AR160" i="1"/>
  <c r="AR159" i="1"/>
  <c r="AR158" i="1"/>
  <c r="AR157" i="1"/>
  <c r="AR156" i="1" s="1"/>
  <c r="AR154" i="1"/>
  <c r="AR153" i="1"/>
  <c r="AR152" i="1"/>
  <c r="AR151" i="1"/>
  <c r="AR150" i="1"/>
  <c r="AR149" i="1"/>
  <c r="AR148" i="1"/>
  <c r="AR146" i="1"/>
  <c r="AR145" i="1"/>
  <c r="AR144" i="1" s="1"/>
  <c r="AR143" i="1"/>
  <c r="AR142" i="1"/>
  <c r="AR141" i="1"/>
  <c r="AR140" i="1" s="1"/>
  <c r="AR139" i="1"/>
  <c r="AR138" i="1"/>
  <c r="AR137" i="1"/>
  <c r="AR136" i="1"/>
  <c r="AR135" i="1"/>
  <c r="AR134" i="1"/>
  <c r="AR131" i="1"/>
  <c r="AR130" i="1"/>
  <c r="AR129" i="1"/>
  <c r="AR128" i="1"/>
  <c r="AR127" i="1"/>
  <c r="AR123" i="1"/>
  <c r="AR121" i="1" s="1"/>
  <c r="AR122" i="1"/>
  <c r="AR120" i="1"/>
  <c r="AR119" i="1"/>
  <c r="AR118" i="1" s="1"/>
  <c r="AR117" i="1"/>
  <c r="AR116" i="1"/>
  <c r="AR114" i="1"/>
  <c r="AR113" i="1"/>
  <c r="AR112" i="1"/>
  <c r="AR109" i="1"/>
  <c r="AR108" i="1"/>
  <c r="AR107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1" i="1"/>
  <c r="AR90" i="1"/>
  <c r="AR89" i="1"/>
  <c r="AR88" i="1"/>
  <c r="AR86" i="1"/>
  <c r="AR85" i="1"/>
  <c r="AR84" i="1"/>
  <c r="AR83" i="1"/>
  <c r="AR82" i="1"/>
  <c r="AR81" i="1"/>
  <c r="AR80" i="1"/>
  <c r="AR79" i="1"/>
  <c r="AR78" i="1"/>
  <c r="AR76" i="1"/>
  <c r="AR75" i="1"/>
  <c r="AR74" i="1"/>
  <c r="AR73" i="1"/>
  <c r="AR72" i="1"/>
  <c r="AR71" i="1"/>
  <c r="AR70" i="1"/>
  <c r="AR69" i="1"/>
  <c r="AR68" i="1"/>
  <c r="AR67" i="1" s="1"/>
  <c r="AR66" i="1"/>
  <c r="AR65" i="1"/>
  <c r="AR64" i="1"/>
  <c r="AR63" i="1"/>
  <c r="AR62" i="1"/>
  <c r="AR61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5" i="1"/>
  <c r="AR44" i="1"/>
  <c r="AR43" i="1"/>
  <c r="AR42" i="1"/>
  <c r="AR41" i="1"/>
  <c r="AR35" i="1" s="1"/>
  <c r="AR40" i="1"/>
  <c r="AR39" i="1"/>
  <c r="AR38" i="1"/>
  <c r="AR37" i="1"/>
  <c r="AR36" i="1"/>
  <c r="AR34" i="1"/>
  <c r="AR33" i="1"/>
  <c r="AR32" i="1"/>
  <c r="AR31" i="1"/>
  <c r="AR30" i="1"/>
  <c r="AR29" i="1"/>
  <c r="AR26" i="1"/>
  <c r="AR25" i="1"/>
  <c r="AR24" i="1"/>
  <c r="AR23" i="1"/>
  <c r="AR22" i="1"/>
  <c r="AR21" i="1"/>
  <c r="AR20" i="1"/>
  <c r="AR19" i="1"/>
  <c r="AR18" i="1"/>
  <c r="AP507" i="1"/>
  <c r="AP505" i="1" s="1"/>
  <c r="AP506" i="1"/>
  <c r="AP504" i="1"/>
  <c r="AP503" i="1"/>
  <c r="AP502" i="1" s="1"/>
  <c r="AP501" i="1"/>
  <c r="AP500" i="1"/>
  <c r="AP499" i="1"/>
  <c r="AP498" i="1"/>
  <c r="AP497" i="1"/>
  <c r="AP496" i="1"/>
  <c r="AP495" i="1"/>
  <c r="AP494" i="1"/>
  <c r="AP493" i="1"/>
  <c r="AP492" i="1"/>
  <c r="AP490" i="1"/>
  <c r="AP489" i="1"/>
  <c r="AP488" i="1"/>
  <c r="AP487" i="1"/>
  <c r="AP486" i="1"/>
  <c r="AP485" i="1"/>
  <c r="AP484" i="1"/>
  <c r="AP481" i="1"/>
  <c r="AP480" i="1" s="1"/>
  <c r="AP479" i="1"/>
  <c r="AP478" i="1" s="1"/>
  <c r="AP477" i="1"/>
  <c r="AP476" i="1" s="1"/>
  <c r="AP475" i="1"/>
  <c r="AP474" i="1"/>
  <c r="AP471" i="1"/>
  <c r="AP470" i="1"/>
  <c r="AP469" i="1"/>
  <c r="AP468" i="1"/>
  <c r="AP467" i="1"/>
  <c r="AP466" i="1"/>
  <c r="AP465" i="1"/>
  <c r="AP464" i="1"/>
  <c r="AP462" i="1"/>
  <c r="AP461" i="1"/>
  <c r="AP460" i="1"/>
  <c r="AP459" i="1"/>
  <c r="AP458" i="1"/>
  <c r="AP457" i="1"/>
  <c r="AP456" i="1"/>
  <c r="AP454" i="1"/>
  <c r="AP453" i="1"/>
  <c r="AP452" i="1"/>
  <c r="AP451" i="1"/>
  <c r="AP450" i="1" s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5" i="1"/>
  <c r="AP434" i="1"/>
  <c r="AP433" i="1"/>
  <c r="AP432" i="1"/>
  <c r="AP431" i="1"/>
  <c r="AP430" i="1"/>
  <c r="AP429" i="1"/>
  <c r="AP428" i="1"/>
  <c r="AP427" i="1"/>
  <c r="AP426" i="1"/>
  <c r="AP425" i="1"/>
  <c r="AP423" i="1"/>
  <c r="AP422" i="1"/>
  <c r="AP421" i="1"/>
  <c r="AP420" i="1"/>
  <c r="AP419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3" i="1"/>
  <c r="AP202" i="1"/>
  <c r="AP201" i="1"/>
  <c r="AP200" i="1"/>
  <c r="AP199" i="1"/>
  <c r="AP198" i="1"/>
  <c r="AP197" i="1"/>
  <c r="AP195" i="1"/>
  <c r="AP194" i="1" s="1"/>
  <c r="AP192" i="1"/>
  <c r="AP191" i="1" s="1"/>
  <c r="AP190" i="1"/>
  <c r="AP189" i="1"/>
  <c r="AP188" i="1" s="1"/>
  <c r="AP187" i="1"/>
  <c r="AP185" i="1" s="1"/>
  <c r="AP186" i="1"/>
  <c r="AP184" i="1"/>
  <c r="AP183" i="1"/>
  <c r="AP182" i="1"/>
  <c r="AP181" i="1"/>
  <c r="AP180" i="1"/>
  <c r="AP177" i="1"/>
  <c r="AP176" i="1" s="1"/>
  <c r="AP175" i="1" s="1"/>
  <c r="AP174" i="1"/>
  <c r="AP173" i="1" s="1"/>
  <c r="AP172" i="1" s="1"/>
  <c r="AP171" i="1"/>
  <c r="AP170" i="1" s="1"/>
  <c r="AP169" i="1"/>
  <c r="AP167" i="1" s="1"/>
  <c r="AP168" i="1"/>
  <c r="AP166" i="1"/>
  <c r="AP165" i="1"/>
  <c r="AP164" i="1" s="1"/>
  <c r="AP162" i="1"/>
  <c r="AP161" i="1" s="1"/>
  <c r="AP160" i="1"/>
  <c r="AP159" i="1"/>
  <c r="AP158" i="1"/>
  <c r="AP157" i="1"/>
  <c r="AP156" i="1" s="1"/>
  <c r="AP154" i="1"/>
  <c r="AP153" i="1"/>
  <c r="AP152" i="1"/>
  <c r="AP151" i="1"/>
  <c r="AP150" i="1"/>
  <c r="AP149" i="1"/>
  <c r="AP148" i="1"/>
  <c r="AP146" i="1"/>
  <c r="AP145" i="1" s="1"/>
  <c r="AP144" i="1" s="1"/>
  <c r="AP143" i="1"/>
  <c r="AP142" i="1"/>
  <c r="AP141" i="1"/>
  <c r="AP140" i="1" s="1"/>
  <c r="AP139" i="1"/>
  <c r="AP138" i="1"/>
  <c r="AP137" i="1"/>
  <c r="AP136" i="1"/>
  <c r="AP135" i="1"/>
  <c r="AP134" i="1"/>
  <c r="AP131" i="1"/>
  <c r="AP130" i="1"/>
  <c r="AP129" i="1"/>
  <c r="AP128" i="1"/>
  <c r="AP127" i="1"/>
  <c r="AP123" i="1"/>
  <c r="AP122" i="1"/>
  <c r="AP120" i="1"/>
  <c r="AP118" i="1" s="1"/>
  <c r="AP119" i="1"/>
  <c r="AP117" i="1"/>
  <c r="AP115" i="1" s="1"/>
  <c r="AP116" i="1"/>
  <c r="AP114" i="1"/>
  <c r="AP113" i="1"/>
  <c r="AP112" i="1"/>
  <c r="AP109" i="1"/>
  <c r="AP108" i="1"/>
  <c r="AP107" i="1"/>
  <c r="AP105" i="1"/>
  <c r="AP104" i="1"/>
  <c r="AP103" i="1"/>
  <c r="AP102" i="1"/>
  <c r="AP100" i="1"/>
  <c r="AP99" i="1"/>
  <c r="AP98" i="1"/>
  <c r="AP97" i="1"/>
  <c r="AP96" i="1"/>
  <c r="AP95" i="1"/>
  <c r="AP94" i="1"/>
  <c r="AP91" i="1"/>
  <c r="AP90" i="1"/>
  <c r="AP89" i="1"/>
  <c r="AP88" i="1"/>
  <c r="AP86" i="1"/>
  <c r="AP77" i="1" s="1"/>
  <c r="AP85" i="1"/>
  <c r="AP84" i="1"/>
  <c r="AP83" i="1"/>
  <c r="AP82" i="1"/>
  <c r="AP81" i="1"/>
  <c r="AP80" i="1"/>
  <c r="AP79" i="1"/>
  <c r="AP78" i="1"/>
  <c r="AP76" i="1"/>
  <c r="AP75" i="1"/>
  <c r="AP74" i="1"/>
  <c r="AP73" i="1"/>
  <c r="AP72" i="1"/>
  <c r="AP71" i="1"/>
  <c r="AP70" i="1"/>
  <c r="AP69" i="1"/>
  <c r="AP68" i="1"/>
  <c r="AP66" i="1"/>
  <c r="AP65" i="1"/>
  <c r="AP64" i="1"/>
  <c r="AP63" i="1"/>
  <c r="AP62" i="1"/>
  <c r="AP61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5" i="1"/>
  <c r="AP44" i="1"/>
  <c r="AP43" i="1"/>
  <c r="AP42" i="1"/>
  <c r="AP41" i="1"/>
  <c r="AP40" i="1"/>
  <c r="AP39" i="1"/>
  <c r="AP38" i="1"/>
  <c r="AP37" i="1"/>
  <c r="AP36" i="1"/>
  <c r="AP34" i="1"/>
  <c r="AP33" i="1"/>
  <c r="AP32" i="1"/>
  <c r="AP31" i="1"/>
  <c r="AP30" i="1"/>
  <c r="AP29" i="1"/>
  <c r="AP26" i="1"/>
  <c r="AP25" i="1"/>
  <c r="AP24" i="1"/>
  <c r="AP23" i="1"/>
  <c r="AP22" i="1"/>
  <c r="AP21" i="1"/>
  <c r="AP20" i="1"/>
  <c r="AP19" i="1"/>
  <c r="AP18" i="1"/>
  <c r="AN507" i="1"/>
  <c r="AN506" i="1"/>
  <c r="AN504" i="1"/>
  <c r="AN503" i="1"/>
  <c r="AN501" i="1"/>
  <c r="AN500" i="1"/>
  <c r="AN499" i="1"/>
  <c r="AN498" i="1"/>
  <c r="AN497" i="1"/>
  <c r="AN496" i="1"/>
  <c r="AN495" i="1"/>
  <c r="AN494" i="1"/>
  <c r="AN493" i="1"/>
  <c r="AN492" i="1"/>
  <c r="AN490" i="1"/>
  <c r="AN489" i="1"/>
  <c r="AN488" i="1"/>
  <c r="AN487" i="1"/>
  <c r="AN486" i="1"/>
  <c r="AN485" i="1"/>
  <c r="AN484" i="1"/>
  <c r="AN481" i="1"/>
  <c r="AN480" i="1" s="1"/>
  <c r="AN479" i="1"/>
  <c r="AN478" i="1" s="1"/>
  <c r="AN477" i="1"/>
  <c r="AN476" i="1" s="1"/>
  <c r="AN475" i="1"/>
  <c r="AN474" i="1"/>
  <c r="AN473" i="1" s="1"/>
  <c r="AN471" i="1"/>
  <c r="AN470" i="1"/>
  <c r="AN469" i="1"/>
  <c r="AN468" i="1"/>
  <c r="AN467" i="1"/>
  <c r="AN466" i="1"/>
  <c r="AN465" i="1"/>
  <c r="AN464" i="1"/>
  <c r="AN462" i="1"/>
  <c r="AN461" i="1"/>
  <c r="AN460" i="1"/>
  <c r="AN459" i="1"/>
  <c r="AN458" i="1"/>
  <c r="AN457" i="1"/>
  <c r="AN456" i="1"/>
  <c r="AN454" i="1"/>
  <c r="AN453" i="1"/>
  <c r="AN452" i="1"/>
  <c r="AN451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5" i="1"/>
  <c r="AN434" i="1"/>
  <c r="AN433" i="1"/>
  <c r="AN432" i="1"/>
  <c r="AN431" i="1"/>
  <c r="AN430" i="1"/>
  <c r="AN429" i="1"/>
  <c r="AN428" i="1"/>
  <c r="AN427" i="1"/>
  <c r="AN426" i="1"/>
  <c r="AN425" i="1"/>
  <c r="AN423" i="1"/>
  <c r="AN422" i="1"/>
  <c r="AN421" i="1"/>
  <c r="AN420" i="1"/>
  <c r="AN419" i="1"/>
  <c r="AN418" i="1" s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3" i="1"/>
  <c r="AN202" i="1"/>
  <c r="AN201" i="1"/>
  <c r="AN200" i="1"/>
  <c r="AN199" i="1"/>
  <c r="AN198" i="1"/>
  <c r="AN197" i="1"/>
  <c r="AN195" i="1"/>
  <c r="AN194" i="1" s="1"/>
  <c r="AN192" i="1"/>
  <c r="AN191" i="1" s="1"/>
  <c r="AN190" i="1"/>
  <c r="AN188" i="1" s="1"/>
  <c r="AN189" i="1"/>
  <c r="AN187" i="1"/>
  <c r="AN186" i="1"/>
  <c r="AN185" i="1"/>
  <c r="AN184" i="1"/>
  <c r="AN183" i="1"/>
  <c r="AN182" i="1"/>
  <c r="AN181" i="1"/>
  <c r="AN180" i="1"/>
  <c r="AN177" i="1"/>
  <c r="AN176" i="1"/>
  <c r="AN175" i="1" s="1"/>
  <c r="AN174" i="1"/>
  <c r="AN173" i="1" s="1"/>
  <c r="AN172" i="1" s="1"/>
  <c r="AN171" i="1"/>
  <c r="AN170" i="1" s="1"/>
  <c r="AN169" i="1"/>
  <c r="AN168" i="1"/>
  <c r="AN166" i="1"/>
  <c r="AN165" i="1"/>
  <c r="AN162" i="1"/>
  <c r="AN161" i="1" s="1"/>
  <c r="AN160" i="1"/>
  <c r="AN159" i="1"/>
  <c r="AN158" i="1"/>
  <c r="AN157" i="1"/>
  <c r="AN154" i="1"/>
  <c r="AN153" i="1"/>
  <c r="AN152" i="1"/>
  <c r="AN151" i="1"/>
  <c r="AN150" i="1"/>
  <c r="AN149" i="1"/>
  <c r="AN148" i="1"/>
  <c r="AN146" i="1"/>
  <c r="AN145" i="1" s="1"/>
  <c r="AN144" i="1" s="1"/>
  <c r="AN143" i="1"/>
  <c r="AN142" i="1"/>
  <c r="AN141" i="1"/>
  <c r="AN139" i="1"/>
  <c r="AN138" i="1"/>
  <c r="AN137" i="1"/>
  <c r="AN136" i="1"/>
  <c r="AN135" i="1"/>
  <c r="AN134" i="1"/>
  <c r="AN131" i="1"/>
  <c r="AN130" i="1"/>
  <c r="AN129" i="1"/>
  <c r="AN128" i="1"/>
  <c r="AN127" i="1"/>
  <c r="AN123" i="1"/>
  <c r="AN122" i="1"/>
  <c r="AN120" i="1"/>
  <c r="AN119" i="1"/>
  <c r="AN117" i="1"/>
  <c r="AN116" i="1"/>
  <c r="AN114" i="1"/>
  <c r="AN113" i="1"/>
  <c r="AN112" i="1"/>
  <c r="AN109" i="1"/>
  <c r="AN108" i="1"/>
  <c r="AN107" i="1"/>
  <c r="AN105" i="1"/>
  <c r="AN104" i="1"/>
  <c r="AN103" i="1"/>
  <c r="AN102" i="1"/>
  <c r="AN100" i="1"/>
  <c r="AN99" i="1"/>
  <c r="AN98" i="1"/>
  <c r="AN97" i="1"/>
  <c r="AN96" i="1"/>
  <c r="AN95" i="1"/>
  <c r="AN94" i="1"/>
  <c r="AN93" i="1" s="1"/>
  <c r="AN91" i="1"/>
  <c r="AN90" i="1"/>
  <c r="AN89" i="1"/>
  <c r="AN88" i="1"/>
  <c r="AN86" i="1"/>
  <c r="AN85" i="1"/>
  <c r="AN84" i="1"/>
  <c r="AN83" i="1"/>
  <c r="AN82" i="1"/>
  <c r="AN81" i="1"/>
  <c r="AN80" i="1"/>
  <c r="AN79" i="1"/>
  <c r="AN78" i="1"/>
  <c r="AN76" i="1"/>
  <c r="AN75" i="1"/>
  <c r="AN74" i="1"/>
  <c r="AN73" i="1"/>
  <c r="AN72" i="1"/>
  <c r="AN71" i="1"/>
  <c r="AN67" i="1" s="1"/>
  <c r="AN70" i="1"/>
  <c r="AN69" i="1"/>
  <c r="AN68" i="1"/>
  <c r="AN66" i="1"/>
  <c r="AN65" i="1"/>
  <c r="AN64" i="1"/>
  <c r="AN63" i="1"/>
  <c r="AN62" i="1"/>
  <c r="AN61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5" i="1"/>
  <c r="AN44" i="1"/>
  <c r="AN43" i="1"/>
  <c r="AN42" i="1"/>
  <c r="AN41" i="1"/>
  <c r="AN40" i="1"/>
  <c r="AN39" i="1"/>
  <c r="AN38" i="1"/>
  <c r="AN37" i="1"/>
  <c r="AN36" i="1"/>
  <c r="AN34" i="1"/>
  <c r="AN33" i="1"/>
  <c r="AN32" i="1"/>
  <c r="AN31" i="1"/>
  <c r="AN30" i="1"/>
  <c r="AN29" i="1"/>
  <c r="AN26" i="1"/>
  <c r="AN25" i="1"/>
  <c r="AN24" i="1"/>
  <c r="AN23" i="1"/>
  <c r="AN22" i="1"/>
  <c r="AN21" i="1"/>
  <c r="AN20" i="1"/>
  <c r="AN19" i="1"/>
  <c r="AN18" i="1"/>
  <c r="AL507" i="1"/>
  <c r="AL506" i="1"/>
  <c r="AL504" i="1"/>
  <c r="AL502" i="1" s="1"/>
  <c r="AL503" i="1"/>
  <c r="AL501" i="1"/>
  <c r="AL500" i="1"/>
  <c r="AL499" i="1"/>
  <c r="AL498" i="1"/>
  <c r="AL497" i="1"/>
  <c r="AL496" i="1"/>
  <c r="AL495" i="1"/>
  <c r="AL494" i="1"/>
  <c r="AL493" i="1"/>
  <c r="AL492" i="1"/>
  <c r="AL490" i="1"/>
  <c r="AL489" i="1"/>
  <c r="AL488" i="1"/>
  <c r="AL487" i="1"/>
  <c r="AL486" i="1"/>
  <c r="AL485" i="1"/>
  <c r="AL484" i="1"/>
  <c r="AL481" i="1"/>
  <c r="AL480" i="1" s="1"/>
  <c r="AL479" i="1"/>
  <c r="AL478" i="1"/>
  <c r="AL477" i="1"/>
  <c r="AL476" i="1" s="1"/>
  <c r="AL475" i="1"/>
  <c r="AL474" i="1"/>
  <c r="AL471" i="1"/>
  <c r="AL470" i="1"/>
  <c r="AL469" i="1"/>
  <c r="AL468" i="1"/>
  <c r="AL467" i="1"/>
  <c r="AL466" i="1"/>
  <c r="AL465" i="1"/>
  <c r="AL464" i="1"/>
  <c r="AL462" i="1"/>
  <c r="AL461" i="1"/>
  <c r="AL460" i="1"/>
  <c r="AL459" i="1"/>
  <c r="AL458" i="1"/>
  <c r="AL457" i="1"/>
  <c r="AL456" i="1"/>
  <c r="AL454" i="1"/>
  <c r="AL453" i="1"/>
  <c r="AL452" i="1"/>
  <c r="AL451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5" i="1"/>
  <c r="AL434" i="1"/>
  <c r="AL433" i="1"/>
  <c r="AL432" i="1"/>
  <c r="AL431" i="1"/>
  <c r="AL430" i="1"/>
  <c r="AL429" i="1"/>
  <c r="AL428" i="1"/>
  <c r="AL427" i="1"/>
  <c r="AL426" i="1"/>
  <c r="AL425" i="1"/>
  <c r="AL423" i="1"/>
  <c r="AL422" i="1"/>
  <c r="AL421" i="1"/>
  <c r="AL420" i="1"/>
  <c r="AL419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3" i="1"/>
  <c r="AL202" i="1"/>
  <c r="AL201" i="1"/>
  <c r="AL200" i="1"/>
  <c r="AL199" i="1"/>
  <c r="AL198" i="1"/>
  <c r="AL197" i="1"/>
  <c r="AL195" i="1"/>
  <c r="AL194" i="1" s="1"/>
  <c r="AL192" i="1"/>
  <c r="AL191" i="1" s="1"/>
  <c r="AL190" i="1"/>
  <c r="AL189" i="1"/>
  <c r="AL187" i="1"/>
  <c r="AL186" i="1"/>
  <c r="AL185" i="1" s="1"/>
  <c r="AL184" i="1"/>
  <c r="AL183" i="1"/>
  <c r="AL182" i="1"/>
  <c r="AL181" i="1"/>
  <c r="AL180" i="1"/>
  <c r="AL177" i="1"/>
  <c r="AL176" i="1" s="1"/>
  <c r="AL175" i="1" s="1"/>
  <c r="AL174" i="1"/>
  <c r="AL173" i="1"/>
  <c r="AL172" i="1" s="1"/>
  <c r="AL171" i="1"/>
  <c r="AL170" i="1" s="1"/>
  <c r="AL169" i="1"/>
  <c r="AL168" i="1"/>
  <c r="AL167" i="1" s="1"/>
  <c r="AL166" i="1"/>
  <c r="AL165" i="1"/>
  <c r="AL164" i="1" s="1"/>
  <c r="AL162" i="1"/>
  <c r="AL161" i="1" s="1"/>
  <c r="AL160" i="1"/>
  <c r="AL159" i="1"/>
  <c r="AL158" i="1"/>
  <c r="AL157" i="1"/>
  <c r="AL154" i="1"/>
  <c r="AL153" i="1"/>
  <c r="AL152" i="1"/>
  <c r="AL151" i="1"/>
  <c r="AL150" i="1"/>
  <c r="AL149" i="1"/>
  <c r="AL148" i="1"/>
  <c r="AL146" i="1"/>
  <c r="AL145" i="1"/>
  <c r="AL144" i="1" s="1"/>
  <c r="AL143" i="1"/>
  <c r="AL142" i="1"/>
  <c r="AL141" i="1"/>
  <c r="AL139" i="1"/>
  <c r="AL138" i="1"/>
  <c r="AL137" i="1"/>
  <c r="AL136" i="1"/>
  <c r="AL135" i="1"/>
  <c r="AL134" i="1"/>
  <c r="AL131" i="1"/>
  <c r="AL130" i="1"/>
  <c r="AL129" i="1"/>
  <c r="AL128" i="1"/>
  <c r="AL127" i="1"/>
  <c r="AL123" i="1"/>
  <c r="AL122" i="1"/>
  <c r="AL121" i="1" s="1"/>
  <c r="AL120" i="1"/>
  <c r="AL119" i="1"/>
  <c r="AL117" i="1"/>
  <c r="AL116" i="1"/>
  <c r="AL114" i="1"/>
  <c r="AL113" i="1"/>
  <c r="AL112" i="1"/>
  <c r="AL109" i="1"/>
  <c r="AL108" i="1"/>
  <c r="AL107" i="1"/>
  <c r="AL105" i="1"/>
  <c r="AL104" i="1"/>
  <c r="AL103" i="1"/>
  <c r="AL101" i="1" s="1"/>
  <c r="AL102" i="1"/>
  <c r="AL100" i="1"/>
  <c r="AL99" i="1"/>
  <c r="AL98" i="1"/>
  <c r="AL97" i="1"/>
  <c r="AL96" i="1"/>
  <c r="AL95" i="1"/>
  <c r="AL94" i="1"/>
  <c r="AL91" i="1"/>
  <c r="AL90" i="1"/>
  <c r="AL89" i="1"/>
  <c r="AL88" i="1"/>
  <c r="AL86" i="1"/>
  <c r="AL85" i="1"/>
  <c r="AL84" i="1"/>
  <c r="AL83" i="1"/>
  <c r="AL82" i="1"/>
  <c r="AL81" i="1"/>
  <c r="AL80" i="1"/>
  <c r="AL79" i="1"/>
  <c r="AL78" i="1"/>
  <c r="AL76" i="1"/>
  <c r="AL75" i="1"/>
  <c r="AL74" i="1"/>
  <c r="AL73" i="1"/>
  <c r="AL72" i="1"/>
  <c r="AL71" i="1"/>
  <c r="AL70" i="1"/>
  <c r="AL69" i="1"/>
  <c r="AL68" i="1"/>
  <c r="AL66" i="1"/>
  <c r="AL65" i="1"/>
  <c r="AL64" i="1"/>
  <c r="AL63" i="1"/>
  <c r="AL62" i="1"/>
  <c r="AL61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5" i="1"/>
  <c r="AL44" i="1"/>
  <c r="AL43" i="1"/>
  <c r="AL42" i="1"/>
  <c r="AL41" i="1"/>
  <c r="AL40" i="1"/>
  <c r="AL39" i="1"/>
  <c r="AL38" i="1"/>
  <c r="AL37" i="1"/>
  <c r="AL36" i="1"/>
  <c r="AL34" i="1"/>
  <c r="AL33" i="1"/>
  <c r="AL32" i="1"/>
  <c r="AL31" i="1"/>
  <c r="AL30" i="1"/>
  <c r="AL29" i="1"/>
  <c r="AL26" i="1"/>
  <c r="AL25" i="1"/>
  <c r="AL24" i="1"/>
  <c r="AL23" i="1"/>
  <c r="AL22" i="1"/>
  <c r="AL21" i="1"/>
  <c r="AL20" i="1"/>
  <c r="AL19" i="1"/>
  <c r="AL18" i="1"/>
  <c r="AJ507" i="1"/>
  <c r="AJ506" i="1"/>
  <c r="AJ505" i="1" s="1"/>
  <c r="AJ504" i="1"/>
  <c r="AJ503" i="1"/>
  <c r="AJ501" i="1"/>
  <c r="AJ500" i="1"/>
  <c r="AJ499" i="1"/>
  <c r="AJ498" i="1"/>
  <c r="AJ497" i="1"/>
  <c r="AJ496" i="1"/>
  <c r="AJ495" i="1"/>
  <c r="AJ494" i="1"/>
  <c r="AJ493" i="1"/>
  <c r="AJ492" i="1"/>
  <c r="AJ490" i="1"/>
  <c r="AJ489" i="1"/>
  <c r="AJ488" i="1"/>
  <c r="AJ487" i="1"/>
  <c r="AJ486" i="1"/>
  <c r="AJ485" i="1"/>
  <c r="AJ484" i="1"/>
  <c r="AJ481" i="1"/>
  <c r="AJ480" i="1" s="1"/>
  <c r="AJ479" i="1"/>
  <c r="AJ478" i="1" s="1"/>
  <c r="AJ477" i="1"/>
  <c r="AJ476" i="1" s="1"/>
  <c r="AJ475" i="1"/>
  <c r="AJ474" i="1"/>
  <c r="AJ471" i="1"/>
  <c r="AJ470" i="1"/>
  <c r="AJ469" i="1"/>
  <c r="AJ468" i="1"/>
  <c r="AJ467" i="1"/>
  <c r="AJ466" i="1"/>
  <c r="AJ465" i="1"/>
  <c r="AJ464" i="1"/>
  <c r="AJ462" i="1"/>
  <c r="AJ461" i="1"/>
  <c r="AJ460" i="1"/>
  <c r="AJ459" i="1"/>
  <c r="AJ458" i="1"/>
  <c r="AJ457" i="1"/>
  <c r="AJ456" i="1"/>
  <c r="AJ454" i="1"/>
  <c r="AJ453" i="1"/>
  <c r="AJ452" i="1"/>
  <c r="AJ451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5" i="1"/>
  <c r="AJ434" i="1"/>
  <c r="AJ433" i="1"/>
  <c r="AJ432" i="1"/>
  <c r="AJ431" i="1"/>
  <c r="AJ430" i="1"/>
  <c r="AJ429" i="1"/>
  <c r="AJ428" i="1"/>
  <c r="AJ427" i="1"/>
  <c r="AJ426" i="1"/>
  <c r="AJ425" i="1"/>
  <c r="AJ423" i="1"/>
  <c r="AJ422" i="1"/>
  <c r="AJ421" i="1"/>
  <c r="AJ420" i="1"/>
  <c r="AJ419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3" i="1"/>
  <c r="AJ202" i="1"/>
  <c r="AJ201" i="1"/>
  <c r="AJ200" i="1"/>
  <c r="AJ199" i="1"/>
  <c r="AJ198" i="1"/>
  <c r="AJ197" i="1"/>
  <c r="AJ195" i="1"/>
  <c r="AJ194" i="1" s="1"/>
  <c r="AJ192" i="1"/>
  <c r="AJ191" i="1" s="1"/>
  <c r="AJ190" i="1"/>
  <c r="AJ189" i="1"/>
  <c r="AJ188" i="1" s="1"/>
  <c r="AJ187" i="1"/>
  <c r="AJ186" i="1"/>
  <c r="AJ185" i="1" s="1"/>
  <c r="AJ184" i="1"/>
  <c r="AJ183" i="1"/>
  <c r="AJ182" i="1"/>
  <c r="AJ181" i="1"/>
  <c r="AJ180" i="1"/>
  <c r="AJ177" i="1"/>
  <c r="AJ176" i="1" s="1"/>
  <c r="AJ175" i="1" s="1"/>
  <c r="AJ174" i="1"/>
  <c r="AJ173" i="1" s="1"/>
  <c r="AJ172" i="1" s="1"/>
  <c r="AJ171" i="1"/>
  <c r="AJ170" i="1" s="1"/>
  <c r="AJ169" i="1"/>
  <c r="AJ168" i="1"/>
  <c r="AJ166" i="1"/>
  <c r="AJ165" i="1"/>
  <c r="AJ164" i="1" s="1"/>
  <c r="AJ162" i="1"/>
  <c r="AJ161" i="1"/>
  <c r="AJ160" i="1"/>
  <c r="AJ159" i="1"/>
  <c r="AJ158" i="1"/>
  <c r="AJ157" i="1"/>
  <c r="AJ156" i="1" s="1"/>
  <c r="AJ155" i="1" s="1"/>
  <c r="AJ154" i="1"/>
  <c r="AJ153" i="1"/>
  <c r="AJ152" i="1"/>
  <c r="AJ151" i="1"/>
  <c r="AJ150" i="1"/>
  <c r="AJ149" i="1"/>
  <c r="AJ148" i="1"/>
  <c r="AJ146" i="1"/>
  <c r="AJ145" i="1" s="1"/>
  <c r="AJ144" i="1" s="1"/>
  <c r="AJ143" i="1"/>
  <c r="AJ142" i="1"/>
  <c r="AJ141" i="1"/>
  <c r="AJ139" i="1"/>
  <c r="AJ138" i="1"/>
  <c r="AJ137" i="1"/>
  <c r="AJ136" i="1"/>
  <c r="AJ135" i="1"/>
  <c r="AJ134" i="1"/>
  <c r="AJ131" i="1"/>
  <c r="AJ130" i="1"/>
  <c r="AJ129" i="1"/>
  <c r="AJ128" i="1"/>
  <c r="AJ127" i="1"/>
  <c r="AJ123" i="1"/>
  <c r="AJ122" i="1"/>
  <c r="AJ120" i="1"/>
  <c r="AJ119" i="1"/>
  <c r="AJ118" i="1" s="1"/>
  <c r="AJ117" i="1"/>
  <c r="AJ116" i="1"/>
  <c r="AJ114" i="1"/>
  <c r="AJ113" i="1"/>
  <c r="AJ112" i="1"/>
  <c r="AJ109" i="1"/>
  <c r="AJ108" i="1"/>
  <c r="AJ107" i="1"/>
  <c r="AJ105" i="1"/>
  <c r="AJ104" i="1"/>
  <c r="AJ103" i="1"/>
  <c r="AJ102" i="1"/>
  <c r="AJ100" i="1"/>
  <c r="AJ99" i="1"/>
  <c r="AJ98" i="1"/>
  <c r="AJ97" i="1"/>
  <c r="AJ96" i="1"/>
  <c r="AJ95" i="1"/>
  <c r="AJ94" i="1"/>
  <c r="AJ91" i="1"/>
  <c r="AJ90" i="1"/>
  <c r="AJ89" i="1"/>
  <c r="AJ88" i="1"/>
  <c r="AJ86" i="1"/>
  <c r="AJ85" i="1"/>
  <c r="AJ84" i="1"/>
  <c r="AJ83" i="1"/>
  <c r="AJ82" i="1"/>
  <c r="AJ81" i="1"/>
  <c r="AJ80" i="1"/>
  <c r="AJ79" i="1"/>
  <c r="AJ78" i="1"/>
  <c r="AJ76" i="1"/>
  <c r="AJ75" i="1"/>
  <c r="AJ74" i="1"/>
  <c r="AJ73" i="1"/>
  <c r="AJ72" i="1"/>
  <c r="AJ71" i="1"/>
  <c r="AJ70" i="1"/>
  <c r="AJ69" i="1"/>
  <c r="AJ68" i="1"/>
  <c r="AJ66" i="1"/>
  <c r="AJ65" i="1"/>
  <c r="AJ64" i="1"/>
  <c r="AJ63" i="1"/>
  <c r="AJ62" i="1"/>
  <c r="AJ61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5" i="1"/>
  <c r="AJ44" i="1"/>
  <c r="AJ43" i="1"/>
  <c r="AJ42" i="1"/>
  <c r="AJ41" i="1"/>
  <c r="AJ40" i="1"/>
  <c r="AJ39" i="1"/>
  <c r="AJ38" i="1"/>
  <c r="AJ37" i="1"/>
  <c r="AJ36" i="1"/>
  <c r="AJ34" i="1"/>
  <c r="AJ33" i="1"/>
  <c r="AJ32" i="1"/>
  <c r="AJ31" i="1"/>
  <c r="AJ30" i="1"/>
  <c r="AJ29" i="1"/>
  <c r="AJ26" i="1"/>
  <c r="AJ25" i="1"/>
  <c r="AJ24" i="1"/>
  <c r="AJ23" i="1"/>
  <c r="AJ22" i="1"/>
  <c r="AJ21" i="1"/>
  <c r="AJ20" i="1"/>
  <c r="AJ19" i="1"/>
  <c r="AJ18" i="1"/>
  <c r="AH507" i="1"/>
  <c r="AH506" i="1"/>
  <c r="AH505" i="1" s="1"/>
  <c r="AH504" i="1"/>
  <c r="AH503" i="1"/>
  <c r="AH501" i="1"/>
  <c r="AH500" i="1"/>
  <c r="AH499" i="1"/>
  <c r="AH498" i="1"/>
  <c r="AH497" i="1"/>
  <c r="AH496" i="1"/>
  <c r="AH495" i="1"/>
  <c r="AH494" i="1"/>
  <c r="AH493" i="1"/>
  <c r="AH492" i="1"/>
  <c r="AH490" i="1"/>
  <c r="AH489" i="1"/>
  <c r="AH488" i="1"/>
  <c r="AH487" i="1"/>
  <c r="AH486" i="1"/>
  <c r="AH485" i="1"/>
  <c r="AH484" i="1"/>
  <c r="AH481" i="1"/>
  <c r="AH480" i="1"/>
  <c r="AH479" i="1"/>
  <c r="AH478" i="1" s="1"/>
  <c r="AH477" i="1"/>
  <c r="AH476" i="1" s="1"/>
  <c r="AH475" i="1"/>
  <c r="AH474" i="1"/>
  <c r="AH473" i="1" s="1"/>
  <c r="AH471" i="1"/>
  <c r="AH470" i="1"/>
  <c r="AH469" i="1"/>
  <c r="AH468" i="1"/>
  <c r="AH467" i="1"/>
  <c r="AH466" i="1"/>
  <c r="AH465" i="1"/>
  <c r="AH464" i="1"/>
  <c r="AH462" i="1"/>
  <c r="AH461" i="1"/>
  <c r="AH460" i="1"/>
  <c r="AH459" i="1"/>
  <c r="AH458" i="1"/>
  <c r="AH457" i="1"/>
  <c r="AH456" i="1"/>
  <c r="AH454" i="1"/>
  <c r="AH453" i="1"/>
  <c r="AH452" i="1"/>
  <c r="AH451" i="1"/>
  <c r="AH450" i="1" s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5" i="1"/>
  <c r="AH434" i="1"/>
  <c r="AH433" i="1"/>
  <c r="AH432" i="1"/>
  <c r="AH431" i="1"/>
  <c r="AH430" i="1"/>
  <c r="AH429" i="1"/>
  <c r="AH428" i="1"/>
  <c r="AH427" i="1"/>
  <c r="AH426" i="1"/>
  <c r="AH425" i="1"/>
  <c r="AH423" i="1"/>
  <c r="AH422" i="1"/>
  <c r="AH421" i="1"/>
  <c r="AH420" i="1"/>
  <c r="AH419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3" i="1"/>
  <c r="AH202" i="1"/>
  <c r="AH201" i="1"/>
  <c r="AH200" i="1"/>
  <c r="AH199" i="1"/>
  <c r="AH198" i="1"/>
  <c r="AH197" i="1"/>
  <c r="AH195" i="1"/>
  <c r="AH194" i="1" s="1"/>
  <c r="AH192" i="1"/>
  <c r="AH191" i="1" s="1"/>
  <c r="AH190" i="1"/>
  <c r="AH189" i="1"/>
  <c r="AH187" i="1"/>
  <c r="AH186" i="1"/>
  <c r="AH185" i="1" s="1"/>
  <c r="AH184" i="1"/>
  <c r="AH183" i="1"/>
  <c r="AH182" i="1"/>
  <c r="AH181" i="1"/>
  <c r="AH180" i="1"/>
  <c r="AH177" i="1"/>
  <c r="AH176" i="1" s="1"/>
  <c r="AH175" i="1" s="1"/>
  <c r="AH174" i="1"/>
  <c r="AH173" i="1" s="1"/>
  <c r="AH172" i="1" s="1"/>
  <c r="AH171" i="1"/>
  <c r="AH170" i="1" s="1"/>
  <c r="AH169" i="1"/>
  <c r="AH168" i="1"/>
  <c r="AH166" i="1"/>
  <c r="AH165" i="1"/>
  <c r="AH162" i="1"/>
  <c r="AH161" i="1" s="1"/>
  <c r="AH160" i="1"/>
  <c r="AH159" i="1"/>
  <c r="AH158" i="1"/>
  <c r="AH157" i="1"/>
  <c r="AH154" i="1"/>
  <c r="AH153" i="1"/>
  <c r="AH152" i="1"/>
  <c r="AH151" i="1"/>
  <c r="AH150" i="1"/>
  <c r="AH149" i="1"/>
  <c r="AH148" i="1"/>
  <c r="AH146" i="1"/>
  <c r="AH145" i="1" s="1"/>
  <c r="AH144" i="1" s="1"/>
  <c r="AH143" i="1"/>
  <c r="AH142" i="1"/>
  <c r="AH141" i="1"/>
  <c r="AH140" i="1" s="1"/>
  <c r="AH139" i="1"/>
  <c r="AH138" i="1"/>
  <c r="AH137" i="1"/>
  <c r="AH136" i="1"/>
  <c r="AH135" i="1"/>
  <c r="AH134" i="1"/>
  <c r="AH133" i="1" s="1"/>
  <c r="AH131" i="1"/>
  <c r="AH130" i="1"/>
  <c r="AH129" i="1"/>
  <c r="AH128" i="1"/>
  <c r="AH127" i="1"/>
  <c r="AH123" i="1"/>
  <c r="AH122" i="1"/>
  <c r="AH120" i="1"/>
  <c r="AH119" i="1"/>
  <c r="AH118" i="1"/>
  <c r="AH117" i="1"/>
  <c r="AH116" i="1"/>
  <c r="AH114" i="1"/>
  <c r="AH113" i="1"/>
  <c r="AH112" i="1"/>
  <c r="AH109" i="1"/>
  <c r="AH108" i="1"/>
  <c r="AH107" i="1"/>
  <c r="AH105" i="1"/>
  <c r="AH101" i="1" s="1"/>
  <c r="AH104" i="1"/>
  <c r="AH103" i="1"/>
  <c r="AH102" i="1"/>
  <c r="AH100" i="1"/>
  <c r="AH99" i="1"/>
  <c r="AH98" i="1"/>
  <c r="AH97" i="1"/>
  <c r="AH96" i="1"/>
  <c r="AH95" i="1"/>
  <c r="AH94" i="1"/>
  <c r="AH91" i="1"/>
  <c r="AH90" i="1"/>
  <c r="AH89" i="1"/>
  <c r="AH88" i="1"/>
  <c r="AH87" i="1" s="1"/>
  <c r="AH86" i="1"/>
  <c r="AH85" i="1"/>
  <c r="AH84" i="1"/>
  <c r="AH83" i="1"/>
  <c r="AH82" i="1"/>
  <c r="AH81" i="1"/>
  <c r="AH80" i="1"/>
  <c r="AH79" i="1"/>
  <c r="AH78" i="1"/>
  <c r="AH76" i="1"/>
  <c r="AH75" i="1"/>
  <c r="AH74" i="1"/>
  <c r="AH73" i="1"/>
  <c r="AH72" i="1"/>
  <c r="AH71" i="1"/>
  <c r="AH70" i="1"/>
  <c r="AH69" i="1"/>
  <c r="AH68" i="1"/>
  <c r="AH66" i="1"/>
  <c r="AH65" i="1"/>
  <c r="AH64" i="1"/>
  <c r="AH63" i="1"/>
  <c r="AH62" i="1"/>
  <c r="AH61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5" i="1"/>
  <c r="AH44" i="1"/>
  <c r="AH43" i="1"/>
  <c r="AH42" i="1"/>
  <c r="AH41" i="1"/>
  <c r="AH40" i="1"/>
  <c r="AH39" i="1"/>
  <c r="AH38" i="1"/>
  <c r="AH37" i="1"/>
  <c r="AH36" i="1"/>
  <c r="AH34" i="1"/>
  <c r="AH33" i="1"/>
  <c r="AH32" i="1"/>
  <c r="AH31" i="1"/>
  <c r="AH30" i="1"/>
  <c r="AH29" i="1"/>
  <c r="AH26" i="1"/>
  <c r="AH25" i="1"/>
  <c r="AH24" i="1"/>
  <c r="AH23" i="1"/>
  <c r="AH22" i="1"/>
  <c r="AH21" i="1"/>
  <c r="AH20" i="1"/>
  <c r="AH19" i="1"/>
  <c r="AH18" i="1"/>
  <c r="AF507" i="1"/>
  <c r="AF506" i="1"/>
  <c r="AF505" i="1" s="1"/>
  <c r="AF504" i="1"/>
  <c r="AF503" i="1"/>
  <c r="AF502" i="1" s="1"/>
  <c r="AF501" i="1"/>
  <c r="AF500" i="1"/>
  <c r="AF499" i="1"/>
  <c r="AF498" i="1"/>
  <c r="AF497" i="1"/>
  <c r="AF496" i="1"/>
  <c r="AF495" i="1"/>
  <c r="AF494" i="1"/>
  <c r="AF493" i="1"/>
  <c r="AF492" i="1"/>
  <c r="AF490" i="1"/>
  <c r="AF489" i="1"/>
  <c r="AF488" i="1"/>
  <c r="AF487" i="1"/>
  <c r="AF486" i="1"/>
  <c r="AF485" i="1"/>
  <c r="AF484" i="1"/>
  <c r="AF481" i="1"/>
  <c r="AF480" i="1" s="1"/>
  <c r="AF479" i="1"/>
  <c r="AF478" i="1" s="1"/>
  <c r="AF477" i="1"/>
  <c r="AF476" i="1" s="1"/>
  <c r="AF475" i="1"/>
  <c r="AF474" i="1"/>
  <c r="AF471" i="1"/>
  <c r="AF470" i="1"/>
  <c r="AF469" i="1"/>
  <c r="AF468" i="1"/>
  <c r="AF467" i="1"/>
  <c r="AF466" i="1"/>
  <c r="AF465" i="1"/>
  <c r="AF464" i="1"/>
  <c r="AF462" i="1"/>
  <c r="AF461" i="1"/>
  <c r="AF460" i="1"/>
  <c r="AF459" i="1"/>
  <c r="AF458" i="1"/>
  <c r="AF457" i="1"/>
  <c r="AF456" i="1"/>
  <c r="AF454" i="1"/>
  <c r="AF453" i="1"/>
  <c r="AF452" i="1"/>
  <c r="AF451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5" i="1"/>
  <c r="AF434" i="1"/>
  <c r="AF433" i="1"/>
  <c r="AF432" i="1"/>
  <c r="AF431" i="1"/>
  <c r="AF430" i="1"/>
  <c r="AF429" i="1"/>
  <c r="AF428" i="1"/>
  <c r="AF427" i="1"/>
  <c r="AF426" i="1"/>
  <c r="AF425" i="1"/>
  <c r="AF423" i="1"/>
  <c r="AF422" i="1"/>
  <c r="AF421" i="1"/>
  <c r="AF420" i="1"/>
  <c r="AF419" i="1"/>
  <c r="AF418" i="1" s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3" i="1"/>
  <c r="AF202" i="1"/>
  <c r="AF201" i="1"/>
  <c r="AF200" i="1"/>
  <c r="AF199" i="1"/>
  <c r="AF198" i="1"/>
  <c r="AF197" i="1"/>
  <c r="AF195" i="1"/>
  <c r="AF194" i="1" s="1"/>
  <c r="AF192" i="1"/>
  <c r="AF191" i="1" s="1"/>
  <c r="AF190" i="1"/>
  <c r="AF189" i="1"/>
  <c r="AF188" i="1" s="1"/>
  <c r="AF187" i="1"/>
  <c r="AF186" i="1"/>
  <c r="AF184" i="1"/>
  <c r="AF183" i="1"/>
  <c r="AF182" i="1"/>
  <c r="AF181" i="1"/>
  <c r="AF180" i="1"/>
  <c r="AF179" i="1"/>
  <c r="AF177" i="1"/>
  <c r="AF176" i="1" s="1"/>
  <c r="AF175" i="1" s="1"/>
  <c r="AF174" i="1"/>
  <c r="AF173" i="1"/>
  <c r="AF172" i="1" s="1"/>
  <c r="AF171" i="1"/>
  <c r="AF170" i="1" s="1"/>
  <c r="AF169" i="1"/>
  <c r="AF168" i="1"/>
  <c r="AF166" i="1"/>
  <c r="AF165" i="1"/>
  <c r="AF162" i="1"/>
  <c r="AF161" i="1"/>
  <c r="AF160" i="1"/>
  <c r="AF159" i="1"/>
  <c r="AF158" i="1"/>
  <c r="AF157" i="1"/>
  <c r="AF154" i="1"/>
  <c r="AF153" i="1"/>
  <c r="AF152" i="1"/>
  <c r="AF151" i="1"/>
  <c r="AF150" i="1"/>
  <c r="AF149" i="1"/>
  <c r="AF148" i="1"/>
  <c r="AF146" i="1"/>
  <c r="AF145" i="1" s="1"/>
  <c r="AF144" i="1" s="1"/>
  <c r="AF143" i="1"/>
  <c r="AF142" i="1"/>
  <c r="AF141" i="1"/>
  <c r="AF139" i="1"/>
  <c r="AF138" i="1"/>
  <c r="AF137" i="1"/>
  <c r="AF136" i="1"/>
  <c r="AF135" i="1"/>
  <c r="AF134" i="1"/>
  <c r="AF131" i="1"/>
  <c r="AF130" i="1"/>
  <c r="AF129" i="1"/>
  <c r="AF128" i="1"/>
  <c r="AF127" i="1"/>
  <c r="AF123" i="1"/>
  <c r="AF122" i="1"/>
  <c r="AF120" i="1"/>
  <c r="AF119" i="1"/>
  <c r="AF117" i="1"/>
  <c r="AF116" i="1"/>
  <c r="AF114" i="1"/>
  <c r="AF113" i="1"/>
  <c r="AF112" i="1"/>
  <c r="AF109" i="1"/>
  <c r="AF108" i="1"/>
  <c r="AF107" i="1"/>
  <c r="AF105" i="1"/>
  <c r="AF101" i="1" s="1"/>
  <c r="AF104" i="1"/>
  <c r="AF103" i="1"/>
  <c r="AF102" i="1"/>
  <c r="AF100" i="1"/>
  <c r="AF99" i="1"/>
  <c r="AF98" i="1"/>
  <c r="AF97" i="1"/>
  <c r="AF96" i="1"/>
  <c r="AF95" i="1"/>
  <c r="AF94" i="1"/>
  <c r="AF91" i="1"/>
  <c r="AF90" i="1"/>
  <c r="AF89" i="1"/>
  <c r="AF88" i="1"/>
  <c r="AF87" i="1" s="1"/>
  <c r="AF86" i="1"/>
  <c r="AF85" i="1"/>
  <c r="AF84" i="1"/>
  <c r="AF83" i="1"/>
  <c r="AF82" i="1"/>
  <c r="AF81" i="1"/>
  <c r="AF80" i="1"/>
  <c r="AF79" i="1"/>
  <c r="AF78" i="1"/>
  <c r="AF76" i="1"/>
  <c r="AF75" i="1"/>
  <c r="AF74" i="1"/>
  <c r="AF73" i="1"/>
  <c r="AF72" i="1"/>
  <c r="AF71" i="1"/>
  <c r="AF70" i="1"/>
  <c r="AF69" i="1"/>
  <c r="AF68" i="1"/>
  <c r="AF66" i="1"/>
  <c r="AF65" i="1"/>
  <c r="AF64" i="1"/>
  <c r="AF63" i="1"/>
  <c r="AF62" i="1"/>
  <c r="AF61" i="1"/>
  <c r="AF60" i="1" s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5" i="1"/>
  <c r="AF44" i="1"/>
  <c r="AF43" i="1"/>
  <c r="AF42" i="1"/>
  <c r="AF41" i="1"/>
  <c r="AF40" i="1"/>
  <c r="AF39" i="1"/>
  <c r="AF38" i="1"/>
  <c r="AF37" i="1"/>
  <c r="AF36" i="1"/>
  <c r="AF34" i="1"/>
  <c r="AF33" i="1"/>
  <c r="AF32" i="1"/>
  <c r="AF31" i="1"/>
  <c r="AF30" i="1"/>
  <c r="AF29" i="1"/>
  <c r="AF26" i="1"/>
  <c r="AF25" i="1"/>
  <c r="AF24" i="1"/>
  <c r="AF23" i="1"/>
  <c r="AF22" i="1"/>
  <c r="AF21" i="1"/>
  <c r="AF20" i="1"/>
  <c r="AF19" i="1"/>
  <c r="AF18" i="1"/>
  <c r="AD507" i="1"/>
  <c r="AD506" i="1"/>
  <c r="AD504" i="1"/>
  <c r="AD503" i="1"/>
  <c r="AD501" i="1"/>
  <c r="AD500" i="1"/>
  <c r="AD499" i="1"/>
  <c r="AD498" i="1"/>
  <c r="AD497" i="1"/>
  <c r="AD496" i="1"/>
  <c r="AD495" i="1"/>
  <c r="AD494" i="1"/>
  <c r="AD493" i="1"/>
  <c r="AD492" i="1"/>
  <c r="AD490" i="1"/>
  <c r="AD489" i="1"/>
  <c r="AD488" i="1"/>
  <c r="AD487" i="1"/>
  <c r="AD486" i="1"/>
  <c r="AD485" i="1"/>
  <c r="AD484" i="1"/>
  <c r="AD481" i="1"/>
  <c r="AD480" i="1" s="1"/>
  <c r="AD479" i="1"/>
  <c r="AD478" i="1" s="1"/>
  <c r="AD477" i="1"/>
  <c r="AD476" i="1" s="1"/>
  <c r="AD475" i="1"/>
  <c r="AD474" i="1"/>
  <c r="AD471" i="1"/>
  <c r="AD470" i="1"/>
  <c r="AD469" i="1"/>
  <c r="AD468" i="1"/>
  <c r="AD467" i="1"/>
  <c r="AD466" i="1"/>
  <c r="AD465" i="1"/>
  <c r="AD464" i="1"/>
  <c r="AD462" i="1"/>
  <c r="AD461" i="1"/>
  <c r="AD460" i="1"/>
  <c r="AD459" i="1"/>
  <c r="AD458" i="1"/>
  <c r="AD457" i="1"/>
  <c r="AD456" i="1"/>
  <c r="AD454" i="1"/>
  <c r="AD453" i="1"/>
  <c r="AD452" i="1"/>
  <c r="AD451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5" i="1"/>
  <c r="AD434" i="1"/>
  <c r="AD433" i="1"/>
  <c r="AD432" i="1"/>
  <c r="AD431" i="1"/>
  <c r="AD430" i="1"/>
  <c r="AD429" i="1"/>
  <c r="AD428" i="1"/>
  <c r="AD427" i="1"/>
  <c r="AD426" i="1"/>
  <c r="AD425" i="1"/>
  <c r="AD423" i="1"/>
  <c r="AD422" i="1"/>
  <c r="AD421" i="1"/>
  <c r="AD420" i="1"/>
  <c r="AD419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3" i="1"/>
  <c r="AD202" i="1"/>
  <c r="AD201" i="1"/>
  <c r="AD200" i="1"/>
  <c r="AD199" i="1"/>
  <c r="AD198" i="1"/>
  <c r="AD197" i="1"/>
  <c r="AD195" i="1"/>
  <c r="AD194" i="1" s="1"/>
  <c r="AD192" i="1"/>
  <c r="AD191" i="1" s="1"/>
  <c r="AD190" i="1"/>
  <c r="AD189" i="1"/>
  <c r="AD188" i="1" s="1"/>
  <c r="AD187" i="1"/>
  <c r="AD186" i="1"/>
  <c r="AD184" i="1"/>
  <c r="AD183" i="1"/>
  <c r="AD182" i="1"/>
  <c r="AD181" i="1"/>
  <c r="AD180" i="1"/>
  <c r="AD177" i="1"/>
  <c r="AD176" i="1" s="1"/>
  <c r="AD175" i="1" s="1"/>
  <c r="AD174" i="1"/>
  <c r="AD173" i="1" s="1"/>
  <c r="AD172" i="1" s="1"/>
  <c r="AD171" i="1"/>
  <c r="AD170" i="1" s="1"/>
  <c r="AD169" i="1"/>
  <c r="AD168" i="1"/>
  <c r="AD166" i="1"/>
  <c r="AD165" i="1"/>
  <c r="AD164" i="1" s="1"/>
  <c r="AD162" i="1"/>
  <c r="AD161" i="1" s="1"/>
  <c r="AD160" i="1"/>
  <c r="AD159" i="1"/>
  <c r="AD158" i="1"/>
  <c r="AD157" i="1"/>
  <c r="AD154" i="1"/>
  <c r="AD153" i="1"/>
  <c r="AD152" i="1"/>
  <c r="AD151" i="1"/>
  <c r="AD150" i="1"/>
  <c r="AD149" i="1"/>
  <c r="AD148" i="1"/>
  <c r="AD146" i="1"/>
  <c r="AD145" i="1" s="1"/>
  <c r="AD144" i="1" s="1"/>
  <c r="AD143" i="1"/>
  <c r="AD142" i="1"/>
  <c r="AD141" i="1"/>
  <c r="AD139" i="1"/>
  <c r="AD138" i="1"/>
  <c r="AD137" i="1"/>
  <c r="AD136" i="1"/>
  <c r="AD135" i="1"/>
  <c r="AD134" i="1"/>
  <c r="AD131" i="1"/>
  <c r="AD130" i="1"/>
  <c r="AD129" i="1"/>
  <c r="AD128" i="1"/>
  <c r="AD127" i="1"/>
  <c r="AD123" i="1"/>
  <c r="AD122" i="1"/>
  <c r="AD121" i="1"/>
  <c r="AD120" i="1"/>
  <c r="AD119" i="1"/>
  <c r="AD117" i="1"/>
  <c r="AD116" i="1"/>
  <c r="AD114" i="1"/>
  <c r="AD113" i="1"/>
  <c r="AD112" i="1"/>
  <c r="AD109" i="1"/>
  <c r="AD108" i="1"/>
  <c r="AD107" i="1"/>
  <c r="AD105" i="1"/>
  <c r="AD104" i="1"/>
  <c r="AD103" i="1"/>
  <c r="AD102" i="1"/>
  <c r="AD100" i="1"/>
  <c r="AD99" i="1"/>
  <c r="AD98" i="1"/>
  <c r="AD97" i="1"/>
  <c r="AD96" i="1"/>
  <c r="AD95" i="1"/>
  <c r="AD94" i="1"/>
  <c r="AD91" i="1"/>
  <c r="AD90" i="1"/>
  <c r="AD89" i="1"/>
  <c r="AD88" i="1"/>
  <c r="AD86" i="1"/>
  <c r="AD85" i="1"/>
  <c r="AD84" i="1"/>
  <c r="AD83" i="1"/>
  <c r="AD82" i="1"/>
  <c r="AD81" i="1"/>
  <c r="AD80" i="1"/>
  <c r="AD79" i="1"/>
  <c r="AD78" i="1"/>
  <c r="AD76" i="1"/>
  <c r="AD75" i="1"/>
  <c r="AD74" i="1"/>
  <c r="AD73" i="1"/>
  <c r="AD72" i="1"/>
  <c r="AD71" i="1"/>
  <c r="AD70" i="1"/>
  <c r="AD69" i="1"/>
  <c r="AD68" i="1"/>
  <c r="AD66" i="1"/>
  <c r="AD65" i="1"/>
  <c r="AD64" i="1"/>
  <c r="AD63" i="1"/>
  <c r="AD62" i="1"/>
  <c r="AD61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5" i="1"/>
  <c r="AD44" i="1"/>
  <c r="AD43" i="1"/>
  <c r="AD42" i="1"/>
  <c r="AD41" i="1"/>
  <c r="AD40" i="1"/>
  <c r="AD39" i="1"/>
  <c r="AD38" i="1"/>
  <c r="AD37" i="1"/>
  <c r="AD36" i="1"/>
  <c r="AD34" i="1"/>
  <c r="AD33" i="1"/>
  <c r="AD32" i="1"/>
  <c r="AD31" i="1"/>
  <c r="AD30" i="1"/>
  <c r="AD29" i="1"/>
  <c r="AD26" i="1"/>
  <c r="AD25" i="1"/>
  <c r="AD24" i="1"/>
  <c r="AD23" i="1"/>
  <c r="AD22" i="1"/>
  <c r="AD21" i="1"/>
  <c r="AD20" i="1"/>
  <c r="AD19" i="1"/>
  <c r="AD18" i="1"/>
  <c r="AB507" i="1"/>
  <c r="AB506" i="1"/>
  <c r="AB505" i="1" s="1"/>
  <c r="AB504" i="1"/>
  <c r="AB503" i="1"/>
  <c r="AB501" i="1"/>
  <c r="AB500" i="1"/>
  <c r="AB499" i="1"/>
  <c r="AB498" i="1"/>
  <c r="AB497" i="1"/>
  <c r="AB496" i="1"/>
  <c r="AB495" i="1"/>
  <c r="AB494" i="1"/>
  <c r="AB493" i="1"/>
  <c r="AB492" i="1"/>
  <c r="AB490" i="1"/>
  <c r="AB489" i="1"/>
  <c r="AB488" i="1"/>
  <c r="AB487" i="1"/>
  <c r="AB486" i="1"/>
  <c r="AB485" i="1"/>
  <c r="AB484" i="1"/>
  <c r="AB481" i="1"/>
  <c r="AB480" i="1" s="1"/>
  <c r="AB479" i="1"/>
  <c r="AB478" i="1" s="1"/>
  <c r="AB477" i="1"/>
  <c r="AB476" i="1" s="1"/>
  <c r="AB475" i="1"/>
  <c r="AB474" i="1"/>
  <c r="AB473" i="1"/>
  <c r="AB471" i="1"/>
  <c r="AB470" i="1"/>
  <c r="AB469" i="1"/>
  <c r="AB468" i="1"/>
  <c r="AB467" i="1"/>
  <c r="AB466" i="1"/>
  <c r="AB465" i="1"/>
  <c r="AB464" i="1"/>
  <c r="AB462" i="1"/>
  <c r="AB461" i="1"/>
  <c r="AB460" i="1"/>
  <c r="AB459" i="1"/>
  <c r="AB458" i="1"/>
  <c r="AB457" i="1"/>
  <c r="AB456" i="1"/>
  <c r="AB454" i="1"/>
  <c r="AB453" i="1"/>
  <c r="AB452" i="1"/>
  <c r="AB451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5" i="1"/>
  <c r="AB434" i="1"/>
  <c r="AB433" i="1"/>
  <c r="AB432" i="1"/>
  <c r="AB431" i="1"/>
  <c r="AB430" i="1"/>
  <c r="AB429" i="1"/>
  <c r="AB428" i="1"/>
  <c r="AB427" i="1"/>
  <c r="AB426" i="1"/>
  <c r="AB425" i="1"/>
  <c r="AB423" i="1"/>
  <c r="AB422" i="1"/>
  <c r="AB421" i="1"/>
  <c r="AB420" i="1"/>
  <c r="AB419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3" i="1"/>
  <c r="AB202" i="1"/>
  <c r="AB201" i="1"/>
  <c r="AB200" i="1"/>
  <c r="AB199" i="1"/>
  <c r="AB198" i="1"/>
  <c r="AB197" i="1"/>
  <c r="AB195" i="1"/>
  <c r="AB194" i="1" s="1"/>
  <c r="AB192" i="1"/>
  <c r="AB191" i="1" s="1"/>
  <c r="AB190" i="1"/>
  <c r="AB188" i="1" s="1"/>
  <c r="AB189" i="1"/>
  <c r="AB187" i="1"/>
  <c r="AB186" i="1"/>
  <c r="AB185" i="1"/>
  <c r="AB184" i="1"/>
  <c r="AB183" i="1"/>
  <c r="AB182" i="1"/>
  <c r="AB181" i="1"/>
  <c r="AB179" i="1" s="1"/>
  <c r="AB180" i="1"/>
  <c r="AB177" i="1"/>
  <c r="AB176" i="1"/>
  <c r="AB175" i="1" s="1"/>
  <c r="AB174" i="1"/>
  <c r="AB173" i="1" s="1"/>
  <c r="AB172" i="1" s="1"/>
  <c r="AB171" i="1"/>
  <c r="AB170" i="1" s="1"/>
  <c r="AB169" i="1"/>
  <c r="AB168" i="1"/>
  <c r="AB166" i="1"/>
  <c r="AB165" i="1"/>
  <c r="AB162" i="1"/>
  <c r="AB161" i="1" s="1"/>
  <c r="AB160" i="1"/>
  <c r="AB159" i="1"/>
  <c r="AB158" i="1"/>
  <c r="AB157" i="1"/>
  <c r="AB156" i="1" s="1"/>
  <c r="AB154" i="1"/>
  <c r="AB153" i="1"/>
  <c r="AB152" i="1"/>
  <c r="AB151" i="1"/>
  <c r="AB150" i="1"/>
  <c r="AB149" i="1"/>
  <c r="AB148" i="1"/>
  <c r="AB146" i="1"/>
  <c r="AB145" i="1" s="1"/>
  <c r="AB144" i="1" s="1"/>
  <c r="AB143" i="1"/>
  <c r="AB142" i="1"/>
  <c r="AB141" i="1"/>
  <c r="AB139" i="1"/>
  <c r="AB138" i="1"/>
  <c r="AB137" i="1"/>
  <c r="AB136" i="1"/>
  <c r="AB135" i="1"/>
  <c r="AB134" i="1"/>
  <c r="AB131" i="1"/>
  <c r="AB130" i="1"/>
  <c r="AB129" i="1"/>
  <c r="AB128" i="1"/>
  <c r="AB127" i="1"/>
  <c r="AB123" i="1"/>
  <c r="AB122" i="1"/>
  <c r="AB120" i="1"/>
  <c r="AB119" i="1"/>
  <c r="AB117" i="1"/>
  <c r="AB116" i="1"/>
  <c r="AB114" i="1"/>
  <c r="AB113" i="1"/>
  <c r="AB112" i="1"/>
  <c r="AB109" i="1"/>
  <c r="AB108" i="1"/>
  <c r="AB107" i="1"/>
  <c r="AB105" i="1"/>
  <c r="AB104" i="1"/>
  <c r="AB103" i="1"/>
  <c r="AB102" i="1"/>
  <c r="AB100" i="1"/>
  <c r="AB99" i="1"/>
  <c r="AB98" i="1"/>
  <c r="AB97" i="1"/>
  <c r="AB96" i="1"/>
  <c r="AB95" i="1"/>
  <c r="AB94" i="1"/>
  <c r="AB91" i="1"/>
  <c r="AB90" i="1"/>
  <c r="AB89" i="1"/>
  <c r="AB88" i="1"/>
  <c r="AB86" i="1"/>
  <c r="AB85" i="1"/>
  <c r="AB84" i="1"/>
  <c r="AB83" i="1"/>
  <c r="AB82" i="1"/>
  <c r="AB81" i="1"/>
  <c r="AB80" i="1"/>
  <c r="AB79" i="1"/>
  <c r="AB78" i="1"/>
  <c r="AB77" i="1" s="1"/>
  <c r="AB76" i="1"/>
  <c r="AB75" i="1"/>
  <c r="AB74" i="1"/>
  <c r="AB73" i="1"/>
  <c r="AB72" i="1"/>
  <c r="AB71" i="1"/>
  <c r="AB70" i="1"/>
  <c r="AB69" i="1"/>
  <c r="AB68" i="1"/>
  <c r="AB66" i="1"/>
  <c r="AB65" i="1"/>
  <c r="AB64" i="1"/>
  <c r="AB63" i="1"/>
  <c r="AB62" i="1"/>
  <c r="AB61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5" i="1"/>
  <c r="AB44" i="1"/>
  <c r="AB43" i="1"/>
  <c r="AB42" i="1"/>
  <c r="AB41" i="1"/>
  <c r="AB40" i="1"/>
  <c r="AB39" i="1"/>
  <c r="AB38" i="1"/>
  <c r="AB37" i="1"/>
  <c r="AB36" i="1"/>
  <c r="AB34" i="1"/>
  <c r="AB33" i="1"/>
  <c r="AB32" i="1"/>
  <c r="AB31" i="1"/>
  <c r="AB30" i="1"/>
  <c r="AB29" i="1"/>
  <c r="AB26" i="1"/>
  <c r="AB25" i="1"/>
  <c r="AB24" i="1"/>
  <c r="AB23" i="1"/>
  <c r="AB22" i="1"/>
  <c r="AB21" i="1"/>
  <c r="AB20" i="1"/>
  <c r="AB19" i="1"/>
  <c r="AB18" i="1"/>
  <c r="Z507" i="1"/>
  <c r="Z506" i="1"/>
  <c r="Z504" i="1"/>
  <c r="Z503" i="1"/>
  <c r="Z501" i="1"/>
  <c r="Z500" i="1"/>
  <c r="Z499" i="1"/>
  <c r="Z498" i="1"/>
  <c r="Z497" i="1"/>
  <c r="Z496" i="1"/>
  <c r="Z495" i="1"/>
  <c r="Z494" i="1"/>
  <c r="Z493" i="1"/>
  <c r="Z492" i="1"/>
  <c r="Z490" i="1"/>
  <c r="Z489" i="1"/>
  <c r="Z488" i="1"/>
  <c r="Z487" i="1"/>
  <c r="Z486" i="1"/>
  <c r="Z485" i="1"/>
  <c r="Z484" i="1"/>
  <c r="Z481" i="1"/>
  <c r="Z480" i="1" s="1"/>
  <c r="Z479" i="1"/>
  <c r="Z478" i="1" s="1"/>
  <c r="Z477" i="1"/>
  <c r="Z476" i="1" s="1"/>
  <c r="Z475" i="1"/>
  <c r="Z474" i="1"/>
  <c r="Z471" i="1"/>
  <c r="Z470" i="1"/>
  <c r="Z469" i="1"/>
  <c r="Z468" i="1"/>
  <c r="Z467" i="1"/>
  <c r="Z466" i="1"/>
  <c r="Z465" i="1"/>
  <c r="Z464" i="1"/>
  <c r="Z462" i="1"/>
  <c r="Z461" i="1"/>
  <c r="Z460" i="1"/>
  <c r="Z459" i="1"/>
  <c r="Z458" i="1"/>
  <c r="Z457" i="1"/>
  <c r="Z456" i="1"/>
  <c r="Z454" i="1"/>
  <c r="Z453" i="1"/>
  <c r="Z452" i="1"/>
  <c r="Z451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5" i="1"/>
  <c r="Z434" i="1"/>
  <c r="Z433" i="1"/>
  <c r="Z432" i="1"/>
  <c r="Z431" i="1"/>
  <c r="Z430" i="1"/>
  <c r="Z429" i="1"/>
  <c r="Z428" i="1"/>
  <c r="Z427" i="1"/>
  <c r="Z426" i="1"/>
  <c r="Z425" i="1"/>
  <c r="Z423" i="1"/>
  <c r="Z422" i="1"/>
  <c r="Z421" i="1"/>
  <c r="Z420" i="1"/>
  <c r="Z419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3" i="1"/>
  <c r="Z202" i="1"/>
  <c r="Z201" i="1"/>
  <c r="Z200" i="1"/>
  <c r="Z199" i="1"/>
  <c r="Z198" i="1"/>
  <c r="Z197" i="1"/>
  <c r="Z195" i="1"/>
  <c r="Z194" i="1" s="1"/>
  <c r="Z192" i="1"/>
  <c r="Z191" i="1" s="1"/>
  <c r="Z190" i="1"/>
  <c r="Z189" i="1"/>
  <c r="Z187" i="1"/>
  <c r="Z186" i="1"/>
  <c r="Z185" i="1" s="1"/>
  <c r="Z184" i="1"/>
  <c r="Z183" i="1"/>
  <c r="Z182" i="1"/>
  <c r="Z181" i="1"/>
  <c r="Z180" i="1"/>
  <c r="Z177" i="1"/>
  <c r="Z176" i="1" s="1"/>
  <c r="Z175" i="1" s="1"/>
  <c r="Z174" i="1"/>
  <c r="Z173" i="1" s="1"/>
  <c r="Z172" i="1" s="1"/>
  <c r="Z171" i="1"/>
  <c r="Z170" i="1" s="1"/>
  <c r="Z169" i="1"/>
  <c r="Z167" i="1" s="1"/>
  <c r="Z168" i="1"/>
  <c r="Z166" i="1"/>
  <c r="Z165" i="1"/>
  <c r="Z162" i="1"/>
  <c r="Z161" i="1" s="1"/>
  <c r="Z160" i="1"/>
  <c r="Z159" i="1"/>
  <c r="Z158" i="1"/>
  <c r="Z157" i="1"/>
  <c r="Z154" i="1"/>
  <c r="Z153" i="1"/>
  <c r="Z152" i="1"/>
  <c r="Z151" i="1"/>
  <c r="Z150" i="1"/>
  <c r="Z149" i="1"/>
  <c r="Z148" i="1"/>
  <c r="Z146" i="1"/>
  <c r="Z145" i="1" s="1"/>
  <c r="Z144" i="1" s="1"/>
  <c r="Z143" i="1"/>
  <c r="Z142" i="1"/>
  <c r="Z141" i="1"/>
  <c r="Z140" i="1" s="1"/>
  <c r="Z139" i="1"/>
  <c r="Z138" i="1"/>
  <c r="Z137" i="1"/>
  <c r="Z136" i="1"/>
  <c r="Z135" i="1"/>
  <c r="Z134" i="1"/>
  <c r="Z131" i="1"/>
  <c r="Z130" i="1"/>
  <c r="Z129" i="1"/>
  <c r="Z128" i="1"/>
  <c r="Z127" i="1"/>
  <c r="Z123" i="1"/>
  <c r="Z122" i="1"/>
  <c r="Z121" i="1" s="1"/>
  <c r="Z120" i="1"/>
  <c r="Z119" i="1"/>
  <c r="Z117" i="1"/>
  <c r="Z115" i="1" s="1"/>
  <c r="Z116" i="1"/>
  <c r="Z114" i="1"/>
  <c r="Z113" i="1"/>
  <c r="Z112" i="1"/>
  <c r="Z109" i="1"/>
  <c r="Z108" i="1"/>
  <c r="Z107" i="1"/>
  <c r="Z105" i="1"/>
  <c r="Z104" i="1"/>
  <c r="Z103" i="1"/>
  <c r="Z102" i="1"/>
  <c r="Z100" i="1"/>
  <c r="Z99" i="1"/>
  <c r="Z98" i="1"/>
  <c r="Z97" i="1"/>
  <c r="Z96" i="1"/>
  <c r="Z95" i="1"/>
  <c r="Z94" i="1"/>
  <c r="Z91" i="1"/>
  <c r="Z90" i="1"/>
  <c r="Z89" i="1"/>
  <c r="Z88" i="1"/>
  <c r="Z86" i="1"/>
  <c r="Z85" i="1"/>
  <c r="Z84" i="1"/>
  <c r="Z83" i="1"/>
  <c r="Z82" i="1"/>
  <c r="Z81" i="1"/>
  <c r="Z80" i="1"/>
  <c r="Z79" i="1"/>
  <c r="Z78" i="1"/>
  <c r="Z76" i="1"/>
  <c r="Z75" i="1"/>
  <c r="Z74" i="1"/>
  <c r="Z73" i="1"/>
  <c r="Z72" i="1"/>
  <c r="Z71" i="1"/>
  <c r="Z70" i="1"/>
  <c r="Z69" i="1"/>
  <c r="Z68" i="1"/>
  <c r="Z66" i="1"/>
  <c r="Z65" i="1"/>
  <c r="Z64" i="1"/>
  <c r="Z63" i="1"/>
  <c r="Z62" i="1"/>
  <c r="Z61" i="1"/>
  <c r="Z58" i="1"/>
  <c r="Z57" i="1"/>
  <c r="Z56" i="1"/>
  <c r="Z55" i="1"/>
  <c r="Z54" i="1"/>
  <c r="Z53" i="1"/>
  <c r="Z52" i="1"/>
  <c r="Z51" i="1"/>
  <c r="Z50" i="1"/>
  <c r="Z49" i="1"/>
  <c r="Z48" i="1"/>
  <c r="Z47" i="1"/>
  <c r="Z45" i="1"/>
  <c r="Z44" i="1"/>
  <c r="Z43" i="1"/>
  <c r="Z42" i="1"/>
  <c r="Z41" i="1"/>
  <c r="Z40" i="1"/>
  <c r="Z39" i="1"/>
  <c r="Z38" i="1"/>
  <c r="Z37" i="1"/>
  <c r="Z36" i="1"/>
  <c r="Z34" i="1"/>
  <c r="Z33" i="1"/>
  <c r="Z32" i="1"/>
  <c r="Z31" i="1"/>
  <c r="Z30" i="1"/>
  <c r="Z29" i="1"/>
  <c r="Z26" i="1"/>
  <c r="Z25" i="1"/>
  <c r="Z24" i="1"/>
  <c r="Z23" i="1"/>
  <c r="Z22" i="1"/>
  <c r="Z21" i="1"/>
  <c r="Z20" i="1"/>
  <c r="Z19" i="1"/>
  <c r="Z18" i="1"/>
  <c r="X507" i="1"/>
  <c r="X506" i="1"/>
  <c r="X504" i="1"/>
  <c r="X503" i="1"/>
  <c r="X502" i="1" s="1"/>
  <c r="X501" i="1"/>
  <c r="X500" i="1"/>
  <c r="X499" i="1"/>
  <c r="X498" i="1"/>
  <c r="X497" i="1"/>
  <c r="X496" i="1"/>
  <c r="X495" i="1"/>
  <c r="X494" i="1"/>
  <c r="X493" i="1"/>
  <c r="X492" i="1"/>
  <c r="X490" i="1"/>
  <c r="X489" i="1"/>
  <c r="X488" i="1"/>
  <c r="X487" i="1"/>
  <c r="X486" i="1"/>
  <c r="X485" i="1"/>
  <c r="X484" i="1"/>
  <c r="X481" i="1"/>
  <c r="X480" i="1" s="1"/>
  <c r="X479" i="1"/>
  <c r="X478" i="1" s="1"/>
  <c r="X477" i="1"/>
  <c r="X476" i="1" s="1"/>
  <c r="X475" i="1"/>
  <c r="X474" i="1"/>
  <c r="X471" i="1"/>
  <c r="X470" i="1"/>
  <c r="X469" i="1"/>
  <c r="X468" i="1"/>
  <c r="X467" i="1"/>
  <c r="X466" i="1"/>
  <c r="X465" i="1"/>
  <c r="X464" i="1"/>
  <c r="X463" i="1" s="1"/>
  <c r="X462" i="1"/>
  <c r="X461" i="1"/>
  <c r="X460" i="1"/>
  <c r="X459" i="1"/>
  <c r="X458" i="1"/>
  <c r="X457" i="1"/>
  <c r="X456" i="1"/>
  <c r="X454" i="1"/>
  <c r="X453" i="1"/>
  <c r="X452" i="1"/>
  <c r="X451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5" i="1"/>
  <c r="X434" i="1"/>
  <c r="X433" i="1"/>
  <c r="X432" i="1"/>
  <c r="X431" i="1"/>
  <c r="X430" i="1"/>
  <c r="X429" i="1"/>
  <c r="X428" i="1"/>
  <c r="X427" i="1"/>
  <c r="X426" i="1"/>
  <c r="X425" i="1"/>
  <c r="X423" i="1"/>
  <c r="X422" i="1"/>
  <c r="X421" i="1"/>
  <c r="X420" i="1"/>
  <c r="X419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3" i="1"/>
  <c r="X202" i="1"/>
  <c r="X201" i="1"/>
  <c r="X200" i="1"/>
  <c r="X199" i="1"/>
  <c r="X198" i="1"/>
  <c r="X197" i="1"/>
  <c r="X195" i="1"/>
  <c r="X194" i="1" s="1"/>
  <c r="X192" i="1"/>
  <c r="X191" i="1" s="1"/>
  <c r="X190" i="1"/>
  <c r="X188" i="1" s="1"/>
  <c r="X189" i="1"/>
  <c r="X187" i="1"/>
  <c r="X186" i="1"/>
  <c r="X185" i="1"/>
  <c r="X184" i="1"/>
  <c r="X183" i="1"/>
  <c r="X182" i="1"/>
  <c r="X181" i="1"/>
  <c r="X180" i="1"/>
  <c r="X177" i="1"/>
  <c r="X176" i="1"/>
  <c r="X175" i="1" s="1"/>
  <c r="X174" i="1"/>
  <c r="X173" i="1" s="1"/>
  <c r="X172" i="1" s="1"/>
  <c r="X171" i="1"/>
  <c r="X170" i="1" s="1"/>
  <c r="X169" i="1"/>
  <c r="X168" i="1"/>
  <c r="X166" i="1"/>
  <c r="X165" i="1"/>
  <c r="X162" i="1"/>
  <c r="X161" i="1" s="1"/>
  <c r="X160" i="1"/>
  <c r="X159" i="1"/>
  <c r="X158" i="1"/>
  <c r="X157" i="1"/>
  <c r="X154" i="1"/>
  <c r="X153" i="1"/>
  <c r="X152" i="1"/>
  <c r="X151" i="1"/>
  <c r="X150" i="1"/>
  <c r="X149" i="1"/>
  <c r="X148" i="1"/>
  <c r="X146" i="1"/>
  <c r="X145" i="1" s="1"/>
  <c r="X144" i="1" s="1"/>
  <c r="X143" i="1"/>
  <c r="X142" i="1"/>
  <c r="X141" i="1"/>
  <c r="X139" i="1"/>
  <c r="X138" i="1"/>
  <c r="X137" i="1"/>
  <c r="X136" i="1"/>
  <c r="X135" i="1"/>
  <c r="X134" i="1"/>
  <c r="X131" i="1"/>
  <c r="X130" i="1"/>
  <c r="X129" i="1"/>
  <c r="X128" i="1"/>
  <c r="X127" i="1"/>
  <c r="X126" i="1" s="1"/>
  <c r="X125" i="1" s="1"/>
  <c r="X123" i="1"/>
  <c r="X121" i="1" s="1"/>
  <c r="X122" i="1"/>
  <c r="X120" i="1"/>
  <c r="X119" i="1"/>
  <c r="X117" i="1"/>
  <c r="X116" i="1"/>
  <c r="X114" i="1"/>
  <c r="X113" i="1"/>
  <c r="X112" i="1"/>
  <c r="X109" i="1"/>
  <c r="X108" i="1"/>
  <c r="X107" i="1"/>
  <c r="X105" i="1"/>
  <c r="X104" i="1"/>
  <c r="X103" i="1"/>
  <c r="X102" i="1"/>
  <c r="X100" i="1"/>
  <c r="X99" i="1"/>
  <c r="X98" i="1"/>
  <c r="X97" i="1"/>
  <c r="X96" i="1"/>
  <c r="X95" i="1"/>
  <c r="X94" i="1"/>
  <c r="X91" i="1"/>
  <c r="X90" i="1"/>
  <c r="X89" i="1"/>
  <c r="X88" i="1"/>
  <c r="X86" i="1"/>
  <c r="X85" i="1"/>
  <c r="X84" i="1"/>
  <c r="X83" i="1"/>
  <c r="X82" i="1"/>
  <c r="X81" i="1"/>
  <c r="X80" i="1"/>
  <c r="X79" i="1"/>
  <c r="X78" i="1"/>
  <c r="X76" i="1"/>
  <c r="X75" i="1"/>
  <c r="X74" i="1"/>
  <c r="X73" i="1"/>
  <c r="X72" i="1"/>
  <c r="X71" i="1"/>
  <c r="X70" i="1"/>
  <c r="X69" i="1"/>
  <c r="X68" i="1"/>
  <c r="X66" i="1"/>
  <c r="X65" i="1"/>
  <c r="X64" i="1"/>
  <c r="X63" i="1"/>
  <c r="X62" i="1"/>
  <c r="X61" i="1"/>
  <c r="X58" i="1"/>
  <c r="X57" i="1"/>
  <c r="X56" i="1"/>
  <c r="X55" i="1"/>
  <c r="X54" i="1"/>
  <c r="X53" i="1"/>
  <c r="X52" i="1"/>
  <c r="X51" i="1"/>
  <c r="X50" i="1"/>
  <c r="X49" i="1"/>
  <c r="X48" i="1"/>
  <c r="X47" i="1"/>
  <c r="X45" i="1"/>
  <c r="X44" i="1"/>
  <c r="X43" i="1"/>
  <c r="X42" i="1"/>
  <c r="X41" i="1"/>
  <c r="X40" i="1"/>
  <c r="X39" i="1"/>
  <c r="X38" i="1"/>
  <c r="X37" i="1"/>
  <c r="X36" i="1"/>
  <c r="X34" i="1"/>
  <c r="X33" i="1"/>
  <c r="X32" i="1"/>
  <c r="X31" i="1"/>
  <c r="X30" i="1"/>
  <c r="X29" i="1"/>
  <c r="X26" i="1"/>
  <c r="X25" i="1"/>
  <c r="X24" i="1"/>
  <c r="X23" i="1"/>
  <c r="X22" i="1"/>
  <c r="X21" i="1"/>
  <c r="X20" i="1"/>
  <c r="X19" i="1"/>
  <c r="X18" i="1"/>
  <c r="V26" i="1"/>
  <c r="V507" i="1"/>
  <c r="V506" i="1"/>
  <c r="V505" i="1" s="1"/>
  <c r="V504" i="1"/>
  <c r="V503" i="1"/>
  <c r="V501" i="1"/>
  <c r="V500" i="1"/>
  <c r="V499" i="1"/>
  <c r="V498" i="1"/>
  <c r="V497" i="1"/>
  <c r="V496" i="1"/>
  <c r="V495" i="1"/>
  <c r="V494" i="1"/>
  <c r="V493" i="1"/>
  <c r="V492" i="1"/>
  <c r="V490" i="1"/>
  <c r="V489" i="1"/>
  <c r="V488" i="1"/>
  <c r="V487" i="1"/>
  <c r="V486" i="1"/>
  <c r="V485" i="1"/>
  <c r="V484" i="1"/>
  <c r="V481" i="1"/>
  <c r="V480" i="1" s="1"/>
  <c r="V479" i="1"/>
  <c r="V478" i="1" s="1"/>
  <c r="V477" i="1"/>
  <c r="V476" i="1" s="1"/>
  <c r="V475" i="1"/>
  <c r="V474" i="1"/>
  <c r="V471" i="1"/>
  <c r="V470" i="1"/>
  <c r="V469" i="1"/>
  <c r="V468" i="1"/>
  <c r="V467" i="1"/>
  <c r="V466" i="1"/>
  <c r="V465" i="1"/>
  <c r="V464" i="1"/>
  <c r="V462" i="1"/>
  <c r="V461" i="1"/>
  <c r="V460" i="1"/>
  <c r="V459" i="1"/>
  <c r="V458" i="1"/>
  <c r="V457" i="1"/>
  <c r="V456" i="1"/>
  <c r="V454" i="1"/>
  <c r="V453" i="1"/>
  <c r="V452" i="1"/>
  <c r="V451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5" i="1"/>
  <c r="V434" i="1"/>
  <c r="V433" i="1"/>
  <c r="V432" i="1"/>
  <c r="V431" i="1"/>
  <c r="V430" i="1"/>
  <c r="V429" i="1"/>
  <c r="V428" i="1"/>
  <c r="V427" i="1"/>
  <c r="V426" i="1"/>
  <c r="V425" i="1"/>
  <c r="V423" i="1"/>
  <c r="V422" i="1"/>
  <c r="V421" i="1"/>
  <c r="V420" i="1"/>
  <c r="V419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3" i="1"/>
  <c r="V202" i="1"/>
  <c r="V201" i="1"/>
  <c r="V200" i="1"/>
  <c r="V199" i="1"/>
  <c r="V198" i="1"/>
  <c r="V197" i="1"/>
  <c r="V195" i="1"/>
  <c r="V194" i="1" s="1"/>
  <c r="V192" i="1"/>
  <c r="V191" i="1"/>
  <c r="V190" i="1"/>
  <c r="V189" i="1"/>
  <c r="V188" i="1" s="1"/>
  <c r="V187" i="1"/>
  <c r="V186" i="1"/>
  <c r="V184" i="1"/>
  <c r="V183" i="1"/>
  <c r="V182" i="1"/>
  <c r="V181" i="1"/>
  <c r="V180" i="1"/>
  <c r="V177" i="1"/>
  <c r="V176" i="1" s="1"/>
  <c r="V175" i="1" s="1"/>
  <c r="V174" i="1"/>
  <c r="V173" i="1" s="1"/>
  <c r="V172" i="1" s="1"/>
  <c r="V171" i="1"/>
  <c r="V170" i="1" s="1"/>
  <c r="V169" i="1"/>
  <c r="V168" i="1"/>
  <c r="V166" i="1"/>
  <c r="V165" i="1"/>
  <c r="V162" i="1"/>
  <c r="V161" i="1"/>
  <c r="V160" i="1"/>
  <c r="V159" i="1"/>
  <c r="V158" i="1"/>
  <c r="V157" i="1"/>
  <c r="V156" i="1" s="1"/>
  <c r="V154" i="1"/>
  <c r="V153" i="1"/>
  <c r="V152" i="1"/>
  <c r="V151" i="1"/>
  <c r="V150" i="1"/>
  <c r="V149" i="1"/>
  <c r="V148" i="1"/>
  <c r="V146" i="1"/>
  <c r="V145" i="1" s="1"/>
  <c r="V144" i="1" s="1"/>
  <c r="V143" i="1"/>
  <c r="V142" i="1"/>
  <c r="V141" i="1"/>
  <c r="V140" i="1" s="1"/>
  <c r="V139" i="1"/>
  <c r="V138" i="1"/>
  <c r="V137" i="1"/>
  <c r="V136" i="1"/>
  <c r="V135" i="1"/>
  <c r="V134" i="1"/>
  <c r="V131" i="1"/>
  <c r="V130" i="1"/>
  <c r="V129" i="1"/>
  <c r="V128" i="1"/>
  <c r="V127" i="1"/>
  <c r="V123" i="1"/>
  <c r="V122" i="1"/>
  <c r="V120" i="1"/>
  <c r="V119" i="1"/>
  <c r="V117" i="1"/>
  <c r="V116" i="1"/>
  <c r="V114" i="1"/>
  <c r="V113" i="1"/>
  <c r="V112" i="1"/>
  <c r="V109" i="1"/>
  <c r="V108" i="1"/>
  <c r="V107" i="1"/>
  <c r="V105" i="1"/>
  <c r="V104" i="1"/>
  <c r="V103" i="1"/>
  <c r="V102" i="1"/>
  <c r="V100" i="1"/>
  <c r="V99" i="1"/>
  <c r="V98" i="1"/>
  <c r="V97" i="1"/>
  <c r="V96" i="1"/>
  <c r="V95" i="1"/>
  <c r="V94" i="1"/>
  <c r="V91" i="1"/>
  <c r="V90" i="1"/>
  <c r="V89" i="1"/>
  <c r="V88" i="1"/>
  <c r="V86" i="1"/>
  <c r="V85" i="1"/>
  <c r="V84" i="1"/>
  <c r="V83" i="1"/>
  <c r="V82" i="1"/>
  <c r="V81" i="1"/>
  <c r="V80" i="1"/>
  <c r="V79" i="1"/>
  <c r="V78" i="1"/>
  <c r="V77" i="1" s="1"/>
  <c r="V76" i="1"/>
  <c r="V75" i="1"/>
  <c r="V74" i="1"/>
  <c r="V73" i="1"/>
  <c r="V72" i="1"/>
  <c r="V71" i="1"/>
  <c r="V70" i="1"/>
  <c r="V69" i="1"/>
  <c r="V68" i="1"/>
  <c r="V66" i="1"/>
  <c r="V65" i="1"/>
  <c r="V64" i="1"/>
  <c r="V63" i="1"/>
  <c r="V62" i="1"/>
  <c r="V61" i="1"/>
  <c r="V58" i="1"/>
  <c r="V57" i="1"/>
  <c r="V56" i="1"/>
  <c r="V55" i="1"/>
  <c r="V54" i="1"/>
  <c r="V53" i="1"/>
  <c r="V52" i="1"/>
  <c r="V51" i="1"/>
  <c r="V50" i="1"/>
  <c r="V49" i="1"/>
  <c r="V48" i="1"/>
  <c r="V47" i="1"/>
  <c r="V45" i="1"/>
  <c r="V44" i="1"/>
  <c r="V43" i="1"/>
  <c r="V42" i="1"/>
  <c r="V41" i="1"/>
  <c r="V40" i="1"/>
  <c r="V39" i="1"/>
  <c r="V38" i="1"/>
  <c r="V37" i="1"/>
  <c r="V36" i="1"/>
  <c r="V34" i="1"/>
  <c r="V33" i="1"/>
  <c r="V32" i="1"/>
  <c r="V31" i="1"/>
  <c r="V30" i="1"/>
  <c r="V29" i="1"/>
  <c r="V25" i="1"/>
  <c r="V24" i="1"/>
  <c r="V23" i="1"/>
  <c r="V22" i="1"/>
  <c r="V21" i="1"/>
  <c r="V20" i="1"/>
  <c r="V19" i="1"/>
  <c r="V18" i="1"/>
  <c r="T507" i="1"/>
  <c r="T506" i="1"/>
  <c r="T504" i="1"/>
  <c r="T499" i="1"/>
  <c r="T498" i="1"/>
  <c r="T497" i="1"/>
  <c r="T496" i="1"/>
  <c r="T495" i="1"/>
  <c r="T494" i="1"/>
  <c r="T493" i="1"/>
  <c r="T492" i="1"/>
  <c r="T490" i="1"/>
  <c r="T489" i="1"/>
  <c r="T488" i="1"/>
  <c r="T487" i="1"/>
  <c r="T486" i="1"/>
  <c r="T485" i="1"/>
  <c r="T484" i="1"/>
  <c r="T481" i="1"/>
  <c r="T480" i="1" s="1"/>
  <c r="T479" i="1"/>
  <c r="T478" i="1" s="1"/>
  <c r="T477" i="1"/>
  <c r="T476" i="1" s="1"/>
  <c r="T475" i="1"/>
  <c r="T474" i="1"/>
  <c r="T471" i="1"/>
  <c r="T470" i="1"/>
  <c r="T469" i="1"/>
  <c r="T468" i="1"/>
  <c r="T467" i="1"/>
  <c r="T466" i="1"/>
  <c r="T465" i="1"/>
  <c r="T464" i="1"/>
  <c r="T462" i="1"/>
  <c r="T461" i="1"/>
  <c r="T460" i="1"/>
  <c r="T459" i="1"/>
  <c r="T458" i="1"/>
  <c r="T457" i="1"/>
  <c r="T456" i="1"/>
  <c r="T454" i="1"/>
  <c r="T453" i="1"/>
  <c r="T452" i="1"/>
  <c r="T451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5" i="1"/>
  <c r="T434" i="1"/>
  <c r="T433" i="1"/>
  <c r="T432" i="1"/>
  <c r="T431" i="1"/>
  <c r="T430" i="1"/>
  <c r="T428" i="1"/>
  <c r="T427" i="1"/>
  <c r="T426" i="1"/>
  <c r="T425" i="1"/>
  <c r="T423" i="1"/>
  <c r="T422" i="1"/>
  <c r="T421" i="1"/>
  <c r="T420" i="1"/>
  <c r="T419" i="1"/>
  <c r="T416" i="1"/>
  <c r="T415" i="1"/>
  <c r="T414" i="1"/>
  <c r="T413" i="1"/>
  <c r="T412" i="1"/>
  <c r="T411" i="1"/>
  <c r="T410" i="1"/>
  <c r="T409" i="1"/>
  <c r="T408" i="1"/>
  <c r="T407" i="1"/>
  <c r="T406" i="1"/>
  <c r="T404" i="1"/>
  <c r="T403" i="1"/>
  <c r="T402" i="1"/>
  <c r="T401" i="1"/>
  <c r="T400" i="1"/>
  <c r="T399" i="1"/>
  <c r="T398" i="1"/>
  <c r="T397" i="1"/>
  <c r="T396" i="1"/>
  <c r="T395" i="1"/>
  <c r="T394" i="1"/>
  <c r="T392" i="1"/>
  <c r="T391" i="1"/>
  <c r="T390" i="1"/>
  <c r="T389" i="1"/>
  <c r="T388" i="1"/>
  <c r="T387" i="1"/>
  <c r="T386" i="1"/>
  <c r="T385" i="1"/>
  <c r="T384" i="1"/>
  <c r="T383" i="1"/>
  <c r="T382" i="1"/>
  <c r="T380" i="1"/>
  <c r="T379" i="1"/>
  <c r="T378" i="1"/>
  <c r="T377" i="1"/>
  <c r="T376" i="1"/>
  <c r="T375" i="1"/>
  <c r="T374" i="1"/>
  <c r="T373" i="1"/>
  <c r="T372" i="1"/>
  <c r="T371" i="1"/>
  <c r="T370" i="1"/>
  <c r="T368" i="1"/>
  <c r="T367" i="1"/>
  <c r="T366" i="1"/>
  <c r="T365" i="1"/>
  <c r="T364" i="1"/>
  <c r="T363" i="1"/>
  <c r="T362" i="1"/>
  <c r="T361" i="1"/>
  <c r="T360" i="1"/>
  <c r="T359" i="1"/>
  <c r="T358" i="1"/>
  <c r="T356" i="1"/>
  <c r="T355" i="1"/>
  <c r="T354" i="1"/>
  <c r="T353" i="1"/>
  <c r="T352" i="1"/>
  <c r="T351" i="1"/>
  <c r="T350" i="1"/>
  <c r="T349" i="1"/>
  <c r="T348" i="1"/>
  <c r="T347" i="1"/>
  <c r="T346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7" i="1"/>
  <c r="T316" i="1"/>
  <c r="T315" i="1"/>
  <c r="T314" i="1"/>
  <c r="T313" i="1"/>
  <c r="T312" i="1"/>
  <c r="T311" i="1"/>
  <c r="T310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0" i="1"/>
  <c r="T259" i="1"/>
  <c r="T257" i="1"/>
  <c r="T256" i="1"/>
  <c r="T255" i="1"/>
  <c r="T254" i="1"/>
  <c r="T253" i="1"/>
  <c r="T252" i="1"/>
  <c r="T251" i="1"/>
  <c r="T250" i="1"/>
  <c r="T249" i="1"/>
  <c r="T248" i="1"/>
  <c r="T247" i="1"/>
  <c r="T245" i="1"/>
  <c r="T244" i="1"/>
  <c r="T243" i="1"/>
  <c r="T242" i="1"/>
  <c r="T241" i="1"/>
  <c r="T240" i="1"/>
  <c r="T239" i="1"/>
  <c r="T238" i="1"/>
  <c r="T237" i="1"/>
  <c r="T236" i="1"/>
  <c r="T235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19" i="1"/>
  <c r="T218" i="1"/>
  <c r="T216" i="1"/>
  <c r="T215" i="1"/>
  <c r="T214" i="1"/>
  <c r="T213" i="1"/>
  <c r="T212" i="1"/>
  <c r="T211" i="1"/>
  <c r="T210" i="1"/>
  <c r="T209" i="1"/>
  <c r="T207" i="1"/>
  <c r="T206" i="1"/>
  <c r="T205" i="1"/>
  <c r="T203" i="1"/>
  <c r="T202" i="1"/>
  <c r="T201" i="1"/>
  <c r="T200" i="1"/>
  <c r="T199" i="1"/>
  <c r="T198" i="1"/>
  <c r="T197" i="1"/>
  <c r="T195" i="1"/>
  <c r="T194" i="1" s="1"/>
  <c r="T192" i="1"/>
  <c r="T191" i="1" s="1"/>
  <c r="T190" i="1"/>
  <c r="T189" i="1"/>
  <c r="T187" i="1"/>
  <c r="T186" i="1"/>
  <c r="T184" i="1"/>
  <c r="T183" i="1"/>
  <c r="T182" i="1"/>
  <c r="T181" i="1"/>
  <c r="T180" i="1"/>
  <c r="T177" i="1"/>
  <c r="T176" i="1" s="1"/>
  <c r="T175" i="1" s="1"/>
  <c r="T174" i="1"/>
  <c r="T173" i="1" s="1"/>
  <c r="T172" i="1" s="1"/>
  <c r="T171" i="1"/>
  <c r="T170" i="1" s="1"/>
  <c r="T169" i="1"/>
  <c r="T168" i="1"/>
  <c r="T166" i="1"/>
  <c r="T165" i="1"/>
  <c r="T162" i="1"/>
  <c r="T161" i="1" s="1"/>
  <c r="T160" i="1"/>
  <c r="T159" i="1"/>
  <c r="T158" i="1"/>
  <c r="T157" i="1"/>
  <c r="T154" i="1"/>
  <c r="T153" i="1"/>
  <c r="T152" i="1"/>
  <c r="T151" i="1"/>
  <c r="T150" i="1"/>
  <c r="T149" i="1"/>
  <c r="T148" i="1"/>
  <c r="T146" i="1"/>
  <c r="T145" i="1" s="1"/>
  <c r="T144" i="1" s="1"/>
  <c r="T143" i="1"/>
  <c r="T142" i="1"/>
  <c r="T141" i="1"/>
  <c r="T139" i="1"/>
  <c r="T138" i="1"/>
  <c r="T137" i="1"/>
  <c r="T136" i="1"/>
  <c r="T135" i="1"/>
  <c r="T134" i="1"/>
  <c r="T131" i="1"/>
  <c r="T130" i="1"/>
  <c r="T129" i="1"/>
  <c r="T128" i="1"/>
  <c r="T127" i="1"/>
  <c r="T123" i="1"/>
  <c r="T122" i="1"/>
  <c r="T120" i="1"/>
  <c r="T119" i="1"/>
  <c r="T117" i="1"/>
  <c r="T116" i="1"/>
  <c r="T114" i="1"/>
  <c r="T113" i="1"/>
  <c r="T112" i="1"/>
  <c r="T109" i="1"/>
  <c r="T108" i="1"/>
  <c r="T107" i="1"/>
  <c r="T105" i="1"/>
  <c r="T104" i="1"/>
  <c r="T103" i="1"/>
  <c r="T102" i="1"/>
  <c r="T100" i="1"/>
  <c r="T99" i="1"/>
  <c r="T98" i="1"/>
  <c r="T97" i="1"/>
  <c r="T96" i="1"/>
  <c r="T95" i="1"/>
  <c r="T94" i="1"/>
  <c r="T91" i="1"/>
  <c r="T90" i="1"/>
  <c r="T89" i="1"/>
  <c r="T88" i="1"/>
  <c r="T86" i="1"/>
  <c r="T85" i="1"/>
  <c r="T84" i="1"/>
  <c r="T83" i="1"/>
  <c r="T82" i="1"/>
  <c r="T81" i="1"/>
  <c r="T80" i="1"/>
  <c r="T79" i="1"/>
  <c r="T78" i="1"/>
  <c r="T76" i="1"/>
  <c r="T75" i="1"/>
  <c r="T74" i="1"/>
  <c r="T73" i="1"/>
  <c r="T72" i="1"/>
  <c r="T71" i="1"/>
  <c r="T70" i="1"/>
  <c r="T69" i="1"/>
  <c r="T68" i="1"/>
  <c r="T66" i="1"/>
  <c r="T65" i="1"/>
  <c r="T64" i="1"/>
  <c r="T63" i="1"/>
  <c r="T62" i="1"/>
  <c r="T61" i="1"/>
  <c r="T58" i="1"/>
  <c r="T57" i="1"/>
  <c r="T56" i="1"/>
  <c r="T55" i="1"/>
  <c r="T54" i="1"/>
  <c r="T53" i="1"/>
  <c r="T52" i="1"/>
  <c r="T51" i="1"/>
  <c r="T50" i="1"/>
  <c r="T49" i="1"/>
  <c r="T48" i="1"/>
  <c r="T47" i="1"/>
  <c r="T45" i="1"/>
  <c r="T44" i="1"/>
  <c r="T43" i="1"/>
  <c r="T42" i="1"/>
  <c r="T41" i="1"/>
  <c r="T40" i="1"/>
  <c r="T39" i="1"/>
  <c r="T38" i="1"/>
  <c r="T37" i="1"/>
  <c r="T36" i="1"/>
  <c r="T34" i="1"/>
  <c r="T33" i="1"/>
  <c r="T32" i="1"/>
  <c r="T31" i="1"/>
  <c r="T30" i="1"/>
  <c r="T29" i="1"/>
  <c r="T28" i="1"/>
  <c r="T26" i="1"/>
  <c r="T25" i="1"/>
  <c r="T24" i="1"/>
  <c r="T23" i="1"/>
  <c r="T22" i="1"/>
  <c r="T21" i="1"/>
  <c r="T20" i="1"/>
  <c r="T19" i="1"/>
  <c r="R19" i="1"/>
  <c r="R507" i="1"/>
  <c r="R506" i="1"/>
  <c r="R505" i="1" s="1"/>
  <c r="R504" i="1"/>
  <c r="R503" i="1"/>
  <c r="R501" i="1"/>
  <c r="R500" i="1"/>
  <c r="R499" i="1"/>
  <c r="R498" i="1"/>
  <c r="R497" i="1"/>
  <c r="R496" i="1"/>
  <c r="R495" i="1"/>
  <c r="R494" i="1"/>
  <c r="R493" i="1"/>
  <c r="R492" i="1"/>
  <c r="R490" i="1"/>
  <c r="R489" i="1"/>
  <c r="R488" i="1"/>
  <c r="R487" i="1"/>
  <c r="R486" i="1"/>
  <c r="R485" i="1"/>
  <c r="R484" i="1"/>
  <c r="R481" i="1"/>
  <c r="R480" i="1" s="1"/>
  <c r="R479" i="1"/>
  <c r="R478" i="1" s="1"/>
  <c r="R477" i="1"/>
  <c r="R476" i="1" s="1"/>
  <c r="R475" i="1"/>
  <c r="R474" i="1"/>
  <c r="R471" i="1"/>
  <c r="R470" i="1"/>
  <c r="R469" i="1"/>
  <c r="R468" i="1"/>
  <c r="R467" i="1"/>
  <c r="R466" i="1"/>
  <c r="R465" i="1"/>
  <c r="R464" i="1"/>
  <c r="R462" i="1"/>
  <c r="R461" i="1"/>
  <c r="R460" i="1"/>
  <c r="R459" i="1"/>
  <c r="R458" i="1"/>
  <c r="R457" i="1"/>
  <c r="R456" i="1"/>
  <c r="R454" i="1"/>
  <c r="R453" i="1"/>
  <c r="R452" i="1"/>
  <c r="R451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5" i="1"/>
  <c r="R434" i="1"/>
  <c r="R433" i="1"/>
  <c r="R432" i="1"/>
  <c r="R431" i="1"/>
  <c r="R430" i="1"/>
  <c r="R429" i="1"/>
  <c r="R428" i="1"/>
  <c r="R427" i="1"/>
  <c r="R426" i="1"/>
  <c r="R425" i="1"/>
  <c r="R423" i="1"/>
  <c r="R422" i="1"/>
  <c r="R421" i="1"/>
  <c r="R420" i="1"/>
  <c r="R419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3" i="1"/>
  <c r="R202" i="1"/>
  <c r="R201" i="1"/>
  <c r="R200" i="1"/>
  <c r="R199" i="1"/>
  <c r="R198" i="1"/>
  <c r="R197" i="1"/>
  <c r="R195" i="1"/>
  <c r="R194" i="1" s="1"/>
  <c r="R192" i="1"/>
  <c r="R191" i="1" s="1"/>
  <c r="R190" i="1"/>
  <c r="R189" i="1"/>
  <c r="R187" i="1"/>
  <c r="R186" i="1"/>
  <c r="R184" i="1"/>
  <c r="R183" i="1"/>
  <c r="R182" i="1"/>
  <c r="R181" i="1"/>
  <c r="R180" i="1"/>
  <c r="R177" i="1"/>
  <c r="R176" i="1" s="1"/>
  <c r="R175" i="1" s="1"/>
  <c r="R174" i="1"/>
  <c r="R173" i="1" s="1"/>
  <c r="R172" i="1" s="1"/>
  <c r="R171" i="1"/>
  <c r="R170" i="1" s="1"/>
  <c r="R169" i="1"/>
  <c r="R168" i="1"/>
  <c r="R167" i="1" s="1"/>
  <c r="R166" i="1"/>
  <c r="R165" i="1"/>
  <c r="R162" i="1"/>
  <c r="R161" i="1" s="1"/>
  <c r="R160" i="1"/>
  <c r="R159" i="1"/>
  <c r="R158" i="1"/>
  <c r="R157" i="1"/>
  <c r="R154" i="1"/>
  <c r="R153" i="1"/>
  <c r="R152" i="1"/>
  <c r="R151" i="1"/>
  <c r="R150" i="1"/>
  <c r="R149" i="1"/>
  <c r="R148" i="1"/>
  <c r="R146" i="1"/>
  <c r="R145" i="1" s="1"/>
  <c r="R144" i="1" s="1"/>
  <c r="R143" i="1"/>
  <c r="R142" i="1"/>
  <c r="R141" i="1"/>
  <c r="R139" i="1"/>
  <c r="R138" i="1"/>
  <c r="R137" i="1"/>
  <c r="R136" i="1"/>
  <c r="R135" i="1"/>
  <c r="R134" i="1"/>
  <c r="R131" i="1"/>
  <c r="R130" i="1"/>
  <c r="R129" i="1"/>
  <c r="R128" i="1"/>
  <c r="R127" i="1"/>
  <c r="R123" i="1"/>
  <c r="R122" i="1"/>
  <c r="R120" i="1"/>
  <c r="R119" i="1"/>
  <c r="R117" i="1"/>
  <c r="R116" i="1"/>
  <c r="R114" i="1"/>
  <c r="R113" i="1"/>
  <c r="R112" i="1"/>
  <c r="R109" i="1"/>
  <c r="R108" i="1"/>
  <c r="R107" i="1"/>
  <c r="R105" i="1"/>
  <c r="R104" i="1"/>
  <c r="R103" i="1"/>
  <c r="R102" i="1"/>
  <c r="R100" i="1"/>
  <c r="R99" i="1"/>
  <c r="R98" i="1"/>
  <c r="R97" i="1"/>
  <c r="R96" i="1"/>
  <c r="R95" i="1"/>
  <c r="R94" i="1"/>
  <c r="R91" i="1"/>
  <c r="R90" i="1"/>
  <c r="R89" i="1"/>
  <c r="R88" i="1"/>
  <c r="R86" i="1"/>
  <c r="R85" i="1"/>
  <c r="R84" i="1"/>
  <c r="R83" i="1"/>
  <c r="R82" i="1"/>
  <c r="R81" i="1"/>
  <c r="R80" i="1"/>
  <c r="R79" i="1"/>
  <c r="R78" i="1"/>
  <c r="R76" i="1"/>
  <c r="R75" i="1"/>
  <c r="R74" i="1"/>
  <c r="R73" i="1"/>
  <c r="R72" i="1"/>
  <c r="R71" i="1"/>
  <c r="R70" i="1"/>
  <c r="R69" i="1"/>
  <c r="R68" i="1"/>
  <c r="R66" i="1"/>
  <c r="R65" i="1"/>
  <c r="R64" i="1"/>
  <c r="R63" i="1"/>
  <c r="R62" i="1"/>
  <c r="R61" i="1"/>
  <c r="R58" i="1"/>
  <c r="R57" i="1"/>
  <c r="R56" i="1"/>
  <c r="R55" i="1"/>
  <c r="R54" i="1"/>
  <c r="R53" i="1"/>
  <c r="R52" i="1"/>
  <c r="R51" i="1"/>
  <c r="R50" i="1"/>
  <c r="R49" i="1"/>
  <c r="R48" i="1"/>
  <c r="R47" i="1"/>
  <c r="R45" i="1"/>
  <c r="R44" i="1"/>
  <c r="R43" i="1"/>
  <c r="R42" i="1"/>
  <c r="R41" i="1"/>
  <c r="R40" i="1"/>
  <c r="R39" i="1"/>
  <c r="R38" i="1"/>
  <c r="R37" i="1"/>
  <c r="R36" i="1"/>
  <c r="R34" i="1"/>
  <c r="R33" i="1"/>
  <c r="R32" i="1"/>
  <c r="R31" i="1"/>
  <c r="R30" i="1"/>
  <c r="R29" i="1"/>
  <c r="R26" i="1"/>
  <c r="R25" i="1"/>
  <c r="R24" i="1"/>
  <c r="R23" i="1"/>
  <c r="R22" i="1"/>
  <c r="R21" i="1"/>
  <c r="R20" i="1"/>
  <c r="R18" i="1"/>
  <c r="P507" i="1"/>
  <c r="P506" i="1"/>
  <c r="P504" i="1"/>
  <c r="P503" i="1"/>
  <c r="P493" i="1"/>
  <c r="P494" i="1"/>
  <c r="P495" i="1"/>
  <c r="P496" i="1"/>
  <c r="P497" i="1"/>
  <c r="P498" i="1"/>
  <c r="P499" i="1"/>
  <c r="P500" i="1"/>
  <c r="P501" i="1"/>
  <c r="P492" i="1"/>
  <c r="P485" i="1"/>
  <c r="P486" i="1"/>
  <c r="P487" i="1"/>
  <c r="P488" i="1"/>
  <c r="P489" i="1"/>
  <c r="P490" i="1"/>
  <c r="P483" i="1" s="1"/>
  <c r="P484" i="1"/>
  <c r="P481" i="1"/>
  <c r="P479" i="1"/>
  <c r="P477" i="1"/>
  <c r="P475" i="1"/>
  <c r="P474" i="1"/>
  <c r="P465" i="1"/>
  <c r="P466" i="1"/>
  <c r="P467" i="1"/>
  <c r="P468" i="1"/>
  <c r="P469" i="1"/>
  <c r="P470" i="1"/>
  <c r="P471" i="1"/>
  <c r="P464" i="1"/>
  <c r="P457" i="1"/>
  <c r="P458" i="1"/>
  <c r="P459" i="1"/>
  <c r="P460" i="1"/>
  <c r="P461" i="1"/>
  <c r="P462" i="1"/>
  <c r="P456" i="1"/>
  <c r="P452" i="1"/>
  <c r="P453" i="1"/>
  <c r="P454" i="1"/>
  <c r="P451" i="1"/>
  <c r="P439" i="1"/>
  <c r="P440" i="1"/>
  <c r="P441" i="1"/>
  <c r="P442" i="1"/>
  <c r="P443" i="1"/>
  <c r="P444" i="1"/>
  <c r="P445" i="1"/>
  <c r="P446" i="1"/>
  <c r="P447" i="1"/>
  <c r="P448" i="1"/>
  <c r="P449" i="1"/>
  <c r="P438" i="1"/>
  <c r="P426" i="1"/>
  <c r="P427" i="1"/>
  <c r="P428" i="1"/>
  <c r="P429" i="1"/>
  <c r="P430" i="1"/>
  <c r="P431" i="1"/>
  <c r="P432" i="1"/>
  <c r="P433" i="1"/>
  <c r="P434" i="1"/>
  <c r="P435" i="1"/>
  <c r="P425" i="1"/>
  <c r="P420" i="1"/>
  <c r="P421" i="1"/>
  <c r="P422" i="1"/>
  <c r="P423" i="1"/>
  <c r="P419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333" i="1"/>
  <c r="P320" i="1"/>
  <c r="P321" i="1"/>
  <c r="P322" i="1"/>
  <c r="P323" i="1"/>
  <c r="P324" i="1"/>
  <c r="P325" i="1"/>
  <c r="P326" i="1"/>
  <c r="P327" i="1"/>
  <c r="P328" i="1"/>
  <c r="P329" i="1"/>
  <c r="P330" i="1"/>
  <c r="P319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297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6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22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05" i="1"/>
  <c r="P198" i="1"/>
  <c r="P199" i="1"/>
  <c r="P200" i="1"/>
  <c r="P201" i="1"/>
  <c r="P202" i="1"/>
  <c r="P203" i="1"/>
  <c r="P197" i="1"/>
  <c r="P195" i="1"/>
  <c r="P194" i="1" s="1"/>
  <c r="P192" i="1"/>
  <c r="P190" i="1"/>
  <c r="P189" i="1"/>
  <c r="P187" i="1"/>
  <c r="P186" i="1"/>
  <c r="P181" i="1"/>
  <c r="P182" i="1"/>
  <c r="P183" i="1"/>
  <c r="P184" i="1"/>
  <c r="P180" i="1"/>
  <c r="P177" i="1"/>
  <c r="P174" i="1"/>
  <c r="P173" i="1" s="1"/>
  <c r="P172" i="1" s="1"/>
  <c r="P171" i="1"/>
  <c r="P170" i="1" s="1"/>
  <c r="P169" i="1"/>
  <c r="P168" i="1"/>
  <c r="P167" i="1" s="1"/>
  <c r="P166" i="1"/>
  <c r="P165" i="1"/>
  <c r="P162" i="1"/>
  <c r="P161" i="1" s="1"/>
  <c r="N160" i="1"/>
  <c r="P158" i="1"/>
  <c r="P156" i="1" s="1"/>
  <c r="P159" i="1"/>
  <c r="P160" i="1"/>
  <c r="P157" i="1"/>
  <c r="P149" i="1"/>
  <c r="P150" i="1"/>
  <c r="P151" i="1"/>
  <c r="P152" i="1"/>
  <c r="P153" i="1"/>
  <c r="P154" i="1"/>
  <c r="P148" i="1"/>
  <c r="P146" i="1"/>
  <c r="P145" i="1" s="1"/>
  <c r="P144" i="1" s="1"/>
  <c r="P142" i="1"/>
  <c r="P143" i="1"/>
  <c r="P141" i="1"/>
  <c r="P135" i="1"/>
  <c r="P136" i="1"/>
  <c r="P137" i="1"/>
  <c r="P138" i="1"/>
  <c r="P139" i="1"/>
  <c r="P134" i="1"/>
  <c r="P128" i="1"/>
  <c r="P129" i="1"/>
  <c r="P130" i="1"/>
  <c r="P131" i="1"/>
  <c r="P127" i="1"/>
  <c r="P123" i="1"/>
  <c r="P121" i="1" s="1"/>
  <c r="P122" i="1"/>
  <c r="P120" i="1"/>
  <c r="P119" i="1"/>
  <c r="P117" i="1"/>
  <c r="P116" i="1"/>
  <c r="P113" i="1"/>
  <c r="P114" i="1"/>
  <c r="P111" i="1" s="1"/>
  <c r="P112" i="1"/>
  <c r="P108" i="1"/>
  <c r="P109" i="1"/>
  <c r="P107" i="1"/>
  <c r="P103" i="1"/>
  <c r="P104" i="1"/>
  <c r="P105" i="1"/>
  <c r="P102" i="1"/>
  <c r="P95" i="1"/>
  <c r="P96" i="1"/>
  <c r="P97" i="1"/>
  <c r="P98" i="1"/>
  <c r="P99" i="1"/>
  <c r="P100" i="1"/>
  <c r="N96" i="1"/>
  <c r="N97" i="1"/>
  <c r="N98" i="1"/>
  <c r="P94" i="1"/>
  <c r="P89" i="1"/>
  <c r="P90" i="1"/>
  <c r="P91" i="1"/>
  <c r="P88" i="1"/>
  <c r="P79" i="1"/>
  <c r="P80" i="1"/>
  <c r="P81" i="1"/>
  <c r="P82" i="1"/>
  <c r="P83" i="1"/>
  <c r="P84" i="1"/>
  <c r="P85" i="1"/>
  <c r="P86" i="1"/>
  <c r="P78" i="1"/>
  <c r="P69" i="1"/>
  <c r="P70" i="1"/>
  <c r="P71" i="1"/>
  <c r="P72" i="1"/>
  <c r="P73" i="1"/>
  <c r="P74" i="1"/>
  <c r="P75" i="1"/>
  <c r="P76" i="1"/>
  <c r="P68" i="1"/>
  <c r="P62" i="1"/>
  <c r="P63" i="1"/>
  <c r="P64" i="1"/>
  <c r="P65" i="1"/>
  <c r="P66" i="1"/>
  <c r="P61" i="1"/>
  <c r="P48" i="1"/>
  <c r="P49" i="1"/>
  <c r="P50" i="1"/>
  <c r="P51" i="1"/>
  <c r="P52" i="1"/>
  <c r="P53" i="1"/>
  <c r="P54" i="1"/>
  <c r="P55" i="1"/>
  <c r="P56" i="1"/>
  <c r="P57" i="1"/>
  <c r="P58" i="1"/>
  <c r="P47" i="1"/>
  <c r="P37" i="1"/>
  <c r="P38" i="1"/>
  <c r="P39" i="1"/>
  <c r="P40" i="1"/>
  <c r="P41" i="1"/>
  <c r="P42" i="1"/>
  <c r="P43" i="1"/>
  <c r="P44" i="1"/>
  <c r="P45" i="1"/>
  <c r="P36" i="1"/>
  <c r="P30" i="1"/>
  <c r="P31" i="1"/>
  <c r="P32" i="1"/>
  <c r="P33" i="1"/>
  <c r="P34" i="1"/>
  <c r="P29" i="1"/>
  <c r="P19" i="1"/>
  <c r="P20" i="1"/>
  <c r="P21" i="1"/>
  <c r="P22" i="1"/>
  <c r="P23" i="1"/>
  <c r="P24" i="1"/>
  <c r="P25" i="1"/>
  <c r="P26" i="1"/>
  <c r="P18" i="1"/>
  <c r="P505" i="1"/>
  <c r="P502" i="1"/>
  <c r="P480" i="1"/>
  <c r="P478" i="1"/>
  <c r="P476" i="1"/>
  <c r="P418" i="1"/>
  <c r="P191" i="1"/>
  <c r="P188" i="1"/>
  <c r="P176" i="1"/>
  <c r="P175" i="1" s="1"/>
  <c r="P101" i="1"/>
  <c r="H19" i="1"/>
  <c r="H98" i="1"/>
  <c r="J98" i="1" s="1"/>
  <c r="BB505" i="1" l="1"/>
  <c r="BA501" i="1"/>
  <c r="BB501" i="1" s="1"/>
  <c r="T503" i="1"/>
  <c r="AZ26" i="1"/>
  <c r="BA486" i="1"/>
  <c r="BB486" i="1" s="1"/>
  <c r="AZ20" i="1"/>
  <c r="BA499" i="1"/>
  <c r="BB499" i="1" s="1"/>
  <c r="BA497" i="1"/>
  <c r="BB497" i="1" s="1"/>
  <c r="BA496" i="1"/>
  <c r="BB496" i="1" s="1"/>
  <c r="X491" i="1"/>
  <c r="AZ489" i="1"/>
  <c r="AZ483" i="1" s="1"/>
  <c r="BA487" i="1"/>
  <c r="BB487" i="1" s="1"/>
  <c r="BB483" i="1" s="1"/>
  <c r="BA18" i="1"/>
  <c r="BB18" i="1" s="1"/>
  <c r="BB17" i="1" s="1"/>
  <c r="BB16" i="1" s="1"/>
  <c r="BB188" i="1"/>
  <c r="BB118" i="1"/>
  <c r="AZ502" i="1"/>
  <c r="AZ473" i="1"/>
  <c r="AZ185" i="1"/>
  <c r="AZ164" i="1"/>
  <c r="AZ126" i="1"/>
  <c r="AZ125" i="1" s="1"/>
  <c r="AZ106" i="1"/>
  <c r="T505" i="1"/>
  <c r="T473" i="1"/>
  <c r="T188" i="1"/>
  <c r="T185" i="1"/>
  <c r="T167" i="1"/>
  <c r="T106" i="1"/>
  <c r="Z505" i="1"/>
  <c r="AT505" i="1"/>
  <c r="X505" i="1"/>
  <c r="AV505" i="1"/>
  <c r="AZ505" i="1"/>
  <c r="AL505" i="1"/>
  <c r="AR505" i="1"/>
  <c r="AD505" i="1"/>
  <c r="AN505" i="1"/>
  <c r="AH502" i="1"/>
  <c r="AJ502" i="1"/>
  <c r="AX502" i="1"/>
  <c r="AN502" i="1"/>
  <c r="BB502" i="1"/>
  <c r="R502" i="1"/>
  <c r="T502" i="1"/>
  <c r="V502" i="1"/>
  <c r="AR502" i="1"/>
  <c r="Z502" i="1"/>
  <c r="AB502" i="1"/>
  <c r="AT502" i="1"/>
  <c r="AD502" i="1"/>
  <c r="P491" i="1"/>
  <c r="P482" i="1" s="1"/>
  <c r="AX491" i="1"/>
  <c r="AV491" i="1"/>
  <c r="AN491" i="1"/>
  <c r="AL491" i="1"/>
  <c r="AD491" i="1"/>
  <c r="AB491" i="1"/>
  <c r="T491" i="1"/>
  <c r="AZ491" i="1"/>
  <c r="AT491" i="1"/>
  <c r="AH491" i="1"/>
  <c r="AR491" i="1"/>
  <c r="AR482" i="1" s="1"/>
  <c r="AF491" i="1"/>
  <c r="AJ491" i="1"/>
  <c r="V491" i="1"/>
  <c r="AP491" i="1"/>
  <c r="R491" i="1"/>
  <c r="Z491" i="1"/>
  <c r="AJ483" i="1"/>
  <c r="X483" i="1"/>
  <c r="Z483" i="1"/>
  <c r="AR483" i="1"/>
  <c r="AB483" i="1"/>
  <c r="AH483" i="1"/>
  <c r="AF483" i="1"/>
  <c r="AT483" i="1"/>
  <c r="AV483" i="1"/>
  <c r="AX483" i="1"/>
  <c r="T483" i="1"/>
  <c r="AN483" i="1"/>
  <c r="AD483" i="1"/>
  <c r="AL483" i="1"/>
  <c r="AL482" i="1" s="1"/>
  <c r="AP483" i="1"/>
  <c r="R483" i="1"/>
  <c r="V483" i="1"/>
  <c r="T472" i="1"/>
  <c r="AN472" i="1"/>
  <c r="R473" i="1"/>
  <c r="R472" i="1" s="1"/>
  <c r="AF473" i="1"/>
  <c r="AF472" i="1" s="1"/>
  <c r="V473" i="1"/>
  <c r="V472" i="1" s="1"/>
  <c r="AJ473" i="1"/>
  <c r="X473" i="1"/>
  <c r="Z473" i="1"/>
  <c r="Z472" i="1" s="1"/>
  <c r="AL473" i="1"/>
  <c r="AL472" i="1" s="1"/>
  <c r="BB473" i="1"/>
  <c r="BB472" i="1" s="1"/>
  <c r="AV473" i="1"/>
  <c r="AV472" i="1" s="1"/>
  <c r="AD473" i="1"/>
  <c r="AD472" i="1" s="1"/>
  <c r="AP473" i="1"/>
  <c r="AP463" i="1"/>
  <c r="AT463" i="1"/>
  <c r="AF463" i="1"/>
  <c r="T463" i="1"/>
  <c r="V463" i="1"/>
  <c r="Z463" i="1"/>
  <c r="AB463" i="1"/>
  <c r="AR463" i="1"/>
  <c r="AD463" i="1"/>
  <c r="P463" i="1"/>
  <c r="BB463" i="1"/>
  <c r="AV463" i="1"/>
  <c r="AH463" i="1"/>
  <c r="AX463" i="1"/>
  <c r="R463" i="1"/>
  <c r="AJ463" i="1"/>
  <c r="AL463" i="1"/>
  <c r="AZ463" i="1"/>
  <c r="AN463" i="1"/>
  <c r="T455" i="1"/>
  <c r="AJ455" i="1"/>
  <c r="AV455" i="1"/>
  <c r="AR455" i="1"/>
  <c r="AH455" i="1"/>
  <c r="AD455" i="1"/>
  <c r="AL455" i="1"/>
  <c r="AT455" i="1"/>
  <c r="V455" i="1"/>
  <c r="BB455" i="1"/>
  <c r="X455" i="1"/>
  <c r="AF455" i="1"/>
  <c r="AN455" i="1"/>
  <c r="AP455" i="1"/>
  <c r="AX455" i="1"/>
  <c r="Z455" i="1"/>
  <c r="AB455" i="1"/>
  <c r="R455" i="1"/>
  <c r="AZ455" i="1"/>
  <c r="Z450" i="1"/>
  <c r="R450" i="1"/>
  <c r="AB450" i="1"/>
  <c r="AJ450" i="1"/>
  <c r="AF450" i="1"/>
  <c r="AN450" i="1"/>
  <c r="AV450" i="1"/>
  <c r="T450" i="1"/>
  <c r="AD450" i="1"/>
  <c r="AZ450" i="1"/>
  <c r="AL450" i="1"/>
  <c r="AT450" i="1"/>
  <c r="V450" i="1"/>
  <c r="BB450" i="1"/>
  <c r="X450" i="1"/>
  <c r="X436" i="1" s="1"/>
  <c r="AR450" i="1"/>
  <c r="AJ437" i="1"/>
  <c r="AL437" i="1"/>
  <c r="AH437" i="1"/>
  <c r="AH436" i="1" s="1"/>
  <c r="AD437" i="1"/>
  <c r="AT437" i="1"/>
  <c r="AT436" i="1" s="1"/>
  <c r="V437" i="1"/>
  <c r="X437" i="1"/>
  <c r="AN437" i="1"/>
  <c r="AN436" i="1" s="1"/>
  <c r="R437" i="1"/>
  <c r="BB437" i="1"/>
  <c r="BB436" i="1" s="1"/>
  <c r="AP437" i="1"/>
  <c r="AP436" i="1" s="1"/>
  <c r="T437" i="1"/>
  <c r="AB437" i="1"/>
  <c r="AX437" i="1"/>
  <c r="AX436" i="1" s="1"/>
  <c r="Z437" i="1"/>
  <c r="Z436" i="1" s="1"/>
  <c r="AR437" i="1"/>
  <c r="AF437" i="1"/>
  <c r="AF436" i="1" s="1"/>
  <c r="AZ437" i="1"/>
  <c r="AV437" i="1"/>
  <c r="Z424" i="1"/>
  <c r="AX424" i="1"/>
  <c r="R424" i="1"/>
  <c r="AV424" i="1"/>
  <c r="AN424" i="1"/>
  <c r="AD424" i="1"/>
  <c r="AJ424" i="1"/>
  <c r="X424" i="1"/>
  <c r="AR424" i="1"/>
  <c r="AF424" i="1"/>
  <c r="AT424" i="1"/>
  <c r="AB424" i="1"/>
  <c r="AL424" i="1"/>
  <c r="AZ424" i="1"/>
  <c r="T424" i="1"/>
  <c r="AH424" i="1"/>
  <c r="P424" i="1"/>
  <c r="BB424" i="1"/>
  <c r="V424" i="1"/>
  <c r="AP424" i="1"/>
  <c r="AT418" i="1"/>
  <c r="AH418" i="1"/>
  <c r="AB418" i="1"/>
  <c r="V418" i="1"/>
  <c r="AV418" i="1"/>
  <c r="AJ418" i="1"/>
  <c r="BB418" i="1"/>
  <c r="X418" i="1"/>
  <c r="AX418" i="1"/>
  <c r="AL418" i="1"/>
  <c r="AP418" i="1"/>
  <c r="R418" i="1"/>
  <c r="Z418" i="1"/>
  <c r="AR418" i="1"/>
  <c r="T418" i="1"/>
  <c r="AD418" i="1"/>
  <c r="AZ418" i="1"/>
  <c r="AJ332" i="1"/>
  <c r="AV332" i="1"/>
  <c r="AL332" i="1"/>
  <c r="AX332" i="1"/>
  <c r="AZ332" i="1"/>
  <c r="AP332" i="1"/>
  <c r="BB332" i="1"/>
  <c r="R332" i="1"/>
  <c r="T332" i="1"/>
  <c r="AH332" i="1"/>
  <c r="AR332" i="1"/>
  <c r="AD332" i="1"/>
  <c r="V332" i="1"/>
  <c r="AN332" i="1"/>
  <c r="X332" i="1"/>
  <c r="P332" i="1"/>
  <c r="Z332" i="1"/>
  <c r="AB332" i="1"/>
  <c r="AT332" i="1"/>
  <c r="AF332" i="1"/>
  <c r="AF318" i="1"/>
  <c r="AR318" i="1"/>
  <c r="AN318" i="1"/>
  <c r="AH318" i="1"/>
  <c r="AJ318" i="1"/>
  <c r="AV318" i="1"/>
  <c r="X318" i="1"/>
  <c r="AL318" i="1"/>
  <c r="AP318" i="1"/>
  <c r="BB318" i="1"/>
  <c r="T318" i="1"/>
  <c r="AX318" i="1"/>
  <c r="AB318" i="1"/>
  <c r="AT318" i="1"/>
  <c r="V318" i="1"/>
  <c r="AZ318" i="1"/>
  <c r="P318" i="1"/>
  <c r="Z318" i="1"/>
  <c r="R318" i="1"/>
  <c r="AD318" i="1"/>
  <c r="AD296" i="1"/>
  <c r="AV296" i="1"/>
  <c r="AZ296" i="1"/>
  <c r="BB296" i="1"/>
  <c r="V296" i="1"/>
  <c r="AJ296" i="1"/>
  <c r="AP296" i="1"/>
  <c r="R296" i="1"/>
  <c r="AL296" i="1"/>
  <c r="P296" i="1"/>
  <c r="T296" i="1"/>
  <c r="AH296" i="1"/>
  <c r="AR296" i="1"/>
  <c r="AX296" i="1"/>
  <c r="AN296" i="1"/>
  <c r="X296" i="1"/>
  <c r="Z296" i="1"/>
  <c r="AB296" i="1"/>
  <c r="AT296" i="1"/>
  <c r="AF296" i="1"/>
  <c r="AH261" i="1"/>
  <c r="AR261" i="1"/>
  <c r="AX261" i="1"/>
  <c r="AT261" i="1"/>
  <c r="AL261" i="1"/>
  <c r="AN261" i="1"/>
  <c r="AZ261" i="1"/>
  <c r="R261" i="1"/>
  <c r="X261" i="1"/>
  <c r="AP261" i="1"/>
  <c r="AV261" i="1"/>
  <c r="BB261" i="1"/>
  <c r="Z261" i="1"/>
  <c r="AF261" i="1"/>
  <c r="T261" i="1"/>
  <c r="AB261" i="1"/>
  <c r="AD261" i="1"/>
  <c r="AJ261" i="1"/>
  <c r="V261" i="1"/>
  <c r="AT221" i="1"/>
  <c r="AL221" i="1"/>
  <c r="AD221" i="1"/>
  <c r="AN221" i="1"/>
  <c r="AV221" i="1"/>
  <c r="R221" i="1"/>
  <c r="Z221" i="1"/>
  <c r="AX221" i="1"/>
  <c r="AB221" i="1"/>
  <c r="AP221" i="1"/>
  <c r="T221" i="1"/>
  <c r="AH221" i="1"/>
  <c r="AR221" i="1"/>
  <c r="V221" i="1"/>
  <c r="AF221" i="1"/>
  <c r="AZ221" i="1"/>
  <c r="AJ221" i="1"/>
  <c r="BB221" i="1"/>
  <c r="X221" i="1"/>
  <c r="P221" i="1"/>
  <c r="BB204" i="1"/>
  <c r="AX204" i="1"/>
  <c r="AZ204" i="1"/>
  <c r="V204" i="1"/>
  <c r="AH204" i="1"/>
  <c r="AR204" i="1"/>
  <c r="Z204" i="1"/>
  <c r="AP204" i="1"/>
  <c r="AB204" i="1"/>
  <c r="AB193" i="1" s="1"/>
  <c r="AD204" i="1"/>
  <c r="X204" i="1"/>
  <c r="AN204" i="1"/>
  <c r="AJ204" i="1"/>
  <c r="AJ193" i="1" s="1"/>
  <c r="AL204" i="1"/>
  <c r="AT204" i="1"/>
  <c r="AT193" i="1" s="1"/>
  <c r="AF204" i="1"/>
  <c r="AF193" i="1" s="1"/>
  <c r="AV204" i="1"/>
  <c r="R204" i="1"/>
  <c r="T204" i="1"/>
  <c r="AF196" i="1"/>
  <c r="T196" i="1"/>
  <c r="Z196" i="1"/>
  <c r="AR196" i="1"/>
  <c r="AJ196" i="1"/>
  <c r="AT196" i="1"/>
  <c r="AL196" i="1"/>
  <c r="AP196" i="1"/>
  <c r="AZ196" i="1"/>
  <c r="AB196" i="1"/>
  <c r="AV196" i="1"/>
  <c r="V196" i="1"/>
  <c r="AH196" i="1"/>
  <c r="BB196" i="1"/>
  <c r="R196" i="1"/>
  <c r="X196" i="1"/>
  <c r="X193" i="1" s="1"/>
  <c r="AN196" i="1"/>
  <c r="AX196" i="1"/>
  <c r="AX193" i="1"/>
  <c r="AD196" i="1"/>
  <c r="R188" i="1"/>
  <c r="AX188" i="1"/>
  <c r="AL188" i="1"/>
  <c r="AH188" i="1"/>
  <c r="AZ188" i="1"/>
  <c r="Z188" i="1"/>
  <c r="AF185" i="1"/>
  <c r="AF178" i="1" s="1"/>
  <c r="V185" i="1"/>
  <c r="AD185" i="1"/>
  <c r="AB178" i="1"/>
  <c r="R185" i="1"/>
  <c r="P185" i="1"/>
  <c r="AZ179" i="1"/>
  <c r="AZ178" i="1" s="1"/>
  <c r="AV179" i="1"/>
  <c r="AV178" i="1" s="1"/>
  <c r="AD179" i="1"/>
  <c r="AH179" i="1"/>
  <c r="AH178" i="1" s="1"/>
  <c r="AL179" i="1"/>
  <c r="AL178" i="1" s="1"/>
  <c r="AT179" i="1"/>
  <c r="T179" i="1"/>
  <c r="T178" i="1" s="1"/>
  <c r="AJ179" i="1"/>
  <c r="AJ178" i="1" s="1"/>
  <c r="V179" i="1"/>
  <c r="V178" i="1" s="1"/>
  <c r="AN179" i="1"/>
  <c r="AN178" i="1" s="1"/>
  <c r="Z179" i="1"/>
  <c r="Z178" i="1" s="1"/>
  <c r="AR179" i="1"/>
  <c r="AR178" i="1" s="1"/>
  <c r="BB179" i="1"/>
  <c r="BB178" i="1" s="1"/>
  <c r="AP179" i="1"/>
  <c r="AP178" i="1" s="1"/>
  <c r="AX179" i="1"/>
  <c r="R179" i="1"/>
  <c r="X179" i="1"/>
  <c r="X178" i="1" s="1"/>
  <c r="AH167" i="1"/>
  <c r="AZ167" i="1"/>
  <c r="AD167" i="1"/>
  <c r="AD163" i="1" s="1"/>
  <c r="AJ167" i="1"/>
  <c r="AT167" i="1"/>
  <c r="AN167" i="1"/>
  <c r="AF167" i="1"/>
  <c r="BB167" i="1"/>
  <c r="X167" i="1"/>
  <c r="AJ163" i="1"/>
  <c r="AP163" i="1"/>
  <c r="AR167" i="1"/>
  <c r="AB167" i="1"/>
  <c r="V167" i="1"/>
  <c r="T164" i="1"/>
  <c r="T163" i="1" s="1"/>
  <c r="X164" i="1"/>
  <c r="AR164" i="1"/>
  <c r="AB164" i="1"/>
  <c r="AB163" i="1" s="1"/>
  <c r="AT164" i="1"/>
  <c r="AT163" i="1" s="1"/>
  <c r="V164" i="1"/>
  <c r="AH164" i="1"/>
  <c r="AX164" i="1"/>
  <c r="AX163" i="1" s="1"/>
  <c r="R164" i="1"/>
  <c r="R163" i="1" s="1"/>
  <c r="Z164" i="1"/>
  <c r="Z163" i="1" s="1"/>
  <c r="P164" i="1"/>
  <c r="BB164" i="1"/>
  <c r="AF164" i="1"/>
  <c r="AN164" i="1"/>
  <c r="AV164" i="1"/>
  <c r="AV163" i="1" s="1"/>
  <c r="AB155" i="1"/>
  <c r="AR155" i="1"/>
  <c r="AP155" i="1"/>
  <c r="BB155" i="1"/>
  <c r="V155" i="1"/>
  <c r="AV156" i="1"/>
  <c r="AV155" i="1" s="1"/>
  <c r="AL156" i="1"/>
  <c r="AL155" i="1" s="1"/>
  <c r="AZ155" i="1"/>
  <c r="AX156" i="1"/>
  <c r="AX155" i="1" s="1"/>
  <c r="AD156" i="1"/>
  <c r="AD155" i="1" s="1"/>
  <c r="T155" i="1"/>
  <c r="Z156" i="1"/>
  <c r="Z155" i="1" s="1"/>
  <c r="X156" i="1"/>
  <c r="X155" i="1" s="1"/>
  <c r="AH156" i="1"/>
  <c r="AH155" i="1" s="1"/>
  <c r="AN156" i="1"/>
  <c r="AN155" i="1" s="1"/>
  <c r="AF156" i="1"/>
  <c r="AF155" i="1" s="1"/>
  <c r="AT156" i="1"/>
  <c r="AT155" i="1" s="1"/>
  <c r="R155" i="1"/>
  <c r="AT147" i="1"/>
  <c r="Z147" i="1"/>
  <c r="AP147" i="1"/>
  <c r="AB147" i="1"/>
  <c r="P147" i="1"/>
  <c r="AJ147" i="1"/>
  <c r="AR147" i="1"/>
  <c r="AX147" i="1"/>
  <c r="AV147" i="1"/>
  <c r="X147" i="1"/>
  <c r="AH147" i="1"/>
  <c r="AN147" i="1"/>
  <c r="BB147" i="1"/>
  <c r="AF147" i="1"/>
  <c r="AL147" i="1"/>
  <c r="AZ147" i="1"/>
  <c r="AD147" i="1"/>
  <c r="T147" i="1"/>
  <c r="V147" i="1"/>
  <c r="R147" i="1"/>
  <c r="P140" i="1"/>
  <c r="BB140" i="1"/>
  <c r="AH132" i="1"/>
  <c r="T140" i="1"/>
  <c r="AJ140" i="1"/>
  <c r="X140" i="1"/>
  <c r="R140" i="1"/>
  <c r="AL140" i="1"/>
  <c r="AT140" i="1"/>
  <c r="AD140" i="1"/>
  <c r="AB140" i="1"/>
  <c r="AZ140" i="1"/>
  <c r="AN140" i="1"/>
  <c r="AF140" i="1"/>
  <c r="AV140" i="1"/>
  <c r="AR133" i="1"/>
  <c r="AR132" i="1" s="1"/>
  <c r="R133" i="1"/>
  <c r="AF133" i="1"/>
  <c r="AN133" i="1"/>
  <c r="AP133" i="1"/>
  <c r="AP132" i="1" s="1"/>
  <c r="AT133" i="1"/>
  <c r="AT132" i="1" s="1"/>
  <c r="AV133" i="1"/>
  <c r="AB133" i="1"/>
  <c r="AB132" i="1" s="1"/>
  <c r="Z133" i="1"/>
  <c r="Z132" i="1" s="1"/>
  <c r="AJ133" i="1"/>
  <c r="AZ133" i="1"/>
  <c r="X133" i="1"/>
  <c r="AX133" i="1"/>
  <c r="AX132" i="1" s="1"/>
  <c r="P133" i="1"/>
  <c r="V133" i="1"/>
  <c r="V132" i="1" s="1"/>
  <c r="AL133" i="1"/>
  <c r="AL132" i="1" s="1"/>
  <c r="BB133" i="1"/>
  <c r="T133" i="1"/>
  <c r="AD133" i="1"/>
  <c r="AD132" i="1" s="1"/>
  <c r="Z126" i="1"/>
  <c r="Z125" i="1" s="1"/>
  <c r="R126" i="1"/>
  <c r="R125" i="1" s="1"/>
  <c r="AD126" i="1"/>
  <c r="AD125" i="1" s="1"/>
  <c r="AR126" i="1"/>
  <c r="AR125" i="1" s="1"/>
  <c r="AL126" i="1"/>
  <c r="AL125" i="1" s="1"/>
  <c r="AB126" i="1"/>
  <c r="AB125" i="1" s="1"/>
  <c r="V126" i="1"/>
  <c r="V125" i="1" s="1"/>
  <c r="AH126" i="1"/>
  <c r="AH125" i="1" s="1"/>
  <c r="AX126" i="1"/>
  <c r="AX125" i="1" s="1"/>
  <c r="AF126" i="1"/>
  <c r="AF125" i="1" s="1"/>
  <c r="AN126" i="1"/>
  <c r="AN125" i="1" s="1"/>
  <c r="AP126" i="1"/>
  <c r="AP125" i="1" s="1"/>
  <c r="AV126" i="1"/>
  <c r="AV125" i="1" s="1"/>
  <c r="T126" i="1"/>
  <c r="T125" i="1" s="1"/>
  <c r="AT126" i="1"/>
  <c r="AT125" i="1" s="1"/>
  <c r="AJ126" i="1"/>
  <c r="AJ125" i="1" s="1"/>
  <c r="BB126" i="1"/>
  <c r="BB125" i="1" s="1"/>
  <c r="AB121" i="1"/>
  <c r="R121" i="1"/>
  <c r="AT121" i="1"/>
  <c r="AJ121" i="1"/>
  <c r="V121" i="1"/>
  <c r="AH121" i="1"/>
  <c r="AZ121" i="1"/>
  <c r="AF121" i="1"/>
  <c r="T121" i="1"/>
  <c r="AN121" i="1"/>
  <c r="AP121" i="1"/>
  <c r="BB121" i="1"/>
  <c r="R118" i="1"/>
  <c r="P118" i="1"/>
  <c r="V118" i="1"/>
  <c r="AF118" i="1"/>
  <c r="AZ118" i="1"/>
  <c r="T118" i="1"/>
  <c r="AL118" i="1"/>
  <c r="AN118" i="1"/>
  <c r="X118" i="1"/>
  <c r="AB118" i="1"/>
  <c r="AX118" i="1"/>
  <c r="Z118" i="1"/>
  <c r="AV118" i="1"/>
  <c r="AV110" i="1" s="1"/>
  <c r="AD118" i="1"/>
  <c r="V115" i="1"/>
  <c r="AF115" i="1"/>
  <c r="AR115" i="1"/>
  <c r="AD115" i="1"/>
  <c r="X115" i="1"/>
  <c r="AN115" i="1"/>
  <c r="AZ115" i="1"/>
  <c r="AB115" i="1"/>
  <c r="AX115" i="1"/>
  <c r="AX110" i="1" s="1"/>
  <c r="AT115" i="1"/>
  <c r="AL115" i="1"/>
  <c r="R115" i="1"/>
  <c r="BB115" i="1"/>
  <c r="P115" i="1"/>
  <c r="AJ115" i="1"/>
  <c r="T115" i="1"/>
  <c r="AH115" i="1"/>
  <c r="AP111" i="1"/>
  <c r="AZ111" i="1"/>
  <c r="AT111" i="1"/>
  <c r="AJ111" i="1"/>
  <c r="T111" i="1"/>
  <c r="AH111" i="1"/>
  <c r="AF111" i="1"/>
  <c r="X111" i="1"/>
  <c r="AL111" i="1"/>
  <c r="AR111" i="1"/>
  <c r="AR110" i="1" s="1"/>
  <c r="BB111" i="1"/>
  <c r="V111" i="1"/>
  <c r="AV111" i="1"/>
  <c r="AD111" i="1"/>
  <c r="Z111" i="1"/>
  <c r="Z110" i="1" s="1"/>
  <c r="AB111" i="1"/>
  <c r="AB110" i="1" s="1"/>
  <c r="R111" i="1"/>
  <c r="AN111" i="1"/>
  <c r="AV106" i="1"/>
  <c r="X106" i="1"/>
  <c r="AJ106" i="1"/>
  <c r="AT106" i="1"/>
  <c r="AH106" i="1"/>
  <c r="AF106" i="1"/>
  <c r="R106" i="1"/>
  <c r="R92" i="1" s="1"/>
  <c r="Z106" i="1"/>
  <c r="AB106" i="1"/>
  <c r="AL106" i="1"/>
  <c r="AR106" i="1"/>
  <c r="AN106" i="1"/>
  <c r="AP106" i="1"/>
  <c r="BB106" i="1"/>
  <c r="V106" i="1"/>
  <c r="AD106" i="1"/>
  <c r="P106" i="1"/>
  <c r="AB101" i="1"/>
  <c r="AP101" i="1"/>
  <c r="AZ101" i="1"/>
  <c r="AD101" i="1"/>
  <c r="X101" i="1"/>
  <c r="Z101" i="1"/>
  <c r="T101" i="1"/>
  <c r="AN101" i="1"/>
  <c r="AJ101" i="1"/>
  <c r="BB101" i="1"/>
  <c r="R101" i="1"/>
  <c r="AT101" i="1"/>
  <c r="V101" i="1"/>
  <c r="AR93" i="1"/>
  <c r="AT93" i="1"/>
  <c r="AV93" i="1"/>
  <c r="AV92" i="1" s="1"/>
  <c r="AX93" i="1"/>
  <c r="AX92" i="1" s="1"/>
  <c r="R93" i="1"/>
  <c r="X93" i="1"/>
  <c r="AP93" i="1"/>
  <c r="Z93" i="1"/>
  <c r="AF93" i="1"/>
  <c r="AF92" i="1" s="1"/>
  <c r="AH93" i="1"/>
  <c r="V93" i="1"/>
  <c r="AZ93" i="1"/>
  <c r="BB93" i="1"/>
  <c r="AL93" i="1"/>
  <c r="T93" i="1"/>
  <c r="AJ93" i="1"/>
  <c r="AD93" i="1"/>
  <c r="AB93" i="1"/>
  <c r="AB87" i="1"/>
  <c r="T87" i="1"/>
  <c r="AL87" i="1"/>
  <c r="AT87" i="1"/>
  <c r="X87" i="1"/>
  <c r="AN87" i="1"/>
  <c r="AZ87" i="1"/>
  <c r="BB87" i="1"/>
  <c r="P87" i="1"/>
  <c r="AV87" i="1"/>
  <c r="AX87" i="1"/>
  <c r="AJ87" i="1"/>
  <c r="AR87" i="1"/>
  <c r="Z87" i="1"/>
  <c r="AP87" i="1"/>
  <c r="V87" i="1"/>
  <c r="AD87" i="1"/>
  <c r="R87" i="1"/>
  <c r="AN77" i="1"/>
  <c r="AR77" i="1"/>
  <c r="AZ77" i="1"/>
  <c r="BB77" i="1"/>
  <c r="R77" i="1"/>
  <c r="AT77" i="1"/>
  <c r="Z77" i="1"/>
  <c r="AD77" i="1"/>
  <c r="AF77" i="1"/>
  <c r="AH77" i="1"/>
  <c r="T77" i="1"/>
  <c r="AL77" i="1"/>
  <c r="AV77" i="1"/>
  <c r="AX77" i="1"/>
  <c r="X77" i="1"/>
  <c r="AJ77" i="1"/>
  <c r="AP67" i="1"/>
  <c r="X67" i="1"/>
  <c r="T67" i="1"/>
  <c r="Z67" i="1"/>
  <c r="AD67" i="1"/>
  <c r="AH67" i="1"/>
  <c r="AJ67" i="1"/>
  <c r="AT67" i="1"/>
  <c r="V67" i="1"/>
  <c r="AB67" i="1"/>
  <c r="P67" i="1"/>
  <c r="AF67" i="1"/>
  <c r="AZ67" i="1"/>
  <c r="BB67" i="1"/>
  <c r="AX67" i="1"/>
  <c r="AL67" i="1"/>
  <c r="R67" i="1"/>
  <c r="AV67" i="1"/>
  <c r="V60" i="1"/>
  <c r="P60" i="1"/>
  <c r="BB60" i="1"/>
  <c r="AH60" i="1"/>
  <c r="AJ60" i="1"/>
  <c r="AX60" i="1"/>
  <c r="R60" i="1"/>
  <c r="AN60" i="1"/>
  <c r="X60" i="1"/>
  <c r="AP60" i="1"/>
  <c r="AR60" i="1"/>
  <c r="Z60" i="1"/>
  <c r="AB60" i="1"/>
  <c r="AD60" i="1"/>
  <c r="AT60" i="1"/>
  <c r="AZ60" i="1"/>
  <c r="T60" i="1"/>
  <c r="AL60" i="1"/>
  <c r="R46" i="1"/>
  <c r="T46" i="1"/>
  <c r="AD46" i="1"/>
  <c r="AF46" i="1"/>
  <c r="AV46" i="1"/>
  <c r="AT46" i="1"/>
  <c r="V46" i="1"/>
  <c r="P46" i="1"/>
  <c r="AJ46" i="1"/>
  <c r="AX46" i="1"/>
  <c r="AN46" i="1"/>
  <c r="X46" i="1"/>
  <c r="AR46" i="1"/>
  <c r="AR27" i="1" s="1"/>
  <c r="Z46" i="1"/>
  <c r="Z27" i="1" s="1"/>
  <c r="AB46" i="1"/>
  <c r="AL46" i="1"/>
  <c r="AZ46" i="1"/>
  <c r="AH46" i="1"/>
  <c r="BB46" i="1"/>
  <c r="AP46" i="1"/>
  <c r="AX35" i="1"/>
  <c r="AD35" i="1"/>
  <c r="AV35" i="1"/>
  <c r="AH35" i="1"/>
  <c r="AZ35" i="1"/>
  <c r="Z35" i="1"/>
  <c r="AP35" i="1"/>
  <c r="T35" i="1"/>
  <c r="T27" i="1" s="1"/>
  <c r="AL35" i="1"/>
  <c r="AB35" i="1"/>
  <c r="AF35" i="1"/>
  <c r="BB35" i="1"/>
  <c r="R35" i="1"/>
  <c r="AJ35" i="1"/>
  <c r="AN35" i="1"/>
  <c r="X35" i="1"/>
  <c r="P35" i="1"/>
  <c r="V35" i="1"/>
  <c r="AT35" i="1"/>
  <c r="Z28" i="1"/>
  <c r="X28" i="1"/>
  <c r="AP28" i="1"/>
  <c r="AD28" i="1"/>
  <c r="AN28" i="1"/>
  <c r="AR28" i="1"/>
  <c r="V28" i="1"/>
  <c r="AL28" i="1"/>
  <c r="AB28" i="1"/>
  <c r="R28" i="1"/>
  <c r="AF28" i="1"/>
  <c r="AV28" i="1"/>
  <c r="AH28" i="1"/>
  <c r="AJ28" i="1"/>
  <c r="AX28" i="1"/>
  <c r="AZ28" i="1"/>
  <c r="AT28" i="1"/>
  <c r="AT27" i="1" s="1"/>
  <c r="BB28" i="1"/>
  <c r="P28" i="1"/>
  <c r="AB17" i="1"/>
  <c r="AB16" i="1" s="1"/>
  <c r="AH17" i="1"/>
  <c r="AH16" i="1" s="1"/>
  <c r="AJ17" i="1"/>
  <c r="AJ16" i="1" s="1"/>
  <c r="AP17" i="1"/>
  <c r="AP16" i="1" s="1"/>
  <c r="Z17" i="1"/>
  <c r="Z16" i="1" s="1"/>
  <c r="X17" i="1"/>
  <c r="X16" i="1" s="1"/>
  <c r="AR17" i="1"/>
  <c r="AR16" i="1" s="1"/>
  <c r="V17" i="1"/>
  <c r="V16" i="1" s="1"/>
  <c r="AL17" i="1"/>
  <c r="AL16" i="1" s="1"/>
  <c r="AD17" i="1"/>
  <c r="AD16" i="1" s="1"/>
  <c r="AF17" i="1"/>
  <c r="AF16" i="1" s="1"/>
  <c r="AV17" i="1"/>
  <c r="AV16" i="1" s="1"/>
  <c r="AN17" i="1"/>
  <c r="AN16" i="1" s="1"/>
  <c r="AT17" i="1"/>
  <c r="AT16" i="1" s="1"/>
  <c r="T17" i="1"/>
  <c r="T16" i="1" s="1"/>
  <c r="AZ163" i="1"/>
  <c r="AZ472" i="1"/>
  <c r="AX472" i="1"/>
  <c r="AT472" i="1"/>
  <c r="AT178" i="1"/>
  <c r="AR472" i="1"/>
  <c r="AP472" i="1"/>
  <c r="AP110" i="1"/>
  <c r="AL163" i="1"/>
  <c r="AJ132" i="1"/>
  <c r="AJ124" i="1" s="1"/>
  <c r="AJ472" i="1"/>
  <c r="AH163" i="1"/>
  <c r="AH472" i="1"/>
  <c r="AF163" i="1"/>
  <c r="AD178" i="1"/>
  <c r="AB472" i="1"/>
  <c r="X132" i="1"/>
  <c r="X124" i="1" s="1"/>
  <c r="X472" i="1"/>
  <c r="X163" i="1"/>
  <c r="R17" i="1"/>
  <c r="R16" i="1" s="1"/>
  <c r="P473" i="1"/>
  <c r="P472" i="1" s="1"/>
  <c r="P455" i="1"/>
  <c r="P450" i="1"/>
  <c r="P437" i="1"/>
  <c r="P261" i="1"/>
  <c r="P204" i="1"/>
  <c r="P196" i="1"/>
  <c r="P179" i="1"/>
  <c r="P163" i="1"/>
  <c r="P126" i="1"/>
  <c r="P125" i="1" s="1"/>
  <c r="P110" i="1"/>
  <c r="P93" i="1"/>
  <c r="P77" i="1"/>
  <c r="P17" i="1"/>
  <c r="P16" i="1" s="1"/>
  <c r="P155" i="1"/>
  <c r="K98" i="1"/>
  <c r="I98" i="1"/>
  <c r="AZ17" i="1" l="1"/>
  <c r="AZ16" i="1" s="1"/>
  <c r="BB491" i="1"/>
  <c r="BB482" i="1" s="1"/>
  <c r="X482" i="1"/>
  <c r="V482" i="1"/>
  <c r="BB163" i="1"/>
  <c r="BB132" i="1"/>
  <c r="BB124" i="1" s="1"/>
  <c r="AZ436" i="1"/>
  <c r="AZ132" i="1"/>
  <c r="AZ124" i="1" s="1"/>
  <c r="T132" i="1"/>
  <c r="T124" i="1" s="1"/>
  <c r="T110" i="1"/>
  <c r="AV482" i="1"/>
  <c r="AZ482" i="1"/>
  <c r="AX482" i="1"/>
  <c r="AF482" i="1"/>
  <c r="AJ482" i="1"/>
  <c r="AN482" i="1"/>
  <c r="AT482" i="1"/>
  <c r="T482" i="1"/>
  <c r="AD482" i="1"/>
  <c r="AB482" i="1"/>
  <c r="R482" i="1"/>
  <c r="AH482" i="1"/>
  <c r="AP482" i="1"/>
  <c r="Z482" i="1"/>
  <c r="T436" i="1"/>
  <c r="AV436" i="1"/>
  <c r="V436" i="1"/>
  <c r="AB436" i="1"/>
  <c r="AJ436" i="1"/>
  <c r="R436" i="1"/>
  <c r="AL436" i="1"/>
  <c r="P436" i="1"/>
  <c r="AD436" i="1"/>
  <c r="AR436" i="1"/>
  <c r="AX331" i="1"/>
  <c r="AN331" i="1"/>
  <c r="AH331" i="1"/>
  <c r="AP331" i="1"/>
  <c r="P331" i="1"/>
  <c r="AF331" i="1"/>
  <c r="X331" i="1"/>
  <c r="AJ331" i="1"/>
  <c r="AR331" i="1"/>
  <c r="AT331" i="1"/>
  <c r="BB331" i="1"/>
  <c r="AB331" i="1"/>
  <c r="Z331" i="1"/>
  <c r="AD331" i="1"/>
  <c r="R331" i="1"/>
  <c r="AL331" i="1"/>
  <c r="AV331" i="1"/>
  <c r="V331" i="1"/>
  <c r="T331" i="1"/>
  <c r="AZ331" i="1"/>
  <c r="AX220" i="1"/>
  <c r="AT220" i="1"/>
  <c r="AB220" i="1"/>
  <c r="AR220" i="1"/>
  <c r="AH220" i="1"/>
  <c r="AP220" i="1"/>
  <c r="AV220" i="1"/>
  <c r="BB220" i="1"/>
  <c r="AF220" i="1"/>
  <c r="T220" i="1"/>
  <c r="X220" i="1"/>
  <c r="Z220" i="1"/>
  <c r="R220" i="1"/>
  <c r="AZ220" i="1"/>
  <c r="AN220" i="1"/>
  <c r="AL220" i="1"/>
  <c r="AD220" i="1"/>
  <c r="AJ220" i="1"/>
  <c r="V220" i="1"/>
  <c r="P220" i="1"/>
  <c r="BB193" i="1"/>
  <c r="AZ193" i="1"/>
  <c r="AP193" i="1"/>
  <c r="AN193" i="1"/>
  <c r="V193" i="1"/>
  <c r="AV193" i="1"/>
  <c r="AL193" i="1"/>
  <c r="AD193" i="1"/>
  <c r="AR193" i="1"/>
  <c r="Z193" i="1"/>
  <c r="P193" i="1"/>
  <c r="AH193" i="1"/>
  <c r="R193" i="1"/>
  <c r="T193" i="1"/>
  <c r="R178" i="1"/>
  <c r="AX178" i="1"/>
  <c r="P178" i="1"/>
  <c r="AR163" i="1"/>
  <c r="AN163" i="1"/>
  <c r="V163" i="1"/>
  <c r="AP124" i="1"/>
  <c r="AH124" i="1"/>
  <c r="P132" i="1"/>
  <c r="AF132" i="1"/>
  <c r="AF124" i="1" s="1"/>
  <c r="R132" i="1"/>
  <c r="R124" i="1" s="1"/>
  <c r="AV132" i="1"/>
  <c r="AV124" i="1" s="1"/>
  <c r="AN132" i="1"/>
  <c r="AN124" i="1" s="1"/>
  <c r="AR124" i="1"/>
  <c r="AX124" i="1"/>
  <c r="V124" i="1"/>
  <c r="AB124" i="1"/>
  <c r="AL124" i="1"/>
  <c r="AT124" i="1"/>
  <c r="P124" i="1"/>
  <c r="AD124" i="1"/>
  <c r="Z124" i="1"/>
  <c r="V110" i="1"/>
  <c r="X110" i="1"/>
  <c r="AJ110" i="1"/>
  <c r="AN110" i="1"/>
  <c r="AH110" i="1"/>
  <c r="AF110" i="1"/>
  <c r="AT110" i="1"/>
  <c r="AD110" i="1"/>
  <c r="AZ110" i="1"/>
  <c r="R110" i="1"/>
  <c r="BB110" i="1"/>
  <c r="AL110" i="1"/>
  <c r="AT92" i="1"/>
  <c r="AN92" i="1"/>
  <c r="Z92" i="1"/>
  <c r="AH92" i="1"/>
  <c r="AL92" i="1"/>
  <c r="AR92" i="1"/>
  <c r="P92" i="1"/>
  <c r="V92" i="1"/>
  <c r="AB92" i="1"/>
  <c r="AP92" i="1"/>
  <c r="AZ92" i="1"/>
  <c r="X92" i="1"/>
  <c r="AD92" i="1"/>
  <c r="AJ92" i="1"/>
  <c r="T92" i="1"/>
  <c r="BB92" i="1"/>
  <c r="R59" i="1"/>
  <c r="AD59" i="1"/>
  <c r="AV59" i="1"/>
  <c r="AN59" i="1"/>
  <c r="AR59" i="1"/>
  <c r="AF59" i="1"/>
  <c r="X59" i="1"/>
  <c r="AP59" i="1"/>
  <c r="T59" i="1"/>
  <c r="AJ59" i="1"/>
  <c r="AH59" i="1"/>
  <c r="AT59" i="1"/>
  <c r="AB59" i="1"/>
  <c r="Z59" i="1"/>
  <c r="AL59" i="1"/>
  <c r="AX59" i="1"/>
  <c r="AZ59" i="1"/>
  <c r="BB59" i="1"/>
  <c r="P59" i="1"/>
  <c r="V59" i="1"/>
  <c r="P27" i="1"/>
  <c r="AP27" i="1"/>
  <c r="BB27" i="1"/>
  <c r="AX27" i="1"/>
  <c r="AL27" i="1"/>
  <c r="AZ27" i="1"/>
  <c r="AD27" i="1"/>
  <c r="AN27" i="1"/>
  <c r="AH27" i="1"/>
  <c r="AV27" i="1"/>
  <c r="X27" i="1"/>
  <c r="AJ27" i="1"/>
  <c r="AB27" i="1"/>
  <c r="AF27" i="1"/>
  <c r="R27" i="1"/>
  <c r="V27" i="1"/>
  <c r="H160" i="1"/>
  <c r="J160" i="1" s="1"/>
  <c r="K160" i="1" s="1"/>
  <c r="H97" i="1"/>
  <c r="I97" i="1" s="1"/>
  <c r="H96" i="1"/>
  <c r="J96" i="1" s="1"/>
  <c r="K96" i="1" s="1"/>
  <c r="N507" i="1"/>
  <c r="N506" i="1"/>
  <c r="N504" i="1"/>
  <c r="N503" i="1"/>
  <c r="N493" i="1"/>
  <c r="N494" i="1"/>
  <c r="N495" i="1"/>
  <c r="N496" i="1"/>
  <c r="N497" i="1"/>
  <c r="N498" i="1"/>
  <c r="N499" i="1"/>
  <c r="N500" i="1"/>
  <c r="N501" i="1"/>
  <c r="N492" i="1"/>
  <c r="N485" i="1"/>
  <c r="N486" i="1"/>
  <c r="N487" i="1"/>
  <c r="N488" i="1"/>
  <c r="N489" i="1"/>
  <c r="N490" i="1"/>
  <c r="N484" i="1"/>
  <c r="N481" i="1"/>
  <c r="N480" i="1" s="1"/>
  <c r="N479" i="1"/>
  <c r="N478" i="1" s="1"/>
  <c r="N477" i="1"/>
  <c r="N476" i="1" s="1"/>
  <c r="N475" i="1"/>
  <c r="N474" i="1"/>
  <c r="N465" i="1"/>
  <c r="N466" i="1"/>
  <c r="N467" i="1"/>
  <c r="N468" i="1"/>
  <c r="N469" i="1"/>
  <c r="N470" i="1"/>
  <c r="N471" i="1"/>
  <c r="N464" i="1"/>
  <c r="N457" i="1"/>
  <c r="N458" i="1"/>
  <c r="N459" i="1"/>
  <c r="N460" i="1"/>
  <c r="N461" i="1"/>
  <c r="N462" i="1"/>
  <c r="N456" i="1"/>
  <c r="N452" i="1"/>
  <c r="N453" i="1"/>
  <c r="N454" i="1"/>
  <c r="N451" i="1"/>
  <c r="N439" i="1"/>
  <c r="N440" i="1"/>
  <c r="N441" i="1"/>
  <c r="N442" i="1"/>
  <c r="N443" i="1"/>
  <c r="N444" i="1"/>
  <c r="N445" i="1"/>
  <c r="N446" i="1"/>
  <c r="N447" i="1"/>
  <c r="N448" i="1"/>
  <c r="N449" i="1"/>
  <c r="N438" i="1"/>
  <c r="N426" i="1"/>
  <c r="N427" i="1"/>
  <c r="N428" i="1"/>
  <c r="N429" i="1"/>
  <c r="N430" i="1"/>
  <c r="N431" i="1"/>
  <c r="N432" i="1"/>
  <c r="N433" i="1"/>
  <c r="N434" i="1"/>
  <c r="N435" i="1"/>
  <c r="N425" i="1"/>
  <c r="N420" i="1"/>
  <c r="N421" i="1"/>
  <c r="N422" i="1"/>
  <c r="N423" i="1"/>
  <c r="N419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333" i="1"/>
  <c r="N320" i="1"/>
  <c r="N321" i="1"/>
  <c r="N322" i="1"/>
  <c r="N323" i="1"/>
  <c r="N324" i="1"/>
  <c r="N325" i="1"/>
  <c r="N326" i="1"/>
  <c r="N327" i="1"/>
  <c r="N328" i="1"/>
  <c r="N329" i="1"/>
  <c r="N330" i="1"/>
  <c r="N319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297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6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22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05" i="1"/>
  <c r="N198" i="1"/>
  <c r="N199" i="1"/>
  <c r="N200" i="1"/>
  <c r="N201" i="1"/>
  <c r="N202" i="1"/>
  <c r="N203" i="1"/>
  <c r="N197" i="1"/>
  <c r="N195" i="1"/>
  <c r="N194" i="1" s="1"/>
  <c r="N192" i="1"/>
  <c r="N191" i="1" s="1"/>
  <c r="N190" i="1"/>
  <c r="N189" i="1"/>
  <c r="N187" i="1"/>
  <c r="N186" i="1"/>
  <c r="N181" i="1"/>
  <c r="N182" i="1"/>
  <c r="N183" i="1"/>
  <c r="N184" i="1"/>
  <c r="N180" i="1"/>
  <c r="N177" i="1"/>
  <c r="N176" i="1" s="1"/>
  <c r="N175" i="1" s="1"/>
  <c r="N174" i="1"/>
  <c r="N173" i="1" s="1"/>
  <c r="N172" i="1" s="1"/>
  <c r="N171" i="1"/>
  <c r="N170" i="1" s="1"/>
  <c r="N169" i="1"/>
  <c r="N168" i="1"/>
  <c r="N166" i="1"/>
  <c r="N165" i="1"/>
  <c r="N162" i="1"/>
  <c r="N161" i="1" s="1"/>
  <c r="N158" i="1"/>
  <c r="N159" i="1"/>
  <c r="N157" i="1"/>
  <c r="N149" i="1"/>
  <c r="N151" i="1"/>
  <c r="N152" i="1"/>
  <c r="N153" i="1"/>
  <c r="N154" i="1"/>
  <c r="N148" i="1"/>
  <c r="N146" i="1"/>
  <c r="N145" i="1" s="1"/>
  <c r="N144" i="1" s="1"/>
  <c r="N142" i="1"/>
  <c r="N143" i="1"/>
  <c r="N141" i="1"/>
  <c r="N135" i="1"/>
  <c r="N136" i="1"/>
  <c r="N137" i="1"/>
  <c r="N138" i="1"/>
  <c r="N139" i="1"/>
  <c r="N134" i="1"/>
  <c r="N128" i="1"/>
  <c r="N129" i="1"/>
  <c r="N130" i="1"/>
  <c r="N131" i="1"/>
  <c r="N127" i="1"/>
  <c r="N123" i="1"/>
  <c r="N122" i="1"/>
  <c r="N120" i="1"/>
  <c r="N119" i="1"/>
  <c r="N117" i="1"/>
  <c r="N116" i="1"/>
  <c r="N113" i="1"/>
  <c r="N114" i="1"/>
  <c r="N112" i="1"/>
  <c r="N108" i="1"/>
  <c r="N107" i="1"/>
  <c r="N103" i="1"/>
  <c r="N104" i="1"/>
  <c r="N105" i="1"/>
  <c r="N102" i="1"/>
  <c r="N95" i="1"/>
  <c r="N99" i="1"/>
  <c r="N100" i="1"/>
  <c r="N94" i="1"/>
  <c r="N89" i="1"/>
  <c r="N90" i="1"/>
  <c r="N91" i="1"/>
  <c r="N88" i="1"/>
  <c r="N79" i="1"/>
  <c r="N80" i="1"/>
  <c r="N81" i="1"/>
  <c r="N82" i="1"/>
  <c r="N83" i="1"/>
  <c r="N84" i="1"/>
  <c r="N85" i="1"/>
  <c r="N86" i="1"/>
  <c r="N78" i="1"/>
  <c r="N69" i="1"/>
  <c r="N70" i="1"/>
  <c r="N71" i="1"/>
  <c r="N72" i="1"/>
  <c r="N73" i="1"/>
  <c r="N74" i="1"/>
  <c r="N75" i="1"/>
  <c r="N76" i="1"/>
  <c r="N68" i="1"/>
  <c r="N62" i="1"/>
  <c r="N63" i="1"/>
  <c r="N64" i="1"/>
  <c r="N65" i="1"/>
  <c r="N66" i="1"/>
  <c r="N61" i="1"/>
  <c r="N48" i="1"/>
  <c r="N49" i="1"/>
  <c r="N50" i="1"/>
  <c r="N51" i="1"/>
  <c r="N52" i="1"/>
  <c r="N53" i="1"/>
  <c r="N54" i="1"/>
  <c r="N55" i="1"/>
  <c r="N56" i="1"/>
  <c r="N57" i="1"/>
  <c r="N58" i="1"/>
  <c r="N47" i="1"/>
  <c r="N37" i="1"/>
  <c r="N38" i="1"/>
  <c r="N39" i="1"/>
  <c r="N40" i="1"/>
  <c r="N41" i="1"/>
  <c r="N42" i="1"/>
  <c r="N43" i="1"/>
  <c r="N44" i="1"/>
  <c r="N45" i="1"/>
  <c r="N36" i="1"/>
  <c r="N30" i="1"/>
  <c r="N31" i="1"/>
  <c r="N32" i="1"/>
  <c r="N33" i="1"/>
  <c r="N34" i="1"/>
  <c r="N29" i="1"/>
  <c r="N19" i="1"/>
  <c r="N20" i="1"/>
  <c r="N21" i="1"/>
  <c r="N22" i="1"/>
  <c r="N23" i="1"/>
  <c r="N24" i="1"/>
  <c r="N25" i="1"/>
  <c r="N26" i="1"/>
  <c r="N18" i="1"/>
  <c r="H507" i="1"/>
  <c r="I507" i="1" s="1"/>
  <c r="H506" i="1"/>
  <c r="I506" i="1" s="1"/>
  <c r="H504" i="1"/>
  <c r="I504" i="1" s="1"/>
  <c r="H503" i="1"/>
  <c r="J503" i="1" s="1"/>
  <c r="K503" i="1" s="1"/>
  <c r="H493" i="1"/>
  <c r="I493" i="1" s="1"/>
  <c r="H494" i="1"/>
  <c r="J494" i="1" s="1"/>
  <c r="K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492" i="1"/>
  <c r="I492" i="1" s="1"/>
  <c r="H485" i="1"/>
  <c r="J485" i="1" s="1"/>
  <c r="K485" i="1" s="1"/>
  <c r="H486" i="1"/>
  <c r="I486" i="1" s="1"/>
  <c r="H487" i="1"/>
  <c r="I487" i="1" s="1"/>
  <c r="H488" i="1"/>
  <c r="I488" i="1" s="1"/>
  <c r="H489" i="1"/>
  <c r="I489" i="1" s="1"/>
  <c r="H490" i="1"/>
  <c r="I490" i="1" s="1"/>
  <c r="H484" i="1"/>
  <c r="J484" i="1" s="1"/>
  <c r="K484" i="1" s="1"/>
  <c r="H481" i="1"/>
  <c r="I481" i="1" s="1"/>
  <c r="I480" i="1" s="1"/>
  <c r="H479" i="1"/>
  <c r="I479" i="1" s="1"/>
  <c r="H477" i="1"/>
  <c r="I477" i="1" s="1"/>
  <c r="H475" i="1"/>
  <c r="I475" i="1" s="1"/>
  <c r="H474" i="1"/>
  <c r="J474" i="1" s="1"/>
  <c r="K474" i="1" s="1"/>
  <c r="H465" i="1"/>
  <c r="I465" i="1" s="1"/>
  <c r="H466" i="1"/>
  <c r="J466" i="1" s="1"/>
  <c r="K466" i="1" s="1"/>
  <c r="H467" i="1"/>
  <c r="I467" i="1" s="1"/>
  <c r="H468" i="1"/>
  <c r="J468" i="1" s="1"/>
  <c r="K468" i="1" s="1"/>
  <c r="H469" i="1"/>
  <c r="I469" i="1" s="1"/>
  <c r="H470" i="1"/>
  <c r="I470" i="1" s="1"/>
  <c r="H471" i="1"/>
  <c r="I471" i="1" s="1"/>
  <c r="H464" i="1"/>
  <c r="I464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56" i="1"/>
  <c r="I456" i="1" s="1"/>
  <c r="H452" i="1"/>
  <c r="J452" i="1" s="1"/>
  <c r="K452" i="1" s="1"/>
  <c r="H453" i="1"/>
  <c r="I453" i="1" s="1"/>
  <c r="H454" i="1"/>
  <c r="I454" i="1" s="1"/>
  <c r="H451" i="1"/>
  <c r="I451" i="1" s="1"/>
  <c r="H449" i="1"/>
  <c r="I449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38" i="1"/>
  <c r="I438" i="1" s="1"/>
  <c r="H426" i="1"/>
  <c r="I426" i="1" s="1"/>
  <c r="H427" i="1"/>
  <c r="I427" i="1" s="1"/>
  <c r="H428" i="1"/>
  <c r="J428" i="1" s="1"/>
  <c r="K428" i="1" s="1"/>
  <c r="H429" i="1"/>
  <c r="I429" i="1" s="1"/>
  <c r="H430" i="1"/>
  <c r="J430" i="1" s="1"/>
  <c r="K430" i="1" s="1"/>
  <c r="H431" i="1"/>
  <c r="I431" i="1" s="1"/>
  <c r="H432" i="1"/>
  <c r="J432" i="1" s="1"/>
  <c r="K432" i="1" s="1"/>
  <c r="H433" i="1"/>
  <c r="I433" i="1" s="1"/>
  <c r="H434" i="1"/>
  <c r="J434" i="1" s="1"/>
  <c r="K434" i="1" s="1"/>
  <c r="H435" i="1"/>
  <c r="I435" i="1" s="1"/>
  <c r="H425" i="1"/>
  <c r="I425" i="1" s="1"/>
  <c r="H420" i="1"/>
  <c r="I420" i="1" s="1"/>
  <c r="H421" i="1"/>
  <c r="I421" i="1" s="1"/>
  <c r="H422" i="1"/>
  <c r="I422" i="1" s="1"/>
  <c r="H423" i="1"/>
  <c r="I423" i="1" s="1"/>
  <c r="H419" i="1"/>
  <c r="H334" i="1"/>
  <c r="I334" i="1" s="1"/>
  <c r="H335" i="1"/>
  <c r="J335" i="1" s="1"/>
  <c r="K335" i="1" s="1"/>
  <c r="H336" i="1"/>
  <c r="I336" i="1" s="1"/>
  <c r="H337" i="1"/>
  <c r="J337" i="1" s="1"/>
  <c r="K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J345" i="1" s="1"/>
  <c r="K345" i="1" s="1"/>
  <c r="H346" i="1"/>
  <c r="I346" i="1" s="1"/>
  <c r="H347" i="1"/>
  <c r="I347" i="1" s="1"/>
  <c r="H348" i="1"/>
  <c r="I348" i="1" s="1"/>
  <c r="H349" i="1"/>
  <c r="J349" i="1" s="1"/>
  <c r="K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J357" i="1" s="1"/>
  <c r="K357" i="1" s="1"/>
  <c r="H358" i="1"/>
  <c r="I358" i="1" s="1"/>
  <c r="H359" i="1"/>
  <c r="I359" i="1" s="1"/>
  <c r="H360" i="1"/>
  <c r="I360" i="1" s="1"/>
  <c r="H361" i="1"/>
  <c r="J361" i="1" s="1"/>
  <c r="K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J369" i="1" s="1"/>
  <c r="K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J381" i="1" s="1"/>
  <c r="K381" i="1" s="1"/>
  <c r="H382" i="1"/>
  <c r="I382" i="1" s="1"/>
  <c r="H383" i="1"/>
  <c r="I383" i="1" s="1"/>
  <c r="H384" i="1"/>
  <c r="J384" i="1" s="1"/>
  <c r="K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J391" i="1" s="1"/>
  <c r="K391" i="1" s="1"/>
  <c r="H392" i="1"/>
  <c r="I392" i="1" s="1"/>
  <c r="H393" i="1"/>
  <c r="J393" i="1" s="1"/>
  <c r="K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J403" i="1" s="1"/>
  <c r="K403" i="1" s="1"/>
  <c r="H404" i="1"/>
  <c r="I404" i="1" s="1"/>
  <c r="H405" i="1"/>
  <c r="J405" i="1" s="1"/>
  <c r="K405" i="1" s="1"/>
  <c r="H406" i="1"/>
  <c r="I406" i="1" s="1"/>
  <c r="H407" i="1"/>
  <c r="J407" i="1" s="1"/>
  <c r="K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J413" i="1" s="1"/>
  <c r="K413" i="1" s="1"/>
  <c r="H414" i="1"/>
  <c r="I414" i="1" s="1"/>
  <c r="H415" i="1"/>
  <c r="J415" i="1" s="1"/>
  <c r="K415" i="1" s="1"/>
  <c r="H416" i="1"/>
  <c r="I416" i="1" s="1"/>
  <c r="H417" i="1"/>
  <c r="J417" i="1" s="1"/>
  <c r="K417" i="1" s="1"/>
  <c r="H333" i="1"/>
  <c r="J333" i="1" s="1"/>
  <c r="K333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J326" i="1" s="1"/>
  <c r="K326" i="1" s="1"/>
  <c r="H327" i="1"/>
  <c r="I327" i="1" s="1"/>
  <c r="H328" i="1"/>
  <c r="I328" i="1" s="1"/>
  <c r="H329" i="1"/>
  <c r="I329" i="1" s="1"/>
  <c r="H330" i="1"/>
  <c r="I330" i="1" s="1"/>
  <c r="H319" i="1"/>
  <c r="I319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J306" i="1" s="1"/>
  <c r="K306" i="1" s="1"/>
  <c r="H307" i="1"/>
  <c r="I307" i="1" s="1"/>
  <c r="H308" i="1"/>
  <c r="J308" i="1" s="1"/>
  <c r="K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297" i="1"/>
  <c r="I297" i="1" s="1"/>
  <c r="H263" i="1"/>
  <c r="I263" i="1" s="1"/>
  <c r="H264" i="1"/>
  <c r="J264" i="1" s="1"/>
  <c r="K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J273" i="1" s="1"/>
  <c r="K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J284" i="1" s="1"/>
  <c r="K284" i="1" s="1"/>
  <c r="H285" i="1"/>
  <c r="J285" i="1" s="1"/>
  <c r="K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62" i="1"/>
  <c r="I262" i="1" s="1"/>
  <c r="H223" i="1"/>
  <c r="I223" i="1" s="1"/>
  <c r="H224" i="1"/>
  <c r="J224" i="1" s="1"/>
  <c r="K224" i="1" s="1"/>
  <c r="H225" i="1"/>
  <c r="I225" i="1" s="1"/>
  <c r="H226" i="1"/>
  <c r="J226" i="1" s="1"/>
  <c r="K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J234" i="1" s="1"/>
  <c r="K234" i="1" s="1"/>
  <c r="H235" i="1"/>
  <c r="I235" i="1" s="1"/>
  <c r="H236" i="1"/>
  <c r="I236" i="1" s="1"/>
  <c r="H237" i="1"/>
  <c r="I237" i="1" s="1"/>
  <c r="H238" i="1"/>
  <c r="J238" i="1" s="1"/>
  <c r="K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J246" i="1" s="1"/>
  <c r="K246" i="1" s="1"/>
  <c r="H247" i="1"/>
  <c r="I247" i="1" s="1"/>
  <c r="H248" i="1"/>
  <c r="I248" i="1" s="1"/>
  <c r="H249" i="1"/>
  <c r="I249" i="1" s="1"/>
  <c r="H250" i="1"/>
  <c r="J250" i="1" s="1"/>
  <c r="K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J258" i="1" s="1"/>
  <c r="K258" i="1" s="1"/>
  <c r="H259" i="1"/>
  <c r="I259" i="1" s="1"/>
  <c r="H260" i="1"/>
  <c r="I260" i="1" s="1"/>
  <c r="H222" i="1"/>
  <c r="I222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J214" i="1" s="1"/>
  <c r="K214" i="1" s="1"/>
  <c r="H215" i="1"/>
  <c r="I215" i="1" s="1"/>
  <c r="H216" i="1"/>
  <c r="J216" i="1" s="1"/>
  <c r="K216" i="1" s="1"/>
  <c r="H217" i="1"/>
  <c r="J217" i="1" s="1"/>
  <c r="K217" i="1" s="1"/>
  <c r="H218" i="1"/>
  <c r="I218" i="1" s="1"/>
  <c r="H219" i="1"/>
  <c r="I219" i="1" s="1"/>
  <c r="H205" i="1"/>
  <c r="J205" i="1" s="1"/>
  <c r="K205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197" i="1"/>
  <c r="J197" i="1" s="1"/>
  <c r="K197" i="1" s="1"/>
  <c r="H195" i="1"/>
  <c r="I195" i="1" s="1"/>
  <c r="H192" i="1"/>
  <c r="J192" i="1" s="1"/>
  <c r="K192" i="1" s="1"/>
  <c r="H190" i="1"/>
  <c r="J190" i="1" s="1"/>
  <c r="K190" i="1" s="1"/>
  <c r="H189" i="1"/>
  <c r="J189" i="1" s="1"/>
  <c r="K189" i="1" s="1"/>
  <c r="H187" i="1"/>
  <c r="I187" i="1" s="1"/>
  <c r="H186" i="1"/>
  <c r="I186" i="1" s="1"/>
  <c r="H181" i="1"/>
  <c r="I181" i="1" s="1"/>
  <c r="H182" i="1"/>
  <c r="I182" i="1" s="1"/>
  <c r="H183" i="1"/>
  <c r="I183" i="1" s="1"/>
  <c r="H184" i="1"/>
  <c r="J184" i="1" s="1"/>
  <c r="K184" i="1" s="1"/>
  <c r="H180" i="1"/>
  <c r="J180" i="1" s="1"/>
  <c r="K180" i="1" s="1"/>
  <c r="H177" i="1"/>
  <c r="I177" i="1" s="1"/>
  <c r="H174" i="1"/>
  <c r="I174" i="1" s="1"/>
  <c r="I173" i="1" s="1"/>
  <c r="I172" i="1" s="1"/>
  <c r="H171" i="1"/>
  <c r="I171" i="1" s="1"/>
  <c r="I170" i="1" s="1"/>
  <c r="H169" i="1"/>
  <c r="I169" i="1" s="1"/>
  <c r="H168" i="1"/>
  <c r="J168" i="1" s="1"/>
  <c r="K168" i="1" s="1"/>
  <c r="H166" i="1"/>
  <c r="I166" i="1" s="1"/>
  <c r="H165" i="1"/>
  <c r="I165" i="1" s="1"/>
  <c r="H162" i="1"/>
  <c r="I162" i="1" s="1"/>
  <c r="H158" i="1"/>
  <c r="I158" i="1" s="1"/>
  <c r="H159" i="1"/>
  <c r="I159" i="1" s="1"/>
  <c r="H157" i="1"/>
  <c r="I157" i="1" s="1"/>
  <c r="H149" i="1"/>
  <c r="I149" i="1" s="1"/>
  <c r="H150" i="1"/>
  <c r="I150" i="1" s="1"/>
  <c r="H151" i="1"/>
  <c r="I151" i="1" s="1"/>
  <c r="H152" i="1"/>
  <c r="I152" i="1" s="1"/>
  <c r="H153" i="1"/>
  <c r="J153" i="1" s="1"/>
  <c r="K153" i="1" s="1"/>
  <c r="H154" i="1"/>
  <c r="I154" i="1" s="1"/>
  <c r="H148" i="1"/>
  <c r="I148" i="1" s="1"/>
  <c r="H146" i="1"/>
  <c r="J146" i="1" s="1"/>
  <c r="K146" i="1" s="1"/>
  <c r="K145" i="1" s="1"/>
  <c r="K144" i="1" s="1"/>
  <c r="H142" i="1"/>
  <c r="I142" i="1" s="1"/>
  <c r="H143" i="1"/>
  <c r="I143" i="1" s="1"/>
  <c r="H141" i="1"/>
  <c r="I141" i="1" s="1"/>
  <c r="H135" i="1"/>
  <c r="I135" i="1" s="1"/>
  <c r="H136" i="1"/>
  <c r="I136" i="1" s="1"/>
  <c r="H137" i="1"/>
  <c r="I137" i="1" s="1"/>
  <c r="H138" i="1"/>
  <c r="J138" i="1" s="1"/>
  <c r="K138" i="1" s="1"/>
  <c r="H139" i="1"/>
  <c r="I139" i="1" s="1"/>
  <c r="H134" i="1"/>
  <c r="H128" i="1"/>
  <c r="I128" i="1" s="1"/>
  <c r="H129" i="1"/>
  <c r="I129" i="1" s="1"/>
  <c r="H130" i="1"/>
  <c r="J130" i="1" s="1"/>
  <c r="K130" i="1" s="1"/>
  <c r="H131" i="1"/>
  <c r="J131" i="1" s="1"/>
  <c r="K131" i="1" s="1"/>
  <c r="H127" i="1"/>
  <c r="J127" i="1" s="1"/>
  <c r="K127" i="1" s="1"/>
  <c r="H123" i="1"/>
  <c r="I123" i="1" s="1"/>
  <c r="H122" i="1"/>
  <c r="I122" i="1" s="1"/>
  <c r="H120" i="1"/>
  <c r="I120" i="1" s="1"/>
  <c r="H119" i="1"/>
  <c r="J119" i="1" s="1"/>
  <c r="K119" i="1" s="1"/>
  <c r="H117" i="1"/>
  <c r="J117" i="1" s="1"/>
  <c r="K117" i="1" s="1"/>
  <c r="H116" i="1"/>
  <c r="I116" i="1" s="1"/>
  <c r="H113" i="1"/>
  <c r="J113" i="1" s="1"/>
  <c r="K113" i="1" s="1"/>
  <c r="H114" i="1"/>
  <c r="I114" i="1" s="1"/>
  <c r="H112" i="1"/>
  <c r="I112" i="1" s="1"/>
  <c r="H108" i="1"/>
  <c r="I108" i="1" s="1"/>
  <c r="I109" i="1"/>
  <c r="H107" i="1"/>
  <c r="I107" i="1" s="1"/>
  <c r="H103" i="1"/>
  <c r="I103" i="1" s="1"/>
  <c r="H104" i="1"/>
  <c r="I104" i="1" s="1"/>
  <c r="H105" i="1"/>
  <c r="I105" i="1" s="1"/>
  <c r="H102" i="1"/>
  <c r="J102" i="1" s="1"/>
  <c r="K102" i="1" s="1"/>
  <c r="H95" i="1"/>
  <c r="J95" i="1" s="1"/>
  <c r="K95" i="1" s="1"/>
  <c r="H99" i="1"/>
  <c r="I99" i="1" s="1"/>
  <c r="H100" i="1"/>
  <c r="I100" i="1" s="1"/>
  <c r="H94" i="1"/>
  <c r="J94" i="1" s="1"/>
  <c r="K94" i="1" s="1"/>
  <c r="H89" i="1"/>
  <c r="I89" i="1" s="1"/>
  <c r="H90" i="1"/>
  <c r="I90" i="1" s="1"/>
  <c r="H91" i="1"/>
  <c r="I91" i="1" s="1"/>
  <c r="H88" i="1"/>
  <c r="I8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J84" i="1" s="1"/>
  <c r="K84" i="1" s="1"/>
  <c r="H85" i="1"/>
  <c r="I85" i="1" s="1"/>
  <c r="H86" i="1"/>
  <c r="I86" i="1" s="1"/>
  <c r="H78" i="1"/>
  <c r="I7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J75" i="1" s="1"/>
  <c r="K75" i="1" s="1"/>
  <c r="H76" i="1"/>
  <c r="I76" i="1" s="1"/>
  <c r="H68" i="1"/>
  <c r="J68" i="1" s="1"/>
  <c r="K68" i="1" s="1"/>
  <c r="H62" i="1"/>
  <c r="I62" i="1" s="1"/>
  <c r="H63" i="1"/>
  <c r="J63" i="1" s="1"/>
  <c r="K63" i="1" s="1"/>
  <c r="H64" i="1"/>
  <c r="J64" i="1" s="1"/>
  <c r="K64" i="1" s="1"/>
  <c r="H65" i="1"/>
  <c r="J65" i="1" s="1"/>
  <c r="K65" i="1" s="1"/>
  <c r="H66" i="1"/>
  <c r="I66" i="1" s="1"/>
  <c r="H61" i="1"/>
  <c r="I61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J53" i="1" s="1"/>
  <c r="K53" i="1" s="1"/>
  <c r="H54" i="1"/>
  <c r="I54" i="1" s="1"/>
  <c r="H55" i="1"/>
  <c r="I55" i="1" s="1"/>
  <c r="H56" i="1"/>
  <c r="I56" i="1" s="1"/>
  <c r="H57" i="1"/>
  <c r="I57" i="1" s="1"/>
  <c r="H58" i="1"/>
  <c r="I58" i="1" s="1"/>
  <c r="H47" i="1"/>
  <c r="J47" i="1" s="1"/>
  <c r="K47" i="1" s="1"/>
  <c r="H37" i="1"/>
  <c r="I37" i="1" s="1"/>
  <c r="H38" i="1"/>
  <c r="I38" i="1" s="1"/>
  <c r="H39" i="1"/>
  <c r="I39" i="1" s="1"/>
  <c r="H40" i="1"/>
  <c r="J40" i="1" s="1"/>
  <c r="K40" i="1" s="1"/>
  <c r="H41" i="1"/>
  <c r="I41" i="1" s="1"/>
  <c r="H42" i="1"/>
  <c r="J42" i="1" s="1"/>
  <c r="K42" i="1" s="1"/>
  <c r="H43" i="1"/>
  <c r="I43" i="1" s="1"/>
  <c r="H44" i="1"/>
  <c r="I44" i="1" s="1"/>
  <c r="H45" i="1"/>
  <c r="I45" i="1" s="1"/>
  <c r="H36" i="1"/>
  <c r="I36" i="1" s="1"/>
  <c r="I30" i="1"/>
  <c r="H31" i="1"/>
  <c r="I31" i="1" s="1"/>
  <c r="H32" i="1"/>
  <c r="I32" i="1" s="1"/>
  <c r="H33" i="1"/>
  <c r="I33" i="1" s="1"/>
  <c r="H34" i="1"/>
  <c r="I34" i="1" s="1"/>
  <c r="H29" i="1"/>
  <c r="J29" i="1" s="1"/>
  <c r="K29" i="1" s="1"/>
  <c r="H23" i="1"/>
  <c r="I23" i="1" s="1"/>
  <c r="H24" i="1"/>
  <c r="I24" i="1" s="1"/>
  <c r="H25" i="1"/>
  <c r="I25" i="1" s="1"/>
  <c r="H26" i="1"/>
  <c r="I26" i="1" s="1"/>
  <c r="I19" i="1"/>
  <c r="H20" i="1"/>
  <c r="I20" i="1" s="1"/>
  <c r="H21" i="1"/>
  <c r="I21" i="1" s="1"/>
  <c r="H22" i="1"/>
  <c r="I22" i="1" s="1"/>
  <c r="H18" i="1"/>
  <c r="I18" i="1" s="1"/>
  <c r="J504" i="1"/>
  <c r="K504" i="1" s="1"/>
  <c r="J465" i="1"/>
  <c r="K465" i="1" s="1"/>
  <c r="J461" i="1"/>
  <c r="K461" i="1" s="1"/>
  <c r="J444" i="1"/>
  <c r="K444" i="1" s="1"/>
  <c r="J443" i="1"/>
  <c r="K443" i="1" s="1"/>
  <c r="J431" i="1"/>
  <c r="K431" i="1" s="1"/>
  <c r="J389" i="1"/>
  <c r="K389" i="1" s="1"/>
  <c r="J367" i="1"/>
  <c r="K367" i="1" s="1"/>
  <c r="J325" i="1"/>
  <c r="K325" i="1" s="1"/>
  <c r="J283" i="1"/>
  <c r="K283" i="1" s="1"/>
  <c r="J233" i="1"/>
  <c r="K233" i="1" s="1"/>
  <c r="Q509" i="1" l="1"/>
  <c r="AM509" i="1"/>
  <c r="Y509" i="1"/>
  <c r="AS509" i="1"/>
  <c r="AQ509" i="1"/>
  <c r="S509" i="1"/>
  <c r="W509" i="1"/>
  <c r="AC509" i="1"/>
  <c r="AU509" i="1"/>
  <c r="AE509" i="1"/>
  <c r="AO509" i="1"/>
  <c r="AI509" i="1"/>
  <c r="AG509" i="1"/>
  <c r="AA509" i="1"/>
  <c r="AA510" i="1" s="1"/>
  <c r="AY509" i="1"/>
  <c r="BA509" i="1"/>
  <c r="O509" i="1"/>
  <c r="AK509" i="1"/>
  <c r="U509" i="1"/>
  <c r="AW509" i="1"/>
  <c r="J105" i="1"/>
  <c r="K105" i="1" s="1"/>
  <c r="J305" i="1"/>
  <c r="K305" i="1" s="1"/>
  <c r="J317" i="1"/>
  <c r="K317" i="1" s="1"/>
  <c r="J359" i="1"/>
  <c r="K359" i="1" s="1"/>
  <c r="J71" i="1"/>
  <c r="K71" i="1" s="1"/>
  <c r="J348" i="1"/>
  <c r="K348" i="1" s="1"/>
  <c r="J356" i="1"/>
  <c r="K356" i="1" s="1"/>
  <c r="J372" i="1"/>
  <c r="K372" i="1" s="1"/>
  <c r="J368" i="1"/>
  <c r="K368" i="1" s="1"/>
  <c r="J500" i="1"/>
  <c r="K500" i="1" s="1"/>
  <c r="J263" i="1"/>
  <c r="K263" i="1" s="1"/>
  <c r="J275" i="1"/>
  <c r="K275" i="1" s="1"/>
  <c r="J458" i="1"/>
  <c r="K458" i="1" s="1"/>
  <c r="J379" i="1"/>
  <c r="K379" i="1" s="1"/>
  <c r="J380" i="1"/>
  <c r="K380" i="1" s="1"/>
  <c r="J392" i="1"/>
  <c r="K392" i="1" s="1"/>
  <c r="J343" i="1"/>
  <c r="K343" i="1" s="1"/>
  <c r="J344" i="1"/>
  <c r="K344" i="1" s="1"/>
  <c r="J440" i="1"/>
  <c r="K440" i="1" s="1"/>
  <c r="J475" i="1"/>
  <c r="K475" i="1" s="1"/>
  <c r="K473" i="1" s="1"/>
  <c r="J404" i="1"/>
  <c r="K404" i="1" s="1"/>
  <c r="J334" i="1"/>
  <c r="K334" i="1" s="1"/>
  <c r="J442" i="1"/>
  <c r="K442" i="1" s="1"/>
  <c r="J200" i="1"/>
  <c r="K200" i="1" s="1"/>
  <c r="J235" i="1"/>
  <c r="K235" i="1" s="1"/>
  <c r="J390" i="1"/>
  <c r="K390" i="1" s="1"/>
  <c r="J486" i="1"/>
  <c r="K486" i="1" s="1"/>
  <c r="J244" i="1"/>
  <c r="K244" i="1" s="1"/>
  <c r="J346" i="1"/>
  <c r="K346" i="1" s="1"/>
  <c r="J414" i="1"/>
  <c r="K414" i="1" s="1"/>
  <c r="J462" i="1"/>
  <c r="K462" i="1" s="1"/>
  <c r="J302" i="1"/>
  <c r="K302" i="1" s="1"/>
  <c r="J183" i="1"/>
  <c r="K183" i="1" s="1"/>
  <c r="J324" i="1"/>
  <c r="K324" i="1" s="1"/>
  <c r="J370" i="1"/>
  <c r="K370" i="1" s="1"/>
  <c r="J223" i="1"/>
  <c r="K223" i="1" s="1"/>
  <c r="J327" i="1"/>
  <c r="K327" i="1" s="1"/>
  <c r="J137" i="1"/>
  <c r="K137" i="1" s="1"/>
  <c r="J314" i="1"/>
  <c r="K314" i="1" s="1"/>
  <c r="J412" i="1"/>
  <c r="K412" i="1" s="1"/>
  <c r="J270" i="1"/>
  <c r="K270" i="1" s="1"/>
  <c r="J271" i="1"/>
  <c r="K271" i="1" s="1"/>
  <c r="J383" i="1"/>
  <c r="K383" i="1" s="1"/>
  <c r="J303" i="1"/>
  <c r="K303" i="1" s="1"/>
  <c r="J401" i="1"/>
  <c r="K401" i="1" s="1"/>
  <c r="J212" i="1"/>
  <c r="K212" i="1" s="1"/>
  <c r="J328" i="1"/>
  <c r="K328" i="1" s="1"/>
  <c r="J382" i="1"/>
  <c r="K382" i="1" s="1"/>
  <c r="J358" i="1"/>
  <c r="K358" i="1" s="1"/>
  <c r="J248" i="1"/>
  <c r="K248" i="1" s="1"/>
  <c r="J471" i="1"/>
  <c r="K471" i="1" s="1"/>
  <c r="J291" i="1"/>
  <c r="K291" i="1" s="1"/>
  <c r="J262" i="1"/>
  <c r="K262" i="1" s="1"/>
  <c r="J501" i="1"/>
  <c r="K501" i="1" s="1"/>
  <c r="J445" i="1"/>
  <c r="K445" i="1" s="1"/>
  <c r="J459" i="1"/>
  <c r="K459" i="1" s="1"/>
  <c r="J135" i="1"/>
  <c r="K135" i="1" s="1"/>
  <c r="J247" i="1"/>
  <c r="K247" i="1" s="1"/>
  <c r="J150" i="1"/>
  <c r="K150" i="1" s="1"/>
  <c r="J259" i="1"/>
  <c r="K259" i="1" s="1"/>
  <c r="J213" i="1"/>
  <c r="K213" i="1" s="1"/>
  <c r="J215" i="1"/>
  <c r="K215" i="1" s="1"/>
  <c r="J82" i="1"/>
  <c r="K82" i="1" s="1"/>
  <c r="J272" i="1"/>
  <c r="K272" i="1" s="1"/>
  <c r="J149" i="1"/>
  <c r="K149" i="1" s="1"/>
  <c r="J257" i="1"/>
  <c r="K257" i="1" s="1"/>
  <c r="J304" i="1"/>
  <c r="K304" i="1" s="1"/>
  <c r="J39" i="1"/>
  <c r="K39" i="1" s="1"/>
  <c r="J56" i="1"/>
  <c r="K56" i="1" s="1"/>
  <c r="J490" i="1"/>
  <c r="K490" i="1" s="1"/>
  <c r="J409" i="1"/>
  <c r="K409" i="1" s="1"/>
  <c r="J321" i="1"/>
  <c r="K321" i="1" s="1"/>
  <c r="I160" i="1"/>
  <c r="I156" i="1" s="1"/>
  <c r="J420" i="1"/>
  <c r="K420" i="1" s="1"/>
  <c r="J386" i="1"/>
  <c r="K386" i="1" s="1"/>
  <c r="J253" i="1"/>
  <c r="K253" i="1" s="1"/>
  <c r="J209" i="1"/>
  <c r="K209" i="1" s="1"/>
  <c r="J279" i="1"/>
  <c r="K279" i="1" s="1"/>
  <c r="J97" i="1"/>
  <c r="K97" i="1" s="1"/>
  <c r="J293" i="1"/>
  <c r="K293" i="1" s="1"/>
  <c r="J364" i="1"/>
  <c r="K364" i="1" s="1"/>
  <c r="J299" i="1"/>
  <c r="K299" i="1" s="1"/>
  <c r="J438" i="1"/>
  <c r="K438" i="1" s="1"/>
  <c r="J497" i="1"/>
  <c r="K497" i="1" s="1"/>
  <c r="J229" i="1"/>
  <c r="K229" i="1" s="1"/>
  <c r="J267" i="1"/>
  <c r="K267" i="1" s="1"/>
  <c r="J340" i="1"/>
  <c r="K340" i="1" s="1"/>
  <c r="J398" i="1"/>
  <c r="K398" i="1" s="1"/>
  <c r="J143" i="1"/>
  <c r="K143" i="1" s="1"/>
  <c r="J30" i="1"/>
  <c r="K30" i="1" s="1"/>
  <c r="J269" i="1"/>
  <c r="K269" i="1" s="1"/>
  <c r="J31" i="1"/>
  <c r="K31" i="1" s="1"/>
  <c r="J376" i="1"/>
  <c r="K376" i="1" s="1"/>
  <c r="J165" i="1"/>
  <c r="K165" i="1" s="1"/>
  <c r="J241" i="1"/>
  <c r="K241" i="1" s="1"/>
  <c r="J311" i="1"/>
  <c r="K311" i="1" s="1"/>
  <c r="J378" i="1"/>
  <c r="K378" i="1" s="1"/>
  <c r="J66" i="1"/>
  <c r="K66" i="1" s="1"/>
  <c r="J198" i="1"/>
  <c r="K198" i="1" s="1"/>
  <c r="J352" i="1"/>
  <c r="K352" i="1" s="1"/>
  <c r="J45" i="1"/>
  <c r="K45" i="1" s="1"/>
  <c r="J78" i="1"/>
  <c r="K78" i="1" s="1"/>
  <c r="J74" i="1"/>
  <c r="K74" i="1" s="1"/>
  <c r="J89" i="1"/>
  <c r="K89" i="1" s="1"/>
  <c r="I96" i="1"/>
  <c r="J32" i="1"/>
  <c r="K32" i="1" s="1"/>
  <c r="J79" i="1"/>
  <c r="K79" i="1" s="1"/>
  <c r="J252" i="1"/>
  <c r="K252" i="1" s="1"/>
  <c r="J363" i="1"/>
  <c r="K363" i="1" s="1"/>
  <c r="J34" i="1"/>
  <c r="K34" i="1" s="1"/>
  <c r="J81" i="1"/>
  <c r="K81" i="1" s="1"/>
  <c r="J151" i="1"/>
  <c r="K151" i="1" s="1"/>
  <c r="J278" i="1"/>
  <c r="K278" i="1" s="1"/>
  <c r="J339" i="1"/>
  <c r="K339" i="1" s="1"/>
  <c r="J385" i="1"/>
  <c r="K385" i="1" s="1"/>
  <c r="J448" i="1"/>
  <c r="K448" i="1" s="1"/>
  <c r="J454" i="1"/>
  <c r="K454" i="1" s="1"/>
  <c r="J86" i="1"/>
  <c r="K86" i="1" s="1"/>
  <c r="J228" i="1"/>
  <c r="K228" i="1" s="1"/>
  <c r="J44" i="1"/>
  <c r="K44" i="1" s="1"/>
  <c r="J166" i="1"/>
  <c r="K166" i="1" s="1"/>
  <c r="J174" i="1"/>
  <c r="K174" i="1" s="1"/>
  <c r="J290" i="1"/>
  <c r="K290" i="1" s="1"/>
  <c r="J310" i="1"/>
  <c r="K310" i="1" s="1"/>
  <c r="J55" i="1"/>
  <c r="K55" i="1" s="1"/>
  <c r="J425" i="1"/>
  <c r="K425" i="1" s="1"/>
  <c r="J187" i="1"/>
  <c r="K187" i="1" s="1"/>
  <c r="J320" i="1"/>
  <c r="K320" i="1" s="1"/>
  <c r="J375" i="1"/>
  <c r="K375" i="1" s="1"/>
  <c r="J397" i="1"/>
  <c r="K397" i="1" s="1"/>
  <c r="J470" i="1"/>
  <c r="K470" i="1" s="1"/>
  <c r="J112" i="1"/>
  <c r="K112" i="1" s="1"/>
  <c r="J266" i="1"/>
  <c r="K266" i="1" s="1"/>
  <c r="J57" i="1"/>
  <c r="K57" i="1" s="1"/>
  <c r="J240" i="1"/>
  <c r="K240" i="1" s="1"/>
  <c r="J295" i="1"/>
  <c r="K295" i="1" s="1"/>
  <c r="J351" i="1"/>
  <c r="K351" i="1" s="1"/>
  <c r="J298" i="1"/>
  <c r="K298" i="1" s="1"/>
  <c r="J208" i="1"/>
  <c r="K208" i="1" s="1"/>
  <c r="J139" i="1"/>
  <c r="K139" i="1" s="1"/>
  <c r="J254" i="1"/>
  <c r="K254" i="1" s="1"/>
  <c r="J493" i="1"/>
  <c r="K493" i="1" s="1"/>
  <c r="J52" i="1"/>
  <c r="K52" i="1" s="1"/>
  <c r="J83" i="1"/>
  <c r="K83" i="1" s="1"/>
  <c r="J377" i="1"/>
  <c r="K377" i="1" s="1"/>
  <c r="J394" i="1"/>
  <c r="K394" i="1" s="1"/>
  <c r="J498" i="1"/>
  <c r="K498" i="1" s="1"/>
  <c r="J23" i="1"/>
  <c r="K23" i="1" s="1"/>
  <c r="J237" i="1"/>
  <c r="K237" i="1" s="1"/>
  <c r="J287" i="1"/>
  <c r="K287" i="1" s="1"/>
  <c r="J307" i="1"/>
  <c r="K307" i="1" s="1"/>
  <c r="J329" i="1"/>
  <c r="K329" i="1" s="1"/>
  <c r="J152" i="1"/>
  <c r="K152" i="1" s="1"/>
  <c r="J336" i="1"/>
  <c r="K336" i="1" s="1"/>
  <c r="J360" i="1"/>
  <c r="K360" i="1" s="1"/>
  <c r="J433" i="1"/>
  <c r="K433" i="1" s="1"/>
  <c r="J467" i="1"/>
  <c r="K467" i="1" s="1"/>
  <c r="J69" i="1"/>
  <c r="K69" i="1" s="1"/>
  <c r="J109" i="1"/>
  <c r="K109" i="1" s="1"/>
  <c r="J292" i="1"/>
  <c r="K292" i="1" s="1"/>
  <c r="J36" i="1"/>
  <c r="K36" i="1" s="1"/>
  <c r="J116" i="1"/>
  <c r="K116" i="1" s="1"/>
  <c r="K115" i="1" s="1"/>
  <c r="J171" i="1"/>
  <c r="K171" i="1" s="1"/>
  <c r="K170" i="1" s="1"/>
  <c r="J222" i="1"/>
  <c r="K222" i="1" s="1"/>
  <c r="J76" i="1"/>
  <c r="K76" i="1" s="1"/>
  <c r="J249" i="1"/>
  <c r="K249" i="1" s="1"/>
  <c r="J410" i="1"/>
  <c r="K410" i="1" s="1"/>
  <c r="J41" i="1"/>
  <c r="K41" i="1" s="1"/>
  <c r="J225" i="1"/>
  <c r="K225" i="1" s="1"/>
  <c r="J322" i="1"/>
  <c r="K322" i="1" s="1"/>
  <c r="J487" i="1"/>
  <c r="K487" i="1" s="1"/>
  <c r="J72" i="1"/>
  <c r="K72" i="1" s="1"/>
  <c r="J107" i="1"/>
  <c r="K107" i="1" s="1"/>
  <c r="J201" i="1"/>
  <c r="K201" i="1" s="1"/>
  <c r="J231" i="1"/>
  <c r="K231" i="1" s="1"/>
  <c r="J422" i="1"/>
  <c r="K422" i="1" s="1"/>
  <c r="J158" i="1"/>
  <c r="K158" i="1" s="1"/>
  <c r="J232" i="1"/>
  <c r="K232" i="1" s="1"/>
  <c r="J342" i="1"/>
  <c r="K342" i="1" s="1"/>
  <c r="J400" i="1"/>
  <c r="K400" i="1" s="1"/>
  <c r="J366" i="1"/>
  <c r="K366" i="1" s="1"/>
  <c r="J457" i="1"/>
  <c r="K457" i="1" s="1"/>
  <c r="J211" i="1"/>
  <c r="K211" i="1" s="1"/>
  <c r="J255" i="1"/>
  <c r="K255" i="1" s="1"/>
  <c r="J323" i="1"/>
  <c r="K323" i="1" s="1"/>
  <c r="J80" i="1"/>
  <c r="K80" i="1" s="1"/>
  <c r="J21" i="1"/>
  <c r="K21" i="1" s="1"/>
  <c r="J182" i="1"/>
  <c r="K182" i="1" s="1"/>
  <c r="J388" i="1"/>
  <c r="K388" i="1" s="1"/>
  <c r="J439" i="1"/>
  <c r="K439" i="1" s="1"/>
  <c r="J243" i="1"/>
  <c r="K243" i="1" s="1"/>
  <c r="J411" i="1"/>
  <c r="K411" i="1" s="1"/>
  <c r="J313" i="1"/>
  <c r="K313" i="1" s="1"/>
  <c r="J70" i="1"/>
  <c r="K70" i="1" s="1"/>
  <c r="J88" i="1"/>
  <c r="K88" i="1" s="1"/>
  <c r="J123" i="1"/>
  <c r="K123" i="1" s="1"/>
  <c r="J159" i="1"/>
  <c r="K159" i="1" s="1"/>
  <c r="J199" i="1"/>
  <c r="K199" i="1" s="1"/>
  <c r="J256" i="1"/>
  <c r="K256" i="1" s="1"/>
  <c r="J294" i="1"/>
  <c r="K294" i="1" s="1"/>
  <c r="J365" i="1"/>
  <c r="K365" i="1" s="1"/>
  <c r="J441" i="1"/>
  <c r="K441" i="1" s="1"/>
  <c r="J499" i="1"/>
  <c r="K499" i="1" s="1"/>
  <c r="J20" i="1"/>
  <c r="K20" i="1" s="1"/>
  <c r="J162" i="1"/>
  <c r="K162" i="1" s="1"/>
  <c r="K161" i="1" s="1"/>
  <c r="J242" i="1"/>
  <c r="K242" i="1" s="1"/>
  <c r="J312" i="1"/>
  <c r="K312" i="1" s="1"/>
  <c r="J399" i="1"/>
  <c r="K399" i="1" s="1"/>
  <c r="J90" i="1"/>
  <c r="K90" i="1" s="1"/>
  <c r="J91" i="1"/>
  <c r="K91" i="1" s="1"/>
  <c r="J353" i="1"/>
  <c r="K353" i="1" s="1"/>
  <c r="J202" i="1"/>
  <c r="K202" i="1" s="1"/>
  <c r="J280" i="1"/>
  <c r="K280" i="1" s="1"/>
  <c r="J48" i="1"/>
  <c r="K48" i="1" s="1"/>
  <c r="J103" i="1"/>
  <c r="K103" i="1" s="1"/>
  <c r="J141" i="1"/>
  <c r="K141" i="1" s="1"/>
  <c r="J203" i="1"/>
  <c r="K203" i="1" s="1"/>
  <c r="J245" i="1"/>
  <c r="K245" i="1" s="1"/>
  <c r="J281" i="1"/>
  <c r="K281" i="1" s="1"/>
  <c r="J300" i="1"/>
  <c r="K300" i="1" s="1"/>
  <c r="J315" i="1"/>
  <c r="K315" i="1" s="1"/>
  <c r="J354" i="1"/>
  <c r="K354" i="1" s="1"/>
  <c r="J402" i="1"/>
  <c r="K402" i="1" s="1"/>
  <c r="J423" i="1"/>
  <c r="K423" i="1" s="1"/>
  <c r="J479" i="1"/>
  <c r="K479" i="1" s="1"/>
  <c r="K478" i="1" s="1"/>
  <c r="J507" i="1"/>
  <c r="K507" i="1" s="1"/>
  <c r="J22" i="1"/>
  <c r="K22" i="1" s="1"/>
  <c r="J26" i="1"/>
  <c r="K26" i="1" s="1"/>
  <c r="J50" i="1"/>
  <c r="K50" i="1" s="1"/>
  <c r="J104" i="1"/>
  <c r="K104" i="1" s="1"/>
  <c r="J142" i="1"/>
  <c r="K142" i="1" s="1"/>
  <c r="J230" i="1"/>
  <c r="K230" i="1" s="1"/>
  <c r="J282" i="1"/>
  <c r="K282" i="1" s="1"/>
  <c r="J301" i="1"/>
  <c r="K301" i="1" s="1"/>
  <c r="J355" i="1"/>
  <c r="K355" i="1" s="1"/>
  <c r="J387" i="1"/>
  <c r="K387" i="1" s="1"/>
  <c r="J481" i="1"/>
  <c r="K481" i="1" s="1"/>
  <c r="K480" i="1" s="1"/>
  <c r="J427" i="1"/>
  <c r="K427" i="1" s="1"/>
  <c r="J181" i="1"/>
  <c r="K181" i="1" s="1"/>
  <c r="J426" i="1"/>
  <c r="K426" i="1" s="1"/>
  <c r="J449" i="1"/>
  <c r="K449" i="1" s="1"/>
  <c r="J210" i="1"/>
  <c r="K210" i="1" s="1"/>
  <c r="J268" i="1"/>
  <c r="K268" i="1" s="1"/>
  <c r="J341" i="1"/>
  <c r="K341" i="1" s="1"/>
  <c r="N118" i="1"/>
  <c r="J396" i="1"/>
  <c r="K396" i="1" s="1"/>
  <c r="J239" i="1"/>
  <c r="K239" i="1" s="1"/>
  <c r="J319" i="1"/>
  <c r="K319" i="1" s="1"/>
  <c r="J338" i="1"/>
  <c r="K338" i="1" s="1"/>
  <c r="J58" i="1"/>
  <c r="K58" i="1" s="1"/>
  <c r="J289" i="1"/>
  <c r="K289" i="1" s="1"/>
  <c r="J489" i="1"/>
  <c r="K489" i="1" s="1"/>
  <c r="J227" i="1"/>
  <c r="K227" i="1" s="1"/>
  <c r="J374" i="1"/>
  <c r="K374" i="1" s="1"/>
  <c r="J495" i="1"/>
  <c r="K495" i="1" s="1"/>
  <c r="J62" i="1"/>
  <c r="K62" i="1" s="1"/>
  <c r="J277" i="1"/>
  <c r="K277" i="1" s="1"/>
  <c r="J469" i="1"/>
  <c r="K469" i="1" s="1"/>
  <c r="J207" i="1"/>
  <c r="K207" i="1" s="1"/>
  <c r="J85" i="1"/>
  <c r="K85" i="1" s="1"/>
  <c r="J114" i="1"/>
  <c r="K114" i="1" s="1"/>
  <c r="J362" i="1"/>
  <c r="K362" i="1" s="1"/>
  <c r="J447" i="1"/>
  <c r="K447" i="1" s="1"/>
  <c r="J265" i="1"/>
  <c r="K265" i="1" s="1"/>
  <c r="J154" i="1"/>
  <c r="K154" i="1" s="1"/>
  <c r="J350" i="1"/>
  <c r="K350" i="1" s="1"/>
  <c r="J251" i="1"/>
  <c r="K251" i="1" s="1"/>
  <c r="J435" i="1"/>
  <c r="K435" i="1" s="1"/>
  <c r="J453" i="1"/>
  <c r="K453" i="1" s="1"/>
  <c r="N87" i="1"/>
  <c r="J25" i="1"/>
  <c r="K25" i="1" s="1"/>
  <c r="I94" i="1"/>
  <c r="I205" i="1"/>
  <c r="J408" i="1"/>
  <c r="K408" i="1" s="1"/>
  <c r="J54" i="1"/>
  <c r="K54" i="1" s="1"/>
  <c r="J99" i="1"/>
  <c r="K99" i="1" s="1"/>
  <c r="I131" i="1"/>
  <c r="J100" i="1"/>
  <c r="K100" i="1" s="1"/>
  <c r="J218" i="1"/>
  <c r="K218" i="1" s="1"/>
  <c r="J219" i="1"/>
  <c r="K219" i="1" s="1"/>
  <c r="N502" i="1"/>
  <c r="J288" i="1"/>
  <c r="K288" i="1" s="1"/>
  <c r="I65" i="1"/>
  <c r="I63" i="1"/>
  <c r="N505" i="1"/>
  <c r="N473" i="1"/>
  <c r="N472" i="1" s="1"/>
  <c r="N450" i="1"/>
  <c r="N418" i="1"/>
  <c r="N185" i="1"/>
  <c r="N167" i="1"/>
  <c r="N164" i="1"/>
  <c r="N155" i="1"/>
  <c r="N147" i="1"/>
  <c r="N140" i="1"/>
  <c r="N126" i="1"/>
  <c r="N125" i="1" s="1"/>
  <c r="N115" i="1"/>
  <c r="N111" i="1"/>
  <c r="N93" i="1"/>
  <c r="N67" i="1"/>
  <c r="N318" i="1"/>
  <c r="N35" i="1"/>
  <c r="N463" i="1"/>
  <c r="N483" i="1"/>
  <c r="N77" i="1"/>
  <c r="N261" i="1"/>
  <c r="N188" i="1"/>
  <c r="N221" i="1"/>
  <c r="N424" i="1"/>
  <c r="N179" i="1"/>
  <c r="N28" i="1"/>
  <c r="N455" i="1"/>
  <c r="N17" i="1"/>
  <c r="N16" i="1" s="1"/>
  <c r="N121" i="1"/>
  <c r="N133" i="1"/>
  <c r="N332" i="1"/>
  <c r="N101" i="1"/>
  <c r="N437" i="1"/>
  <c r="N46" i="1"/>
  <c r="N296" i="1"/>
  <c r="N491" i="1"/>
  <c r="N60" i="1"/>
  <c r="N196" i="1"/>
  <c r="I455" i="1"/>
  <c r="I87" i="1"/>
  <c r="I437" i="1"/>
  <c r="I140" i="1"/>
  <c r="J120" i="1"/>
  <c r="K120" i="1" s="1"/>
  <c r="K118" i="1" s="1"/>
  <c r="J206" i="1"/>
  <c r="K206" i="1" s="1"/>
  <c r="J260" i="1"/>
  <c r="K260" i="1" s="1"/>
  <c r="J316" i="1"/>
  <c r="K316" i="1" s="1"/>
  <c r="J371" i="1"/>
  <c r="K371" i="1" s="1"/>
  <c r="J395" i="1"/>
  <c r="K395" i="1" s="1"/>
  <c r="J460" i="1"/>
  <c r="K460" i="1" s="1"/>
  <c r="I64" i="1"/>
  <c r="I130" i="1"/>
  <c r="I146" i="1"/>
  <c r="I145" i="1" s="1"/>
  <c r="I144" i="1" s="1"/>
  <c r="I484" i="1"/>
  <c r="J330" i="1"/>
  <c r="K330" i="1" s="1"/>
  <c r="J33" i="1"/>
  <c r="K33" i="1" s="1"/>
  <c r="J49" i="1"/>
  <c r="K49" i="1" s="1"/>
  <c r="J134" i="1"/>
  <c r="K134" i="1" s="1"/>
  <c r="J236" i="1"/>
  <c r="K236" i="1" s="1"/>
  <c r="J347" i="1"/>
  <c r="K347" i="1" s="1"/>
  <c r="J373" i="1"/>
  <c r="K373" i="1" s="1"/>
  <c r="I168" i="1"/>
  <c r="I167" i="1" s="1"/>
  <c r="I189" i="1"/>
  <c r="I333" i="1"/>
  <c r="J276" i="1"/>
  <c r="K276" i="1" s="1"/>
  <c r="J488" i="1"/>
  <c r="K488" i="1" s="1"/>
  <c r="I42" i="1"/>
  <c r="I53" i="1"/>
  <c r="I68" i="1"/>
  <c r="I84" i="1"/>
  <c r="I77" i="1" s="1"/>
  <c r="I113" i="1"/>
  <c r="I111" i="1" s="1"/>
  <c r="I134" i="1"/>
  <c r="I153" i="1"/>
  <c r="I147" i="1" s="1"/>
  <c r="I190" i="1"/>
  <c r="I250" i="1"/>
  <c r="I238" i="1"/>
  <c r="I226" i="1"/>
  <c r="I264" i="1"/>
  <c r="I308" i="1"/>
  <c r="I417" i="1"/>
  <c r="I407" i="1"/>
  <c r="I384" i="1"/>
  <c r="I361" i="1"/>
  <c r="I349" i="1"/>
  <c r="I337" i="1"/>
  <c r="I434" i="1"/>
  <c r="I452" i="1"/>
  <c r="I450" i="1" s="1"/>
  <c r="I468" i="1"/>
  <c r="I494" i="1"/>
  <c r="I491" i="1" s="1"/>
  <c r="J446" i="1"/>
  <c r="K446" i="1" s="1"/>
  <c r="J51" i="1"/>
  <c r="K51" i="1" s="1"/>
  <c r="J136" i="1"/>
  <c r="K136" i="1" s="1"/>
  <c r="J506" i="1"/>
  <c r="K506" i="1" s="1"/>
  <c r="I192" i="1"/>
  <c r="I191" i="1" s="1"/>
  <c r="I217" i="1"/>
  <c r="J73" i="1"/>
  <c r="K73" i="1" s="1"/>
  <c r="J195" i="1"/>
  <c r="K195" i="1" s="1"/>
  <c r="K194" i="1" s="1"/>
  <c r="I29" i="1"/>
  <c r="I28" i="1" s="1"/>
  <c r="I40" i="1"/>
  <c r="I75" i="1"/>
  <c r="I95" i="1"/>
  <c r="I117" i="1"/>
  <c r="I115" i="1" s="1"/>
  <c r="I138" i="1"/>
  <c r="I216" i="1"/>
  <c r="I224" i="1"/>
  <c r="I306" i="1"/>
  <c r="I415" i="1"/>
  <c r="I405" i="1"/>
  <c r="I393" i="1"/>
  <c r="I335" i="1"/>
  <c r="I432" i="1"/>
  <c r="I466" i="1"/>
  <c r="I503" i="1"/>
  <c r="I502" i="1" s="1"/>
  <c r="J38" i="1"/>
  <c r="K38" i="1" s="1"/>
  <c r="J492" i="1"/>
  <c r="K492" i="1" s="1"/>
  <c r="J19" i="1"/>
  <c r="K19" i="1" s="1"/>
  <c r="J61" i="1"/>
  <c r="K61" i="1" s="1"/>
  <c r="I102" i="1"/>
  <c r="I101" i="1" s="1"/>
  <c r="I119" i="1"/>
  <c r="I118" i="1" s="1"/>
  <c r="I197" i="1"/>
  <c r="I196" i="1" s="1"/>
  <c r="I285" i="1"/>
  <c r="I273" i="1"/>
  <c r="I485" i="1"/>
  <c r="J24" i="1"/>
  <c r="K24" i="1" s="1"/>
  <c r="I180" i="1"/>
  <c r="I214" i="1"/>
  <c r="I258" i="1"/>
  <c r="I246" i="1"/>
  <c r="I234" i="1"/>
  <c r="I284" i="1"/>
  <c r="I326" i="1"/>
  <c r="I318" i="1" s="1"/>
  <c r="I413" i="1"/>
  <c r="I403" i="1"/>
  <c r="I391" i="1"/>
  <c r="I381" i="1"/>
  <c r="I369" i="1"/>
  <c r="I357" i="1"/>
  <c r="I345" i="1"/>
  <c r="I419" i="1"/>
  <c r="I418" i="1" s="1"/>
  <c r="I430" i="1"/>
  <c r="I474" i="1"/>
  <c r="I473" i="1" s="1"/>
  <c r="I184" i="1"/>
  <c r="I47" i="1"/>
  <c r="I428" i="1"/>
  <c r="I127" i="1"/>
  <c r="I505" i="1"/>
  <c r="I478" i="1"/>
  <c r="I476" i="1"/>
  <c r="I194" i="1"/>
  <c r="I185" i="1"/>
  <c r="I176" i="1"/>
  <c r="I175" i="1" s="1"/>
  <c r="I164" i="1"/>
  <c r="I161" i="1"/>
  <c r="I121" i="1"/>
  <c r="I106" i="1"/>
  <c r="J496" i="1"/>
  <c r="K496" i="1" s="1"/>
  <c r="J477" i="1"/>
  <c r="K477" i="1" s="1"/>
  <c r="K476" i="1" s="1"/>
  <c r="J429" i="1"/>
  <c r="K429" i="1" s="1"/>
  <c r="J421" i="1"/>
  <c r="K421" i="1" s="1"/>
  <c r="J297" i="1"/>
  <c r="K297" i="1" s="1"/>
  <c r="J186" i="1"/>
  <c r="K186" i="1" s="1"/>
  <c r="J169" i="1"/>
  <c r="K169" i="1" s="1"/>
  <c r="K167" i="1" s="1"/>
  <c r="J128" i="1"/>
  <c r="K128" i="1" s="1"/>
  <c r="J108" i="1"/>
  <c r="K108" i="1" s="1"/>
  <c r="J464" i="1"/>
  <c r="K464" i="1" s="1"/>
  <c r="J456" i="1"/>
  <c r="K456" i="1" s="1"/>
  <c r="J451" i="1"/>
  <c r="K451" i="1" s="1"/>
  <c r="J419" i="1"/>
  <c r="K419" i="1" s="1"/>
  <c r="J406" i="1"/>
  <c r="K406" i="1" s="1"/>
  <c r="J416" i="1"/>
  <c r="K416" i="1" s="1"/>
  <c r="J309" i="1"/>
  <c r="K309" i="1" s="1"/>
  <c r="J274" i="1"/>
  <c r="K274" i="1" s="1"/>
  <c r="J286" i="1"/>
  <c r="K286" i="1" s="1"/>
  <c r="J177" i="1"/>
  <c r="K177" i="1" s="1"/>
  <c r="K176" i="1" s="1"/>
  <c r="K175" i="1" s="1"/>
  <c r="J157" i="1"/>
  <c r="K157" i="1" s="1"/>
  <c r="J148" i="1"/>
  <c r="K148" i="1" s="1"/>
  <c r="J129" i="1"/>
  <c r="K129" i="1" s="1"/>
  <c r="J122" i="1"/>
  <c r="K122" i="1" s="1"/>
  <c r="J43" i="1"/>
  <c r="K43" i="1" s="1"/>
  <c r="J37" i="1"/>
  <c r="K37" i="1" s="1"/>
  <c r="I17" i="1"/>
  <c r="I16" i="1" s="1"/>
  <c r="K18" i="1"/>
  <c r="K188" i="1"/>
  <c r="K502" i="1"/>
  <c r="K191" i="1"/>
  <c r="K173" i="1"/>
  <c r="K172" i="1" s="1"/>
  <c r="AE510" i="1" l="1"/>
  <c r="AC510" i="1"/>
  <c r="U510" i="1"/>
  <c r="U511" i="1" s="1"/>
  <c r="W510" i="1"/>
  <c r="Y510" i="1"/>
  <c r="AW510" i="1"/>
  <c r="AO510" i="1"/>
  <c r="AG510" i="1"/>
  <c r="AI510" i="1"/>
  <c r="AU510" i="1"/>
  <c r="AM510" i="1"/>
  <c r="AQ510" i="1"/>
  <c r="AS510" i="1"/>
  <c r="AK510" i="1"/>
  <c r="K93" i="1"/>
  <c r="K106" i="1"/>
  <c r="I93" i="1"/>
  <c r="I92" i="1" s="1"/>
  <c r="K121" i="1"/>
  <c r="K156" i="1"/>
  <c r="K155" i="1" s="1"/>
  <c r="K164" i="1"/>
  <c r="K163" i="1" s="1"/>
  <c r="K505" i="1"/>
  <c r="K101" i="1"/>
  <c r="I126" i="1"/>
  <c r="I125" i="1" s="1"/>
  <c r="K179" i="1"/>
  <c r="K28" i="1"/>
  <c r="N163" i="1"/>
  <c r="K185" i="1"/>
  <c r="I463" i="1"/>
  <c r="K67" i="1"/>
  <c r="K111" i="1"/>
  <c r="K110" i="1" s="1"/>
  <c r="K140" i="1"/>
  <c r="K318" i="1"/>
  <c r="K87" i="1"/>
  <c r="K77" i="1"/>
  <c r="K196" i="1"/>
  <c r="K450" i="1"/>
  <c r="I60" i="1"/>
  <c r="K463" i="1"/>
  <c r="I155" i="1"/>
  <c r="K133" i="1"/>
  <c r="K437" i="1"/>
  <c r="K483" i="1"/>
  <c r="I188" i="1"/>
  <c r="K424" i="1"/>
  <c r="I133" i="1"/>
  <c r="I132" i="1" s="1"/>
  <c r="K147" i="1"/>
  <c r="K60" i="1"/>
  <c r="I472" i="1"/>
  <c r="K46" i="1"/>
  <c r="I483" i="1"/>
  <c r="I482" i="1" s="1"/>
  <c r="I179" i="1"/>
  <c r="I35" i="1"/>
  <c r="I296" i="1"/>
  <c r="K221" i="1"/>
  <c r="I67" i="1"/>
  <c r="I424" i="1"/>
  <c r="I46" i="1"/>
  <c r="I163" i="1"/>
  <c r="I204" i="1"/>
  <c r="I193" i="1" s="1"/>
  <c r="I110" i="1"/>
  <c r="K491" i="1"/>
  <c r="I261" i="1"/>
  <c r="K204" i="1"/>
  <c r="N436" i="1"/>
  <c r="K455" i="1"/>
  <c r="I332" i="1"/>
  <c r="I221" i="1"/>
  <c r="N110" i="1"/>
  <c r="N193" i="1"/>
  <c r="N178" i="1"/>
  <c r="N132" i="1"/>
  <c r="N124" i="1" s="1"/>
  <c r="N92" i="1"/>
  <c r="N59" i="1"/>
  <c r="N331" i="1"/>
  <c r="N27" i="1"/>
  <c r="N220" i="1"/>
  <c r="N482" i="1"/>
  <c r="K17" i="1"/>
  <c r="K16" i="1" s="1"/>
  <c r="K126" i="1"/>
  <c r="K125" i="1" s="1"/>
  <c r="K418" i="1"/>
  <c r="I436" i="1"/>
  <c r="K332" i="1"/>
  <c r="K296" i="1"/>
  <c r="K261" i="1"/>
  <c r="K35" i="1"/>
  <c r="K472" i="1"/>
  <c r="W511" i="1" l="1"/>
  <c r="Y511" i="1" s="1"/>
  <c r="AA511" i="1" s="1"/>
  <c r="AC511" i="1" s="1"/>
  <c r="AE511" i="1" s="1"/>
  <c r="AG511" i="1" s="1"/>
  <c r="AI511" i="1" s="1"/>
  <c r="AK511" i="1" s="1"/>
  <c r="AM511" i="1" s="1"/>
  <c r="AO511" i="1" s="1"/>
  <c r="AQ511" i="1" s="1"/>
  <c r="AS511" i="1" s="1"/>
  <c r="AU511" i="1" s="1"/>
  <c r="AW511" i="1" s="1"/>
  <c r="K178" i="1"/>
  <c r="I124" i="1"/>
  <c r="K132" i="1"/>
  <c r="K124" i="1" s="1"/>
  <c r="K59" i="1"/>
  <c r="I59" i="1"/>
  <c r="K436" i="1"/>
  <c r="K193" i="1"/>
  <c r="K482" i="1"/>
  <c r="I178" i="1"/>
  <c r="I27" i="1"/>
  <c r="I220" i="1"/>
  <c r="K27" i="1"/>
  <c r="K331" i="1"/>
  <c r="I331" i="1"/>
  <c r="M509" i="1"/>
  <c r="K220" i="1"/>
  <c r="K509" i="1" l="1"/>
  <c r="K92" i="1"/>
  <c r="K511" i="1" s="1"/>
  <c r="M515" i="1" s="1"/>
  <c r="K510" i="1" l="1"/>
  <c r="L13" i="1"/>
  <c r="L98" i="1" l="1"/>
  <c r="L263" i="1"/>
  <c r="L361" i="1"/>
  <c r="L182" i="1"/>
  <c r="L245" i="1"/>
  <c r="L507" i="1"/>
  <c r="L46" i="1"/>
  <c r="L247" i="1"/>
  <c r="L438" i="1"/>
  <c r="L57" i="1"/>
  <c r="L20" i="1"/>
  <c r="L440" i="1"/>
  <c r="L207" i="1"/>
  <c r="L358" i="1"/>
  <c r="L243" i="1"/>
  <c r="L286" i="1"/>
  <c r="L189" i="1"/>
  <c r="L467" i="1"/>
  <c r="L131" i="1"/>
  <c r="L297" i="1"/>
  <c r="L483" i="1"/>
  <c r="L18" i="1"/>
  <c r="L340" i="1"/>
  <c r="L371" i="1"/>
  <c r="L344" i="1"/>
  <c r="L177" i="1"/>
  <c r="L22" i="1"/>
  <c r="L355" i="1"/>
  <c r="L342" i="1"/>
  <c r="L78" i="1"/>
  <c r="L198" i="1"/>
  <c r="L172" i="1"/>
  <c r="L206" i="1"/>
  <c r="L387" i="1"/>
  <c r="L195" i="1"/>
  <c r="L253" i="1"/>
  <c r="L100" i="1"/>
  <c r="L328" i="1"/>
  <c r="L426" i="1"/>
  <c r="L163" i="1"/>
  <c r="L192" i="1"/>
  <c r="L199" i="1"/>
  <c r="L58" i="1"/>
  <c r="L265" i="1"/>
  <c r="L505" i="1"/>
  <c r="L32" i="1"/>
  <c r="L219" i="1"/>
  <c r="L63" i="1"/>
  <c r="L147" i="1"/>
  <c r="L287" i="1"/>
  <c r="L162" i="1"/>
  <c r="L406" i="1"/>
  <c r="L165" i="1"/>
  <c r="L134" i="1"/>
  <c r="L466" i="1"/>
  <c r="L114" i="1"/>
  <c r="L266" i="1"/>
  <c r="L278" i="1"/>
  <c r="L167" i="1"/>
  <c r="L271" i="1"/>
  <c r="L128" i="1"/>
  <c r="L155" i="1"/>
  <c r="L394" i="1"/>
  <c r="L321" i="1"/>
  <c r="L229" i="1"/>
  <c r="L60" i="1"/>
  <c r="L493" i="1"/>
  <c r="L71" i="1"/>
  <c r="L260" i="1"/>
  <c r="L208" i="1"/>
  <c r="L143" i="1"/>
  <c r="L140" i="1"/>
  <c r="L21" i="1"/>
  <c r="L202" i="1"/>
  <c r="L386" i="1"/>
  <c r="L142" i="1"/>
  <c r="L166" i="1"/>
  <c r="L295" i="1"/>
  <c r="L132" i="1"/>
  <c r="L47" i="1"/>
  <c r="L201" i="1"/>
  <c r="L118" i="1"/>
  <c r="L223" i="1"/>
  <c r="L54" i="1"/>
  <c r="L148" i="1"/>
  <c r="L319" i="1"/>
  <c r="L249" i="1"/>
  <c r="L428" i="1"/>
  <c r="L398" i="1"/>
  <c r="L61" i="1"/>
  <c r="L146" i="1"/>
  <c r="L372" i="1"/>
  <c r="L421" i="1"/>
  <c r="L235" i="1"/>
  <c r="L67" i="1"/>
  <c r="L231" i="1"/>
  <c r="L476" i="1"/>
  <c r="L70" i="1"/>
  <c r="L88" i="1"/>
  <c r="L72" i="1"/>
  <c r="L216" i="1"/>
  <c r="L457" i="1"/>
  <c r="L157" i="1"/>
  <c r="L302" i="1"/>
  <c r="L288" i="1"/>
  <c r="L446" i="1"/>
  <c r="L327" i="1"/>
  <c r="L424" i="1"/>
  <c r="L431" i="1"/>
  <c r="L455" i="1"/>
  <c r="L264" i="1"/>
  <c r="L156" i="1"/>
  <c r="L359" i="1"/>
  <c r="L280" i="1"/>
  <c r="L52" i="1"/>
  <c r="L224" i="1"/>
  <c r="L267" i="1"/>
  <c r="L204" i="1"/>
  <c r="L468" i="1"/>
  <c r="L111" i="1"/>
  <c r="L405" i="1"/>
  <c r="L262" i="1"/>
  <c r="L190" i="1"/>
  <c r="L169" i="1"/>
  <c r="L475" i="1"/>
  <c r="L336" i="1"/>
  <c r="L104" i="1"/>
  <c r="L153" i="1"/>
  <c r="L120" i="1"/>
  <c r="L443" i="1"/>
  <c r="L403" i="1"/>
  <c r="L29" i="1"/>
  <c r="L170" i="1"/>
  <c r="L495" i="1"/>
  <c r="L335" i="1"/>
  <c r="L351" i="1"/>
  <c r="L326" i="1"/>
  <c r="L464" i="1"/>
  <c r="L437" i="1"/>
  <c r="L377" i="1"/>
  <c r="L356" i="1"/>
  <c r="L79" i="1"/>
  <c r="L417" i="1"/>
  <c r="L116" i="1"/>
  <c r="L19" i="1"/>
  <c r="L186" i="1"/>
  <c r="L171" i="1"/>
  <c r="L86" i="1"/>
  <c r="L324" i="1"/>
  <c r="L139" i="1"/>
  <c r="L97" i="1"/>
  <c r="L484" i="1"/>
  <c r="L357" i="1"/>
  <c r="L137" i="1"/>
  <c r="L240" i="1"/>
  <c r="L122" i="1"/>
  <c r="L341" i="1"/>
  <c r="L489" i="1"/>
  <c r="L450" i="1"/>
  <c r="L91" i="1"/>
  <c r="L388" i="1"/>
  <c r="L317" i="1"/>
  <c r="L463" i="1"/>
  <c r="L279" i="1"/>
  <c r="L378" i="1"/>
  <c r="L462" i="1"/>
  <c r="L275" i="1"/>
  <c r="L269" i="1"/>
  <c r="L314" i="1"/>
  <c r="L401" i="1"/>
  <c r="L486" i="1"/>
  <c r="L178" i="1"/>
  <c r="L87" i="1"/>
  <c r="L334" i="1"/>
  <c r="L213" i="1"/>
  <c r="L282" i="1"/>
  <c r="L389" i="1"/>
  <c r="L283" i="1"/>
  <c r="L434" i="1"/>
  <c r="L345" i="1"/>
  <c r="L444" i="1"/>
  <c r="L274" i="1"/>
  <c r="L496" i="1"/>
  <c r="L181" i="1"/>
  <c r="L180" i="1"/>
  <c r="L74" i="1"/>
  <c r="L203" i="1"/>
  <c r="L301" i="1"/>
  <c r="L503" i="1"/>
  <c r="L385" i="1"/>
  <c r="L500" i="1"/>
  <c r="L300" i="1"/>
  <c r="L305" i="1"/>
  <c r="L315" i="1"/>
  <c r="L415" i="1"/>
  <c r="L294" i="1"/>
  <c r="L31" i="1"/>
  <c r="L425" i="1"/>
  <c r="L469" i="1"/>
  <c r="L90" i="1"/>
  <c r="L112" i="1"/>
  <c r="L404" i="1"/>
  <c r="L414" i="1"/>
  <c r="L232" i="1"/>
  <c r="L215" i="1"/>
  <c r="L427" i="1"/>
  <c r="L246" i="1"/>
  <c r="L430" i="1"/>
  <c r="L347" i="1"/>
  <c r="L102" i="1"/>
  <c r="L210" i="1"/>
  <c r="L506" i="1"/>
  <c r="L105" i="1"/>
  <c r="L436" i="1"/>
  <c r="L184" i="1"/>
  <c r="L191" i="1"/>
  <c r="L50" i="1"/>
  <c r="L391" i="1"/>
  <c r="L141" i="1"/>
  <c r="L217" i="1"/>
  <c r="L451" i="1"/>
  <c r="L173" i="1"/>
  <c r="L383" i="1"/>
  <c r="L185" i="1"/>
  <c r="L304" i="1"/>
  <c r="L106" i="1"/>
  <c r="L193" i="1"/>
  <c r="L311" i="1"/>
  <c r="L73" i="1"/>
  <c r="L276" i="1"/>
  <c r="L109" i="1"/>
  <c r="L179" i="1"/>
  <c r="L255" i="1"/>
  <c r="L481" i="1"/>
  <c r="L56" i="1"/>
  <c r="L429" i="1"/>
  <c r="L101" i="1"/>
  <c r="L254" i="1"/>
  <c r="L333" i="1"/>
  <c r="L318" i="1"/>
  <c r="L188" i="1"/>
  <c r="L174" i="1"/>
  <c r="L125" i="1"/>
  <c r="L55" i="1"/>
  <c r="L433" i="1"/>
  <c r="L226" i="1"/>
  <c r="L343" i="1"/>
  <c r="L478" i="1"/>
  <c r="L368" i="1"/>
  <c r="L85" i="1"/>
  <c r="L220" i="1"/>
  <c r="L77" i="1"/>
  <c r="L34" i="1"/>
  <c r="L379" i="1"/>
  <c r="L36" i="1"/>
  <c r="L353" i="1"/>
  <c r="L392" i="1"/>
  <c r="L59" i="1"/>
  <c r="L151" i="1"/>
  <c r="L376" i="1"/>
  <c r="L313" i="1"/>
  <c r="L65" i="1"/>
  <c r="L268" i="1"/>
  <c r="L256" i="1"/>
  <c r="L45" i="1"/>
  <c r="L298" i="1"/>
  <c r="L251" i="1"/>
  <c r="L419" i="1"/>
  <c r="L316" i="1"/>
  <c r="L411" i="1"/>
  <c r="L126" i="1"/>
  <c r="L456" i="1"/>
  <c r="L412" i="1"/>
  <c r="L407" i="1"/>
  <c r="L161" i="1"/>
  <c r="L121" i="1"/>
  <c r="L234" i="1"/>
  <c r="L497" i="1"/>
  <c r="L422" i="1"/>
  <c r="L296" i="1"/>
  <c r="L306" i="1"/>
  <c r="L491" i="1"/>
  <c r="L285" i="1"/>
  <c r="L130" i="1"/>
  <c r="L257" i="1"/>
  <c r="L439" i="1"/>
  <c r="L400" i="1"/>
  <c r="L472" i="1"/>
  <c r="L138" i="1"/>
  <c r="L53" i="1"/>
  <c r="L423" i="1"/>
  <c r="L502" i="1"/>
  <c r="L418" i="1"/>
  <c r="L127" i="1"/>
  <c r="L129" i="1"/>
  <c r="L487" i="1"/>
  <c r="L408" i="1"/>
  <c r="L350" i="1"/>
  <c r="L504" i="1"/>
  <c r="L84" i="1"/>
  <c r="L309" i="1"/>
  <c r="L291" i="1"/>
  <c r="L289" i="1"/>
  <c r="L459" i="1"/>
  <c r="L465" i="1"/>
  <c r="L284" i="1"/>
  <c r="L460" i="1"/>
  <c r="L308" i="1"/>
  <c r="L119" i="1"/>
  <c r="L420" i="1"/>
  <c r="L28" i="1"/>
  <c r="L227" i="1"/>
  <c r="L501" i="1"/>
  <c r="L307" i="1"/>
  <c r="L339" i="1"/>
  <c r="L441" i="1"/>
  <c r="L25" i="1"/>
  <c r="L474" i="1"/>
  <c r="L80" i="1"/>
  <c r="L124" i="1"/>
  <c r="L380" i="1"/>
  <c r="L477" i="1"/>
  <c r="L399" i="1"/>
  <c r="L259" i="1"/>
  <c r="L82" i="1"/>
  <c r="L197" i="1"/>
  <c r="L252" i="1"/>
  <c r="L337" i="1"/>
  <c r="L290" i="1"/>
  <c r="L159" i="1"/>
  <c r="L396" i="1"/>
  <c r="L176" i="1"/>
  <c r="L33" i="1"/>
  <c r="L108" i="1"/>
  <c r="L348" i="1"/>
  <c r="L374" i="1"/>
  <c r="L310" i="1"/>
  <c r="L62" i="1"/>
  <c r="L272" i="1"/>
  <c r="L35" i="1"/>
  <c r="L270" i="1"/>
  <c r="L490" i="1"/>
  <c r="L51" i="1"/>
  <c r="L452" i="1"/>
  <c r="L413" i="1"/>
  <c r="L149" i="1"/>
  <c r="L329" i="1"/>
  <c r="L96" i="1"/>
  <c r="L338" i="1"/>
  <c r="L205" i="1"/>
  <c r="L218" i="1"/>
  <c r="L75" i="1"/>
  <c r="L160" i="1"/>
  <c r="L365" i="1"/>
  <c r="L435" i="1"/>
  <c r="L293" i="1"/>
  <c r="L183" i="1"/>
  <c r="L349" i="1"/>
  <c r="L194" i="1"/>
  <c r="L158" i="1"/>
  <c r="L175" i="1"/>
  <c r="L384" i="1"/>
  <c r="L471" i="1"/>
  <c r="L258" i="1"/>
  <c r="L212" i="1"/>
  <c r="L442" i="1"/>
  <c r="L26" i="1"/>
  <c r="L360" i="1"/>
  <c r="L346" i="1"/>
  <c r="L145" i="1"/>
  <c r="L292" i="1"/>
  <c r="L499" i="1"/>
  <c r="L144" i="1"/>
  <c r="L27" i="1"/>
  <c r="L69" i="1"/>
  <c r="L94" i="1"/>
  <c r="L221" i="1"/>
  <c r="L453" i="1"/>
  <c r="L241" i="1"/>
  <c r="L68" i="1"/>
  <c r="L238" i="1"/>
  <c r="L363" i="1"/>
  <c r="L66" i="1"/>
  <c r="L492" i="1"/>
  <c r="L362" i="1"/>
  <c r="L432" i="1"/>
  <c r="L30" i="1"/>
  <c r="L135" i="1"/>
  <c r="L99" i="1"/>
  <c r="L242" i="1"/>
  <c r="L470" i="1"/>
  <c r="L64" i="1"/>
  <c r="L322" i="1"/>
  <c r="L369" i="1"/>
  <c r="L214" i="1"/>
  <c r="L273" i="1"/>
  <c r="L320" i="1"/>
  <c r="L17" i="1"/>
  <c r="L38" i="1"/>
  <c r="L39" i="1"/>
  <c r="L103" i="1"/>
  <c r="L370" i="1"/>
  <c r="L381" i="1"/>
  <c r="L409" i="1"/>
  <c r="L303" i="1"/>
  <c r="L41" i="1"/>
  <c r="L261" i="1"/>
  <c r="L461" i="1"/>
  <c r="L228" i="1"/>
  <c r="L375" i="1"/>
  <c r="L366" i="1"/>
  <c r="L390" i="1"/>
  <c r="L367" i="1"/>
  <c r="L44" i="1"/>
  <c r="L16" i="1"/>
  <c r="L23" i="1"/>
  <c r="L449" i="1"/>
  <c r="L154" i="1"/>
  <c r="L107" i="1"/>
  <c r="L479" i="1"/>
  <c r="L239" i="1"/>
  <c r="L325" i="1"/>
  <c r="L354" i="1"/>
  <c r="L448" i="1"/>
  <c r="L410" i="1"/>
  <c r="L352" i="1"/>
  <c r="L152" i="1"/>
  <c r="L498" i="1"/>
  <c r="L76" i="1"/>
  <c r="L458" i="1"/>
  <c r="L196" i="1"/>
  <c r="L454" i="1"/>
  <c r="L397" i="1"/>
  <c r="L323" i="1"/>
  <c r="L236" i="1"/>
  <c r="L373" i="1"/>
  <c r="L95" i="1"/>
  <c r="L24" i="1"/>
  <c r="L43" i="1"/>
  <c r="L488" i="1"/>
  <c r="L150" i="1"/>
  <c r="L485" i="1"/>
  <c r="L40" i="1"/>
  <c r="L244" i="1"/>
  <c r="L482" i="1"/>
  <c r="L187" i="1"/>
  <c r="L48" i="1"/>
  <c r="L222" i="1"/>
  <c r="L312" i="1"/>
  <c r="L115" i="1"/>
  <c r="L237" i="1"/>
  <c r="L209" i="1"/>
  <c r="L123" i="1"/>
  <c r="L168" i="1"/>
  <c r="L281" i="1"/>
  <c r="L395" i="1"/>
  <c r="L83" i="1"/>
  <c r="L250" i="1"/>
  <c r="L416" i="1"/>
  <c r="L331" i="1"/>
  <c r="L200" i="1"/>
  <c r="L117" i="1"/>
  <c r="L113" i="1"/>
  <c r="L277" i="1"/>
  <c r="L133" i="1"/>
  <c r="L299" i="1"/>
  <c r="L211" i="1"/>
  <c r="L382" i="1"/>
  <c r="L37" i="1"/>
  <c r="L364" i="1"/>
  <c r="L330" i="1"/>
  <c r="L447" i="1"/>
  <c r="L445" i="1"/>
  <c r="L136" i="1"/>
  <c r="L42" i="1"/>
  <c r="L494" i="1"/>
  <c r="L89" i="1"/>
  <c r="L49" i="1"/>
  <c r="L480" i="1"/>
  <c r="L230" i="1"/>
  <c r="L473" i="1"/>
  <c r="L233" i="1"/>
  <c r="L248" i="1"/>
  <c r="L332" i="1"/>
  <c r="L393" i="1"/>
  <c r="L164" i="1"/>
  <c r="L225" i="1"/>
  <c r="L402" i="1"/>
  <c r="L81" i="1"/>
  <c r="L110" i="1"/>
  <c r="L93" i="1"/>
  <c r="L92" i="1"/>
</calcChain>
</file>

<file path=xl/sharedStrings.xml><?xml version="1.0" encoding="utf-8"?>
<sst xmlns="http://schemas.openxmlformats.org/spreadsheetml/2006/main" count="2410" uniqueCount="1378">
  <si>
    <t>Valor Final do Orçamento</t>
  </si>
  <si>
    <t>BDI</t>
  </si>
  <si>
    <t>Item</t>
  </si>
  <si>
    <t>Código</t>
  </si>
  <si>
    <t>Banco</t>
  </si>
  <si>
    <t>Descrição</t>
  </si>
  <si>
    <t>Und</t>
  </si>
  <si>
    <t>Quant.</t>
  </si>
  <si>
    <t>Valor Unit com BDI</t>
  </si>
  <si>
    <t>Total</t>
  </si>
  <si>
    <t>Peso (%)</t>
  </si>
  <si>
    <t xml:space="preserve"> 1 </t>
  </si>
  <si>
    <t xml:space="preserve">  </t>
  </si>
  <si>
    <t>SERVIÇOS PRELIMINARES E INDIRETOS</t>
  </si>
  <si>
    <t/>
  </si>
  <si>
    <t xml:space="preserve"> 1.1 </t>
  </si>
  <si>
    <t>CANTEIRO DE OBRAS</t>
  </si>
  <si>
    <t xml:space="preserve"> 1.1.1 </t>
  </si>
  <si>
    <t xml:space="preserve"> 02.02.150 </t>
  </si>
  <si>
    <t>CPOS/CDHU</t>
  </si>
  <si>
    <t>LOCAÇÃO DE CONTAINER TIPO DEPÓSITO - ÁREA MÍNIMA DE 13,80 M²</t>
  </si>
  <si>
    <t>unxmês</t>
  </si>
  <si>
    <t xml:space="preserve"> 1.1.2 </t>
  </si>
  <si>
    <t xml:space="preserve"> 11703 </t>
  </si>
  <si>
    <t>ORSE</t>
  </si>
  <si>
    <t>Barracão aberto para apoio à produção (carpintaria, central de armação, oficina, etc.) c/ tesouras, telha 4mm, piso em concreto desempolado</t>
  </si>
  <si>
    <t>m²</t>
  </si>
  <si>
    <t xml:space="preserve"> 1.1.3 </t>
  </si>
  <si>
    <t xml:space="preserve"> 01.10.01 </t>
  </si>
  <si>
    <t>SUDECAP</t>
  </si>
  <si>
    <t>BANHEIRO QUIMICO 110X120X230CM COM MANUTENCAO</t>
  </si>
  <si>
    <t>MES</t>
  </si>
  <si>
    <t xml:space="preserve"> 1.1.4 </t>
  </si>
  <si>
    <t xml:space="preserve"> 95648 </t>
  </si>
  <si>
    <t>SINAPI</t>
  </si>
  <si>
    <t>KIT CAVALETE PARA MEDIÇÃO DE ÁGUA - ENTRADA INDIVIDUALIZADA, EM CPVC DN 28 MM (1"), PARA 1 MEDIDOR - FORNECIMENTO E INSTALAÇÃO (EXCLUSIVE HIDRÔMETRO). AF_03/2024</t>
  </si>
  <si>
    <t>UN</t>
  </si>
  <si>
    <t xml:space="preserve"> 1.1.5 </t>
  </si>
  <si>
    <t xml:space="preserve"> 95673 </t>
  </si>
  <si>
    <t>HIDRÔMETRO DN 1/2", 1,5 M3/H - FORNECIMENTO E INSTALAÇÃO. AF_03/2024</t>
  </si>
  <si>
    <t xml:space="preserve"> 1.1.6 </t>
  </si>
  <si>
    <t xml:space="preserve"> COTAÇÃO-001/25 </t>
  </si>
  <si>
    <t>Próprio</t>
  </si>
  <si>
    <t>Poste padrão de entrada de energia elétrica, categoria C-6, disjuntor de 200A, cabo 95 mm²,  inclusive frete e instalação</t>
  </si>
  <si>
    <t>Unid.</t>
  </si>
  <si>
    <t xml:space="preserve"> 1.1.7 </t>
  </si>
  <si>
    <t xml:space="preserve"> 103689 </t>
  </si>
  <si>
    <t>FORNECIMENTO E INSTALAÇÃO DE PLACA DE OBRA COM CHAPA GALVANIZADA E ESTRUTURA DE MADEIRA. AF_03/2022_PS</t>
  </si>
  <si>
    <t xml:space="preserve"> 1.1.8 </t>
  </si>
  <si>
    <t xml:space="preserve"> 05.07.040 </t>
  </si>
  <si>
    <t>REMOÇÃO DE ENTULHO SEPARADO DE OBRA COM CAÇAMBA METÁLICA - TERRA, ALVENARIA, CONCRETO, ARGAMASSA, MADEIRA, PAPEL, PLÁSTICO OU METAL</t>
  </si>
  <si>
    <t>m³</t>
  </si>
  <si>
    <t xml:space="preserve"> 1.1.9 </t>
  </si>
  <si>
    <t xml:space="preserve"> 98459 </t>
  </si>
  <si>
    <t>TAPUME COM TELHA METÁLICA. AF_03/2024</t>
  </si>
  <si>
    <t xml:space="preserve"> 2 </t>
  </si>
  <si>
    <t>INFRAESTRUTURA</t>
  </si>
  <si>
    <t xml:space="preserve"> 2.1 </t>
  </si>
  <si>
    <t>ESTACAS</t>
  </si>
  <si>
    <t xml:space="preserve"> 2.1.1 </t>
  </si>
  <si>
    <t xml:space="preserve"> 02.10.020 </t>
  </si>
  <si>
    <t>LOCAÇÃO DE OBRA DE EDIFICAÇÃO</t>
  </si>
  <si>
    <t xml:space="preserve"> 2.1.2 </t>
  </si>
  <si>
    <t xml:space="preserve"> 12.12.010 </t>
  </si>
  <si>
    <t>TAXA DE MOBILIZAÇÃO E DESMOBILIZAÇÃO DE EQUIPAMENTOS PARA EXECUÇÃO DE ESTACA TIPO HÉLICE CONTÍNUA EM SOLO</t>
  </si>
  <si>
    <t>tx</t>
  </si>
  <si>
    <t xml:space="preserve"> 2.1.3 </t>
  </si>
  <si>
    <t xml:space="preserve"> 12.12.014 </t>
  </si>
  <si>
    <t>ESTACA TIPO HÉLICE CONTÍNUA, DIÂMETRO DE 25 CM EM SOLO</t>
  </si>
  <si>
    <t>m</t>
  </si>
  <si>
    <t xml:space="preserve"> 2.1.4 </t>
  </si>
  <si>
    <t xml:space="preserve"> 11.01.520 </t>
  </si>
  <si>
    <t>CONCRETO USINADO, FCK = 30 MPA - PARA BOMBEAMENTO EM ESTACA HÉLICE CONTÍNUA</t>
  </si>
  <si>
    <t xml:space="preserve"> 2.1.5 </t>
  </si>
  <si>
    <t xml:space="preserve"> 96543 </t>
  </si>
  <si>
    <t>ARMAÇÃO DE BLOCO UTILIZANDO AÇO CA-60 DE 5 MM - MONTAGEM. AF_01/2024</t>
  </si>
  <si>
    <t>KG</t>
  </si>
  <si>
    <t xml:space="preserve"> 2.1.6 </t>
  </si>
  <si>
    <t xml:space="preserve"> 96546 </t>
  </si>
  <si>
    <t>ARMAÇÃO DE BLOCO UTILIZANDO AÇO CA-50 DE 10 MM - MONTAGEM. AF_01/2024</t>
  </si>
  <si>
    <t xml:space="preserve"> 2.2 </t>
  </si>
  <si>
    <t>BLOCOS DE COROAMENTO</t>
  </si>
  <si>
    <t xml:space="preserve"> 2.2.1 </t>
  </si>
  <si>
    <t xml:space="preserve"> 90091 </t>
  </si>
  <si>
    <t>ESCAVAÇÃO MECANIZADA DE VALA COM PROF. ATÉ 1,5 M (MÉDIA MONTANTE E JUSANTE/UMA COMPOSIÇÃO POR TRECHO), ESCAVADEIRA (0,8 M3), LARG. DE 1,5 M A 2,5 M, EM SOLO DE 1A CATEGORIA, LOCAIS COM BAIXO NÍVEL DE INTERFERÊNCIA. AF_09/2024</t>
  </si>
  <si>
    <t xml:space="preserve"> 2.2.2 </t>
  </si>
  <si>
    <t xml:space="preserve"> 96531 </t>
  </si>
  <si>
    <t>FABRICAÇÃO, MONTAGEM E DESMONTAGEM DE FÔRMA PARA BLOCO DE COROAMENTO, EM MADEIRA SERRADA, E=25 MM, 2 UTILIZAÇÕES. AF_01/2024</t>
  </si>
  <si>
    <t xml:space="preserve"> 2.2.3 </t>
  </si>
  <si>
    <t xml:space="preserve"> 96621 </t>
  </si>
  <si>
    <t>LASTRO COM MATERIAL GRANULAR, APLICAÇÃO EM BLOCOS DE COROAMENTO, ESPESSURA DE *5 CM*. AF_01/2024</t>
  </si>
  <si>
    <t xml:space="preserve"> 2.2.4 </t>
  </si>
  <si>
    <t xml:space="preserve"> 96557 </t>
  </si>
  <si>
    <t>CONCRETAGEM DE BLOCO DE COROAMENTO OU VIGA BALDRAME, FCK 30 MPA, COM USO DE BOMBA - LANÇAMENTO, ADENSAMENTO E ACABAMENTO. AF_01/2024</t>
  </si>
  <si>
    <t xml:space="preserve"> 2.2.5 </t>
  </si>
  <si>
    <t xml:space="preserve"> 2.2.6 </t>
  </si>
  <si>
    <t xml:space="preserve"> 96544 </t>
  </si>
  <si>
    <t>ARMAÇÃO DE BLOCO UTILIZANDO AÇO CA-50 DE 6,3 MM - MONTAGEM. AF_01/2024</t>
  </si>
  <si>
    <t xml:space="preserve"> 2.2.7 </t>
  </si>
  <si>
    <t xml:space="preserve"> 2.2.8 </t>
  </si>
  <si>
    <t xml:space="preserve"> 104920 </t>
  </si>
  <si>
    <t>ARMAÇÃO DE BLOCO, SAPATA ISOLADA, VIGA BALDRAME E SAPATA CORRIDA UTILIZANDO AÇO CA-50 DE 12,5 MM - MONTAGEM. AF_01/2024</t>
  </si>
  <si>
    <t xml:space="preserve"> 2.2.9 </t>
  </si>
  <si>
    <t xml:space="preserve"> 93382 </t>
  </si>
  <si>
    <t>REATERRO MANUAL DE VALAS, COM COMPACTADOR DE SOLOS DE PERCUSSÃO. AF_08/2023</t>
  </si>
  <si>
    <t xml:space="preserve"> 2.2.10 </t>
  </si>
  <si>
    <t xml:space="preserve"> 98557 </t>
  </si>
  <si>
    <t>IMPERMEABILIZAÇÃO DE SUPERFÍCIE COM EMULSÃO ASFÁLTICA, 2 DEMÃOS. AF_09/2023</t>
  </si>
  <si>
    <t xml:space="preserve"> 2.3 </t>
  </si>
  <si>
    <t>VIGA BALDRAME</t>
  </si>
  <si>
    <t xml:space="preserve"> 2.3.1 </t>
  </si>
  <si>
    <t xml:space="preserve"> 2.3.2 </t>
  </si>
  <si>
    <t xml:space="preserve"> 96533 </t>
  </si>
  <si>
    <t>FABRICAÇÃO, MONTAGEM E DESMONTAGEM DE FÔRMA PARA VIGA BALDRAME, EM MADEIRA SERRADA, E=25 MM, 2 UTILIZAÇÕES. AF_01/2024</t>
  </si>
  <si>
    <t xml:space="preserve"> 2.3.3 </t>
  </si>
  <si>
    <t xml:space="preserve"> 2.3.4 </t>
  </si>
  <si>
    <t xml:space="preserve"> 2.3.5 </t>
  </si>
  <si>
    <t xml:space="preserve"> 2.3.6 </t>
  </si>
  <si>
    <t xml:space="preserve"> 2.3.7 </t>
  </si>
  <si>
    <t xml:space="preserve"> 96545 </t>
  </si>
  <si>
    <t>ARMAÇÃO DE BLOCO UTILIZANDO AÇO CA-50 DE 8 MM - MONTAGEM. AF_01/2024</t>
  </si>
  <si>
    <t xml:space="preserve"> 2.3.8 </t>
  </si>
  <si>
    <t xml:space="preserve"> 2.3.9 </t>
  </si>
  <si>
    <t xml:space="preserve"> 2.3.10 </t>
  </si>
  <si>
    <t xml:space="preserve"> 104921 </t>
  </si>
  <si>
    <t>ARMAÇÃO DE BLOCO, SAPATA ISOLADA, VIGA BALDRAME E SAPATA CORRIDA UTILIZANDO AÇO CA-50 DE 16 MM - MONTAGEM. AF_01/2024</t>
  </si>
  <si>
    <t xml:space="preserve"> 2.3.11 </t>
  </si>
  <si>
    <t xml:space="preserve"> 2.3.12 </t>
  </si>
  <si>
    <t xml:space="preserve"> 3 </t>
  </si>
  <si>
    <t>ESTRUTURA</t>
  </si>
  <si>
    <t xml:space="preserve"> 3.1 </t>
  </si>
  <si>
    <t>PILARES</t>
  </si>
  <si>
    <t xml:space="preserve"> 3.1.1 </t>
  </si>
  <si>
    <t xml:space="preserve"> 92423 </t>
  </si>
  <si>
    <t>MONTAGEM E DESMONTAGEM DE FÔRMA DE PILARES RETANGULARES E ESTRUTURAS SIMILARES, PÉ-DIREITO SIMPLES, EM CHAPA DE MADEIRA COMPENSADA RESINADA, 6 UTILIZAÇÕES. AF_09/2020</t>
  </si>
  <si>
    <t xml:space="preserve"> 3.1.2 </t>
  </si>
  <si>
    <t xml:space="preserve"> 92762 </t>
  </si>
  <si>
    <t>ARMAÇÃO DE PILAR OU VIGA DE ESTRUTURA CONVENCIONAL DE CONCRETO ARMADO UTILIZANDO AÇO CA-50 DE 10,0 MM - MONTAGEM. AF_06/2022</t>
  </si>
  <si>
    <t xml:space="preserve"> 3.1.3 </t>
  </si>
  <si>
    <t xml:space="preserve"> 92763 </t>
  </si>
  <si>
    <t>ARMAÇÃO DE PILAR OU VIGA DE ESTRUTURA CONVENCIONAL DE CONCRETO ARMADO UTILIZANDO AÇO CA-50 DE 12,5 MM - MONTAGEM. AF_06/2022</t>
  </si>
  <si>
    <t xml:space="preserve"> 3.1.4 </t>
  </si>
  <si>
    <t xml:space="preserve"> 92764 </t>
  </si>
  <si>
    <t>ARMAÇÃO DE PILAR OU VIGA DE ESTRUTURA CONVENCIONAL DE CONCRETO ARMADO UTILIZANDO AÇO CA-50 DE 16,0 MM - MONTAGEM. AF_06/2022</t>
  </si>
  <si>
    <t xml:space="preserve"> 3.1.5 </t>
  </si>
  <si>
    <t xml:space="preserve"> 92759 </t>
  </si>
  <si>
    <t>ARMAÇÃO DE PILAR OU VIGA DE ESTRUTURA CONVENCIONAL DE CONCRETO ARMADO UTILIZANDO AÇO CA-60 DE 5,0 MM - MONTAGEM. AF_06/2022</t>
  </si>
  <si>
    <t xml:space="preserve"> 3.1.6 </t>
  </si>
  <si>
    <t xml:space="preserve"> CPU2284 </t>
  </si>
  <si>
    <t>CONCRETAGEM DE PILARES, FCK = 30 MPA, COM USO DE BOMBA - LANÇAMENTO, ADENSAMENTO E ACABAMENTO. AF_02/2022_PS</t>
  </si>
  <si>
    <t xml:space="preserve"> 3.2 </t>
  </si>
  <si>
    <t>VIGAS</t>
  </si>
  <si>
    <t xml:space="preserve"> 3.2.1 </t>
  </si>
  <si>
    <t xml:space="preserve"> 92460 </t>
  </si>
  <si>
    <t>MONTAGEM E DESMONTAGEM DE FÔRMA DE VIGA, ESCORAMENTO METÁLICO, PÉ-DIREITO SIMPLES, EM CHAPA DE MADEIRA RESINADA, 6 UTILIZAÇÕES. AF_09/2020</t>
  </si>
  <si>
    <t xml:space="preserve"> 3.2.2 </t>
  </si>
  <si>
    <t xml:space="preserve"> 92760 </t>
  </si>
  <si>
    <t>ARMAÇÃO DE PILAR OU VIGA DE ESTRUTURA CONVENCIONAL DE CONCRETO ARMADO UTILIZANDO AÇO CA-50 DE 6,3 MM - MONTAGEM. AF_06/2022</t>
  </si>
  <si>
    <t xml:space="preserve"> 3.2.3 </t>
  </si>
  <si>
    <t xml:space="preserve"> 92761 </t>
  </si>
  <si>
    <t>ARMAÇÃO DE PILAR OU VIGA DE ESTRUTURA CONVENCIONAL DE CONCRETO ARMADO UTILIZANDO AÇO CA-50 DE 8,0 MM - MONTAGEM. AF_06/2022</t>
  </si>
  <si>
    <t xml:space="preserve"> 3.2.4 </t>
  </si>
  <si>
    <t xml:space="preserve"> 3.2.5 </t>
  </si>
  <si>
    <t xml:space="preserve"> 3.2.6 </t>
  </si>
  <si>
    <t xml:space="preserve"> 3.2.7 </t>
  </si>
  <si>
    <t xml:space="preserve"> 92765 </t>
  </si>
  <si>
    <t>ARMAÇÃO DE PILAR OU VIGA DE ESTRUTURA CONVENCIONAL DE CONCRETO ARMADO UTILIZANDO AÇO CA-50 DE 20,0 MM - MONTAGEM. AF_06/2022</t>
  </si>
  <si>
    <t xml:space="preserve"> 3.2.8 </t>
  </si>
  <si>
    <t xml:space="preserve"> 3.2.9 </t>
  </si>
  <si>
    <t xml:space="preserve"> CPU2283 </t>
  </si>
  <si>
    <t>CONCRETAGEM DE VIGAS E LAJES, FCK=30 MPA, PARA LAJES MACIÇAS OU NERVURADAS COM USO DE BOMBA - LANÇAMENTO, ADENSAMENTO E ACABAMENTO.</t>
  </si>
  <si>
    <t>un</t>
  </si>
  <si>
    <t xml:space="preserve"> 3.3 </t>
  </si>
  <si>
    <t>LAJES</t>
  </si>
  <si>
    <t xml:space="preserve"> 3.3.1 </t>
  </si>
  <si>
    <t xml:space="preserve"> 92515 </t>
  </si>
  <si>
    <t>MONTAGEM E DESMONTAGEM DE FÔRMA DE LAJE MACIÇA, PÉ-DIREITO DUPLO, EM CHAPA DE MADEIRA COMPENSADA RESINADA, 6 UTILIZAÇÕES. AF_09/2020</t>
  </si>
  <si>
    <t xml:space="preserve"> 3.3.2 </t>
  </si>
  <si>
    <t xml:space="preserve"> 92768 </t>
  </si>
  <si>
    <t>ARMAÇÃO DE LAJE DE ESTRUTURA CONVENCIONAL DE CONCRETO ARMADO UTILIZANDO AÇO CA-60 DE 5,0 MM - MONTAGEM. AF_06/2022</t>
  </si>
  <si>
    <t xml:space="preserve"> 3.3.3 </t>
  </si>
  <si>
    <t xml:space="preserve"> 92769 </t>
  </si>
  <si>
    <t>ARMAÇÃO DE LAJE DE ESTRUTURA CONVENCIONAL DE CONCRETO ARMADO UTILIZANDO AÇO CA-50 DE 6,3 MM - MONTAGEM. AF_06/2022</t>
  </si>
  <si>
    <t xml:space="preserve"> 3.3.4 </t>
  </si>
  <si>
    <t xml:space="preserve"> 92770 </t>
  </si>
  <si>
    <t>ARMAÇÃO DE LAJE DE ESTRUTURA CONVENCIONAL DE CONCRETO ARMADO UTILIZANDO AÇO CA-50 DE 8,0 MM - MONTAGEM. AF_06/2022</t>
  </si>
  <si>
    <t xml:space="preserve"> 3.3.5 </t>
  </si>
  <si>
    <t xml:space="preserve"> 92771 </t>
  </si>
  <si>
    <t>ARMAÇÃO DE LAJE DE ESTRUTURA CONVENCIONAL DE CONCRETO ARMADO UTILIZANDO AÇO CA-50 DE 10,0 MM - MONTAGEM. AF_06/2022</t>
  </si>
  <si>
    <t xml:space="preserve"> 3.3.6 </t>
  </si>
  <si>
    <t xml:space="preserve"> 92772 </t>
  </si>
  <si>
    <t>ARMAÇÃO DE LAJE DE ESTRUTURA CONVENCIONAL DE CONCRETO ARMADO UTILIZANDO AÇO CA-50 DE 12,5 MM - MONTAGEM. AF_06/2022</t>
  </si>
  <si>
    <t xml:space="preserve"> 3.3.7 </t>
  </si>
  <si>
    <t xml:space="preserve"> 3.3.8 </t>
  </si>
  <si>
    <t xml:space="preserve"> CPU2100 </t>
  </si>
  <si>
    <t>Laje pré-fabricada unidirecional em viga treliçada/lajota em EPS LT 16 (12 + 4), exceto capa de concreto</t>
  </si>
  <si>
    <t xml:space="preserve"> 3.3.9 </t>
  </si>
  <si>
    <t xml:space="preserve"> 101792 </t>
  </si>
  <si>
    <t>ESCORAMENTO DE FÔRMAS DE LAJE EM MADEIRA NÃO APARELHADA, PÉ-DIREITO SIMPLES, INCLUSO TRAVAMENTO, 4 UTILIZAÇÕES. AF_09/2020</t>
  </si>
  <si>
    <t xml:space="preserve"> 3.4 </t>
  </si>
  <si>
    <t>BASE RESERVATÓRIO</t>
  </si>
  <si>
    <t xml:space="preserve"> 3.4.1 </t>
  </si>
  <si>
    <t xml:space="preserve"> 97103 </t>
  </si>
  <si>
    <t>EXECUÇÃO DE RADIER, ESPESSURA DE 20 CM, FCK = 30 MPA, COM USO DE FORMAS EM MADEIRA SERRADA. AF_09/2021</t>
  </si>
  <si>
    <t xml:space="preserve"> 3.4.2 </t>
  </si>
  <si>
    <t xml:space="preserve"> 3.4.3 </t>
  </si>
  <si>
    <t xml:space="preserve"> 3.4.4 </t>
  </si>
  <si>
    <t xml:space="preserve"> 4 </t>
  </si>
  <si>
    <t>ALVENARIA, VEDAÇÕES E DIVISÓRIAS</t>
  </si>
  <si>
    <t xml:space="preserve"> 4.1 </t>
  </si>
  <si>
    <t>ALVENARIA DE VEDAÇÃO</t>
  </si>
  <si>
    <t xml:space="preserve"> 4.1.1 </t>
  </si>
  <si>
    <t xml:space="preserve"> 103322 </t>
  </si>
  <si>
    <t>ALVENARIA DE VEDAÇÃO DE BLOCOS CERÂMICOS FURADOS NA VERTICAL DE 9X19X39 CM (ESPESSURA 9 CM) E ARGAMASSA DE ASSENTAMENTO COM PREPARO EM BETONEIRA. AF_12/2021</t>
  </si>
  <si>
    <t xml:space="preserve"> 103324 </t>
  </si>
  <si>
    <t>ALVENARIA DE VEDAÇÃO DE BLOCOS CERÂMICOS FURADOS NA VERTICAL DE 14X19X39 CM (ESPESSURA 14 CM) E ARGAMASSA DE ASSENTAMENTO COM PREPARO EM BETONEIRA. AF_12/2021</t>
  </si>
  <si>
    <t xml:space="preserve"> 93191 </t>
  </si>
  <si>
    <t>VERGA MOLDADA IN LOCO COM UTILIZAÇÃO DE BLOCOS CANALETA, ESPESSURA DE *20* CM. AF_03/2024</t>
  </si>
  <si>
    <t>M</t>
  </si>
  <si>
    <t xml:space="preserve"> 93199 </t>
  </si>
  <si>
    <t>CONTRAVERGA MOLDADA IN LOCO COM UTILIZAÇÃO DE BLOCOS CANALETA, ESPESSURA DE *20* CM. AF_03/2024</t>
  </si>
  <si>
    <t xml:space="preserve"> 4.2 </t>
  </si>
  <si>
    <t>DRYWALL</t>
  </si>
  <si>
    <t xml:space="preserve"> 4.2.1 </t>
  </si>
  <si>
    <t xml:space="preserve"> 96359 </t>
  </si>
  <si>
    <t>PAREDE COM SISTEMA EM CHAPAS DE GESSO PARA DRYWALL, USO INTERNO, COM DUAS FACES SIMPLES E ESTRUTURA METÁLICA COM GUIAS SIMPLES PARA PAREDES COM ÁREA LÍQUIDA MAIOR OU IGUAL A 6 M2, COM VÃOS. AF_07/2023_PS</t>
  </si>
  <si>
    <t xml:space="preserve"> 4.2.2 </t>
  </si>
  <si>
    <t xml:space="preserve"> CPU1942 </t>
  </si>
  <si>
    <t>PAREDE COM SISTEMA EM CHAPAS DE GESSO RU PARA DRYWALL, USO INTERNO, COM DUAS FACES SIMPLES E ESTRUTURA METÁLICA COM GUIAS SIMPLES PARA PAREDES COM ÁREA LÍQUIDA MAIOR OU IGUAL A 6 M2, COM VÃOS. AF_07/2023_PS</t>
  </si>
  <si>
    <t xml:space="preserve"> 4.2.3 </t>
  </si>
  <si>
    <t xml:space="preserve"> CPU2285 </t>
  </si>
  <si>
    <t>PAREDE COM SISTEMA EM CHAPAS DE GESSO ST PARA DRYWALL COM ISOLAMENTO ACUSTICO, USO INTERNO, COM DUAS FACES SIMPLES E ESTRUTURA METÁLICA COM GUIAS SIMPLES PARA PAREDES COM ÁREA LÍQUIDA MAIOR OU IGUAL A 6 M2, COM VÃOS.</t>
  </si>
  <si>
    <t xml:space="preserve"> 4.2.4 </t>
  </si>
  <si>
    <t xml:space="preserve"> CPU2286 </t>
  </si>
  <si>
    <t>PAREDE COM SISTEMA EM CHAPAS DE GESSO RU PARA DRYWALL COM ISOLAMENTO ACUSTICO, USO INTERNO, COM DUAS FACES SIMPLES E ESTRUTURA METÁLICA COM GUIAS SIMPLES PARA PAREDES COM ÁREA LÍQUIDA MAIOR OU IGUAL A 6 M2, COM VÃOS.</t>
  </si>
  <si>
    <t xml:space="preserve"> 4.3 </t>
  </si>
  <si>
    <t>DIVISÓRIAS</t>
  </si>
  <si>
    <t xml:space="preserve"> 4.3.1 </t>
  </si>
  <si>
    <t xml:space="preserve"> 102257 </t>
  </si>
  <si>
    <t>DIVISORIA SANITÁRIA, TIPO CABINE, EM PAINEL DE GRANILITE, ESP = 3CM, ASSENTADO COM ARGAMASSA COLANTE AC III-E, EXCLUSIVE FERRAGENS. AF_01/2021</t>
  </si>
  <si>
    <t xml:space="preserve"> 4.3.2 </t>
  </si>
  <si>
    <t xml:space="preserve"> 4065 </t>
  </si>
  <si>
    <t>Divisoria Naval (painel com vidro), e=40mm, com perfis em aço - fornecimento e aplicação - Rev 02</t>
  </si>
  <si>
    <t xml:space="preserve"> 4.3.3 </t>
  </si>
  <si>
    <t xml:space="preserve"> 120220 </t>
  </si>
  <si>
    <t>SBC</t>
  </si>
  <si>
    <t>LAMBRI CHAPA ALUMINIO ANODIZADO EM PAREDES</t>
  </si>
  <si>
    <t xml:space="preserve"> 5 </t>
  </si>
  <si>
    <t>COBERTURA</t>
  </si>
  <si>
    <t xml:space="preserve"> 5.1 </t>
  </si>
  <si>
    <t xml:space="preserve"> 5.1.1 </t>
  </si>
  <si>
    <t xml:space="preserve"> 100776 </t>
  </si>
  <si>
    <t>ESTRUTURA TRELIÇADA DE COBERTURA, TIPO ARCO, COM LIGAÇÕES PARAFUSADAS, INCLUSOS PERFIS METÁLICOS, CHAPAS METÁLICAS, MÃO DE OBRA E TRANSPORTE COM GUINDASTE - FORNECIMENTO E INSTALAÇÃO. AF_01/2020_PSA</t>
  </si>
  <si>
    <t xml:space="preserve"> 5.1.2 </t>
  </si>
  <si>
    <t xml:space="preserve"> 100383 </t>
  </si>
  <si>
    <t>FABRICAÇÃO E INSTALAÇÃO DE PONTALETES DE MADEIRA NÃO APARELHADA PARA TELHADOS COM ATÉ 2 ÁGUAS E COM TELHA ONDULADA DE FIBROCIMENTO, ALUMÍNIO OU PLÁSTICA EM EDIFÍCIO RESIDENCIAL DE MÚLTIPLOS PAVIMENTOS, INCLUSO TRANSPORTE VERTICAL. AF_07/2019</t>
  </si>
  <si>
    <t xml:space="preserve"> 5.1.3 </t>
  </si>
  <si>
    <t xml:space="preserve"> 92543 </t>
  </si>
  <si>
    <t>TRAMA DE MADEIRA COMPOSTA POR TERÇAS PARA TELHADOS DE ATÉ 2 ÁGUAS PARA TELHA ONDULADA DE FIBROCIMENTO, METÁLICA, PLÁSTICA OU TERMOACÚSTICA, INCLUSO TRANSPORTE VERTICAL. AF_07/2019</t>
  </si>
  <si>
    <t xml:space="preserve"> 5.2 </t>
  </si>
  <si>
    <t>TELHAMENTO</t>
  </si>
  <si>
    <t xml:space="preserve"> 5.2.1 </t>
  </si>
  <si>
    <t xml:space="preserve"> 94216 </t>
  </si>
  <si>
    <t>TELHAMENTO COM TELHA METÁLICA TERMOACÚSTICA E = 30 MM, COM ATÉ 2 ÁGUAS, INCLUSO IÇAMENTO. AF_07/2019</t>
  </si>
  <si>
    <t xml:space="preserve"> 5.2.2 </t>
  </si>
  <si>
    <t xml:space="preserve"> 100113 </t>
  </si>
  <si>
    <t>COBERTURA EM CHAPA POLICARBONATO ALVEOLAR 10mm</t>
  </si>
  <si>
    <t xml:space="preserve"> 5.3 </t>
  </si>
  <si>
    <t>COMPLEMENTOS</t>
  </si>
  <si>
    <t xml:space="preserve"> 5.3.1 </t>
  </si>
  <si>
    <t xml:space="preserve"> 94229 </t>
  </si>
  <si>
    <t>CALHA EM CHAPA DE AÇO GALVANIZADO NÚMERO 24, DESENVOLVIMENTO DE 100 CM, INCLUSO TRANSPORTE VERTICAL. AF_07/2019</t>
  </si>
  <si>
    <t xml:space="preserve"> 5.3.2 </t>
  </si>
  <si>
    <t xml:space="preserve"> 94231 </t>
  </si>
  <si>
    <t>RUFO EM CHAPA DE AÇO GALVANIZADO NÚMERO 24, CORTE DE 25 CM, INCLUSO TRANSPORTE VERTICAL. AF_07/2019</t>
  </si>
  <si>
    <t xml:space="preserve"> 6 </t>
  </si>
  <si>
    <t>IMPERMEABILIZAÇÃO</t>
  </si>
  <si>
    <t xml:space="preserve"> 6.1 </t>
  </si>
  <si>
    <t xml:space="preserve"> 98556 </t>
  </si>
  <si>
    <t>IMPERMEABILIZIMPERMEABILIZAÇÃO DE SUPERFÍCIE COM ARGAMASSA POLIMÉRICA / MEMBRANA ACRÍLICA, 4 DEMÃOS, REFORÇADA COM VÉU DE POLIÉSTER (MAV). AF_09/2023</t>
  </si>
  <si>
    <t xml:space="preserve"> 6.2 </t>
  </si>
  <si>
    <t xml:space="preserve"> 98555 </t>
  </si>
  <si>
    <t>IMPERMEABILIZAÇÃO DE SUPERFÍCIE COM ARGAMASSA POLIMÉRICA / MEMBRANA ACRÍLICA, 3 DEMÃOS. AF_09/2023</t>
  </si>
  <si>
    <t xml:space="preserve"> 7 </t>
  </si>
  <si>
    <t>ESQUADRIAS</t>
  </si>
  <si>
    <t xml:space="preserve"> 7.1 </t>
  </si>
  <si>
    <t>ESQUADRIAS DE MADEIRA</t>
  </si>
  <si>
    <t xml:space="preserve"> 7.1.1 </t>
  </si>
  <si>
    <t>PORTAS DE MADEIRA</t>
  </si>
  <si>
    <t xml:space="preserve"> 7.1.1.1 </t>
  </si>
  <si>
    <t xml:space="preserve"> 90844 </t>
  </si>
  <si>
    <t>KIT DE PORTA DE MADEIRA PARA PINTURA, SEMI-OCA (LEVE OU MÉDIA), PADRÃO MÉDIO, 90X210CM, ESPESSURA DE 3,5CM, ITENS INCLUSOS: DOBRADIÇAS, MONTAGEM E INSTALAÇÃO DO BATENTE, FECHADURA COM EXECUÇÃO DO FURO - FORNECIMENTO E INSTALAÇÃO. AF_12/2019</t>
  </si>
  <si>
    <t xml:space="preserve"> 7.1.1.2 </t>
  </si>
  <si>
    <t xml:space="preserve"> 90843 </t>
  </si>
  <si>
    <t>KIT DE PORTA DE MADEIRA PARA PINTURA, SEMI-OCA (LEVE OU MÉDIA), PADRÃO MÉDIO, 80X210CM, ESPESSURA DE 3,5CM, ITENS INCLUSOS: DOBRADIÇAS, MONTAGEM E INSTALAÇÃO DO BATENTE, FECHADURA COM EXECUÇÃO DO FURO - FORNECIMENTO E INSTALAÇÃO. AF_12/2019</t>
  </si>
  <si>
    <t xml:space="preserve"> 7.1.1.3 </t>
  </si>
  <si>
    <t xml:space="preserve"> 110015 </t>
  </si>
  <si>
    <t>PORTA COMPLETA MADEIRA 1 FL.1,20x2,10m-INTERNA</t>
  </si>
  <si>
    <t xml:space="preserve"> 7.1.1.4 </t>
  </si>
  <si>
    <t xml:space="preserve"> 23.08.242 </t>
  </si>
  <si>
    <t>PORTA LISA DE CORRER SUSPENSA EM MADEIRA COM BATENTE</t>
  </si>
  <si>
    <t xml:space="preserve"> 7.1.1.5 </t>
  </si>
  <si>
    <t xml:space="preserve"> 110016 </t>
  </si>
  <si>
    <t>PORTA COMPLETA MADEIRA 2 FL.1,60x2,10m LISA FER.VAI-E-VEM</t>
  </si>
  <si>
    <t xml:space="preserve"> 7.2 </t>
  </si>
  <si>
    <t>ESQUADRIAS DE ALUMÍNIO</t>
  </si>
  <si>
    <t xml:space="preserve"> 7.2.1 </t>
  </si>
  <si>
    <t>PORTAS DE ALUMÍNIO</t>
  </si>
  <si>
    <t xml:space="preserve"> 7.2.1.1 </t>
  </si>
  <si>
    <t xml:space="preserve"> 91338 </t>
  </si>
  <si>
    <t>PORTA DE ALUMÍNIO DE ABRIR COM LAMBRI, COM GUARNIÇÃO, FIXAÇÃO COM PARAFUSOS - FORNECIMENTO E INSTALAÇÃO. AF_12/2019</t>
  </si>
  <si>
    <t xml:space="preserve"> 7.2.1.2 </t>
  </si>
  <si>
    <t xml:space="preserve"> 25.02.110 </t>
  </si>
  <si>
    <t>PORTA VENEZIANA DE ABRIR EM ALUMÍNIO, SOB MEDIDA</t>
  </si>
  <si>
    <t xml:space="preserve"> 7.2.1.3 </t>
  </si>
  <si>
    <t xml:space="preserve"> 14.003.0205-A </t>
  </si>
  <si>
    <t>EMOP</t>
  </si>
  <si>
    <t>PORTA DE ALUMINIO ANODIZADO AO NATURAL,EM 2 FOLHAS DE ABRIR, TENDO 1 CONTRAPINAZIO DIVIDINDO A ESQUADRIA EM 2 VAZIOS PARA VIDRO,EM PERFIS SERIE 25,EXCLUSIVE FECHADURA.FORNECIMENTO E COLOCACAO 3%-DESGASTE DE FERRAMENTAS E EPI 39%-ANODIZACAO E ACESSORIOS</t>
  </si>
  <si>
    <t xml:space="preserve"> 7.2.1.4 </t>
  </si>
  <si>
    <t xml:space="preserve"> 24.02.460 </t>
  </si>
  <si>
    <t>PORTA DE ABRIR EM TELA ONDULADA DE AÇO GALVANIZADO, COMPLETA</t>
  </si>
  <si>
    <t xml:space="preserve"> 7.2.1.5 </t>
  </si>
  <si>
    <t xml:space="preserve"> 112370 </t>
  </si>
  <si>
    <t>PORTA ALUMINIO ANODIZADO NATURAL 1 FOLHA DE ABRIR</t>
  </si>
  <si>
    <t xml:space="preserve"> 7.2.1.6 </t>
  </si>
  <si>
    <t xml:space="preserve"> 12220 </t>
  </si>
  <si>
    <t>Portão/porta em alumínio cor N/B/P, de abrir, 02 fls, vazado, em tubo quadrado 3"x1.1/2" horizontais e engradado e 1.1/2"x1.1/2" verticais, com espaçamento de 12cm.</t>
  </si>
  <si>
    <t xml:space="preserve"> 7.2.2 </t>
  </si>
  <si>
    <t>JANELAS DE ALUMÍNIO</t>
  </si>
  <si>
    <t xml:space="preserve"> 7.2.2.1 </t>
  </si>
  <si>
    <t xml:space="preserve"> 94569 </t>
  </si>
  <si>
    <t>JANELA DE ALUMÍNIO TIPO MAXIM-AR, COM VIDROS, BATENTE E FERRAGENS. EXCLUSIVE ALIZAR, ACABAMENTO E CONTRAMARCO. FORNECIMENTO E INSTALAÇÃO. AF_12/2019</t>
  </si>
  <si>
    <t xml:space="preserve"> 7.2.2.2 </t>
  </si>
  <si>
    <t xml:space="preserve"> 94573 </t>
  </si>
  <si>
    <t>JANELA DE ALUMÍNIO DE CORRER COM 4 FOLHAS PARA VIDROS, COM VIDROS, BATENTE, ACABAMENTO COM ACETATO OU BRILHANTE E FERRAGENS. EXCLUSIVE ALIZAR E CONTRAMARCO. FORNECIMENTO E INSTALAÇÃO. AF_12/2019</t>
  </si>
  <si>
    <t xml:space="preserve"> 7.2.2.3 </t>
  </si>
  <si>
    <t xml:space="preserve"> 94570 </t>
  </si>
  <si>
    <t>JANELA DE ALUMÍNIO DE CORRER COM 2 FOLHAS PARA VIDROS, COM VIDROS, BATENTE, ACABAMENTO COM ACETATO OU BRILHANTE E FERRAGENS. EXCLUSIVE ALIZAR E CONTRAMARCO. FORNECIMENTO E INSTALAÇÃO. AF_12/2019</t>
  </si>
  <si>
    <t xml:space="preserve"> 7.3 </t>
  </si>
  <si>
    <t>ESQUADRIAS METÁLICAS</t>
  </si>
  <si>
    <t xml:space="preserve"> 7.3.1 </t>
  </si>
  <si>
    <t>PORTAS METÁLICAS</t>
  </si>
  <si>
    <t xml:space="preserve"> 7.3.1.1 </t>
  </si>
  <si>
    <t xml:space="preserve"> 12098 </t>
  </si>
  <si>
    <t>Porta corta fogo, de abrir, 02 folhas, em chapa de aço galvanizado nº24, batente em chapa nº18, classe 90, isolante em manta cerâmica incombustível e=5cm,dobradiças tipo helicoidal em aço 1010/1020, e fechadura reversível sem chave</t>
  </si>
  <si>
    <t xml:space="preserve"> 7.4 </t>
  </si>
  <si>
    <t>ACESSÓRIOS</t>
  </si>
  <si>
    <t xml:space="preserve"> 7.4.1 </t>
  </si>
  <si>
    <t xml:space="preserve"> 28.20.650 </t>
  </si>
  <si>
    <t>PUXADOR DUPLO EM AÇO INOXIDÁVEL, PARA PORTA DE MADEIRA, ALUMÍNIO OU VIDRO, DE 350 MM</t>
  </si>
  <si>
    <t xml:space="preserve"> 7.4.2 </t>
  </si>
  <si>
    <t xml:space="preserve"> 13110 </t>
  </si>
  <si>
    <t>Barra de apoio, reta, fixa, em aço inox, l=40cm, d=1 1/4", Jackwal ou similar</t>
  </si>
  <si>
    <t xml:space="preserve"> 7.4.3 </t>
  </si>
  <si>
    <t xml:space="preserve"> 112597 </t>
  </si>
  <si>
    <t>ALIZAR ALUMINIO PINTURA ELETROSTATICA BRANCA</t>
  </si>
  <si>
    <t xml:space="preserve"> 7.4.4 </t>
  </si>
  <si>
    <t xml:space="preserve"> 140560 </t>
  </si>
  <si>
    <t>MOLA AEREA COM CALHA/BRACO DESLIZANTE</t>
  </si>
  <si>
    <t xml:space="preserve"> 7.4.5 </t>
  </si>
  <si>
    <t xml:space="preserve"> 28.01.550 </t>
  </si>
  <si>
    <t>FECHADURA COM MAÇANETA TIPO ALAVANCA EM AÇO INOXIDÁVEL, PARA PORTA EXTERNA</t>
  </si>
  <si>
    <t xml:space="preserve"> 7.4.6 </t>
  </si>
  <si>
    <t xml:space="preserve"> 100709 </t>
  </si>
  <si>
    <t>DOBRADIÇA EM AÇO/FERRO, 3" X 21/2", E=1,9 A 2MM, SEN ANEL, CROMADO OU ZINCADO, TAMPA BOLA, COM PARAFUSOS. AF_12/2019</t>
  </si>
  <si>
    <t xml:space="preserve"> 7.4.7 </t>
  </si>
  <si>
    <t xml:space="preserve"> 110108 </t>
  </si>
  <si>
    <t>GUICHE COM REQUADRO EM MADEIRA DE LEI - VASADO</t>
  </si>
  <si>
    <t xml:space="preserve"> 8 </t>
  </si>
  <si>
    <t>REVESTIMENTO DE PAREDE</t>
  </si>
  <si>
    <t xml:space="preserve"> 8.1 </t>
  </si>
  <si>
    <t>REVESTIMENTO ARGAMASSADO</t>
  </si>
  <si>
    <t xml:space="preserve"> 8.1.1 </t>
  </si>
  <si>
    <t xml:space="preserve"> 87905 </t>
  </si>
  <si>
    <t>CHAPISCO APLICADO EM ALVENARIA (COM PRESENÇA DE VÃOS) E ESTRUTURAS DE CONCRETO DE FACHADA, COM COLHER DE PEDREIRO.  ARGAMASSA TRAÇO 1:3 COM PREPARO EM BETONEIRA 400L. AF_10/2022</t>
  </si>
  <si>
    <t xml:space="preserve"> 8.1.2 </t>
  </si>
  <si>
    <t xml:space="preserve"> 104958 </t>
  </si>
  <si>
    <t>MASSA ÚNICA, EM ARGAMASSA TRAÇO 1:2:8 PREPARO MECÂNICO, APLICADA MANUALMENTE EM PAREDES INTERNAS DE AMBIENTES COM ÁREA MAIOR QUE 10M², E = 10MM, COM TALISCAS. AF_03/2024</t>
  </si>
  <si>
    <t xml:space="preserve"> 8.1.3 </t>
  </si>
  <si>
    <t xml:space="preserve"> 87553 </t>
  </si>
  <si>
    <t>EMBOÇO, EM ARGAMASSA TRAÇO 1:2:8, PREPARO MECÂNICO, APLICADO MANUALMENTE EM PAREDES INTERNAS DE AMBIENTES COM ÁREA MAIOR QUE 10M², E = 10MM, COM TALISCAS. AF_03/2024</t>
  </si>
  <si>
    <t xml:space="preserve"> 8.2 </t>
  </si>
  <si>
    <t>REVESTIMENTO CERÂMICO</t>
  </si>
  <si>
    <t xml:space="preserve"> 8.2.1 </t>
  </si>
  <si>
    <t xml:space="preserve"> 104611 </t>
  </si>
  <si>
    <t>REVESTIMENTO CERÂMICO PARA PAREDES INTERNAS COM PLACAS TIPO ESMALTADA EXTRA DE DIMENSÕES 60X60 CM APLICADAS NA ALTURA INTEIRA DAS PAREDES. AF_02/2023_PE</t>
  </si>
  <si>
    <t xml:space="preserve"> 102722 </t>
  </si>
  <si>
    <t>DRENO EM MURO DE CONTENÇÃO, EXECUTADO NO PÉ DO MURO, COM TUBO DE PEAD CORRUGADO FLEXÍVEL PERFURADO, ENCHIMENTO COM BRITA, ENVOLVIDO COM MANTA GEOTÊXTIL. AF_07/2021</t>
  </si>
  <si>
    <t>REVESTIMENTO DE PISO INTERNO</t>
  </si>
  <si>
    <t xml:space="preserve"> 94995 </t>
  </si>
  <si>
    <t>EXECUÇÃO DE PASSEIO (CALÇADA) OU PISO DE CONCRETO COM CONCRETO MOLDADO IN LOCO, USINADO, ACABAMENTO CONVENCIONAL, ESPESSURA 8 CM, ARMADO. AF_08/2022</t>
  </si>
  <si>
    <t xml:space="preserve"> 2180 </t>
  </si>
  <si>
    <t>Regularização de base para revest. de pisos com arg. traço t4, esp. média = 2,5cm</t>
  </si>
  <si>
    <t>GRANILITE</t>
  </si>
  <si>
    <t xml:space="preserve"> 10168 </t>
  </si>
  <si>
    <t>Piso alta resistencia, colorido, e=10mm, aplicado com juntas, polido até o esmeril 400 e encerado</t>
  </si>
  <si>
    <t xml:space="preserve"> 12623 </t>
  </si>
  <si>
    <t>Piso alta resistência ou industrial de 12 mm, comum, cor cinza, com juntas plásticas, sem polimento, ecclusive argamassa de regularização, aplicado</t>
  </si>
  <si>
    <t>RODAPÉ</t>
  </si>
  <si>
    <t xml:space="preserve"> 11233 </t>
  </si>
  <si>
    <t>Rodapé alta resistência, h = 10 cm, meia-cana</t>
  </si>
  <si>
    <t>REVESTIMENTO DE PISO EXTERNO</t>
  </si>
  <si>
    <t xml:space="preserve"> 94991 </t>
  </si>
  <si>
    <t>EXECUÇÃO DE PASSEIO (CALÇADA) OU PISO DE CONCRETO COM CONCRETO MOLDADO IN LOCO, USINADO C20, ACABAMENTO CONVENCIONAL, NÃO ARMADO. AF_08/2022</t>
  </si>
  <si>
    <t>REVESTIMENTO DE TETO</t>
  </si>
  <si>
    <t>FORRO</t>
  </si>
  <si>
    <t xml:space="preserve"> 96114 </t>
  </si>
  <si>
    <t>FORRO EM DRYWALL, PARA AMBIENTES COMERCIAIS, INCLUSIVE ESTRUTURA BIRECIONAL DE FIXAÇÃO. AF_08/2023_PS</t>
  </si>
  <si>
    <t>PINTURA</t>
  </si>
  <si>
    <t>PAREDES</t>
  </si>
  <si>
    <t xml:space="preserve"> 88485 </t>
  </si>
  <si>
    <t>FUNDO SELADOR ACRÍLICO, APLICAÇÃO MANUAL EM PAREDE, UMA DEMÃO. AF_04/2023</t>
  </si>
  <si>
    <t xml:space="preserve"> 88495 </t>
  </si>
  <si>
    <t>EMASSAMENTO COM MASSA LÁTEX, APLICAÇÃO EM PAREDE, UMA DEMÃO, LIXAMENTO MANUAL. AF_04/2023</t>
  </si>
  <si>
    <t xml:space="preserve"> 96130 </t>
  </si>
  <si>
    <t>APLICAÇÃO MANUAL DE MASSA ACRÍLICA EM PAREDES EXTERNAS DE CASAS, UMA DEMÃO. AF_03/2024</t>
  </si>
  <si>
    <t xml:space="preserve"> 104641 </t>
  </si>
  <si>
    <t>PINTURA LÁTEX ACRÍLICA ECONÔMICA, APLICAÇÃO MANUAL EM PAREDES, DUAS DEMÃOS. AF_04/2023</t>
  </si>
  <si>
    <t xml:space="preserve"> 95305 </t>
  </si>
  <si>
    <t>TEXTURA ACRÍLICA, APLICAÇÃO MANUAL EM PAREDE, UMA DEMÃO. AF_04/2023</t>
  </si>
  <si>
    <t>TETO</t>
  </si>
  <si>
    <t xml:space="preserve"> 88494 </t>
  </si>
  <si>
    <t>EMASSAMENTO COM MASSA LÁTEX, APLICAÇÃO EM TETO, UMA DEMÃO, LIXAMENTO MANUAL. AF_04/2023</t>
  </si>
  <si>
    <t xml:space="preserve"> 104639 </t>
  </si>
  <si>
    <t>PINTURA LÁTEX ACRÍLICA ECONÔMICA, APLICAÇÃO MANUAL EM TETO, DUAS DEMÃOS. AF_04/2023</t>
  </si>
  <si>
    <t xml:space="preserve"> 102197 </t>
  </si>
  <si>
    <t>PINTURA FUNDO NIVELADOR ALQUÍDICO BRANCO EM MADEIRA. AF_01/2021</t>
  </si>
  <si>
    <t xml:space="preserve"> 102219 </t>
  </si>
  <si>
    <t>PINTURA TINTA DE ACABAMENTO (PIGMENTADA) ESMALTE SINTÉTICO ACETINADO EM MADEIRA, 2 DEMÃOS. AF_01/2021</t>
  </si>
  <si>
    <t>MARMORARIA</t>
  </si>
  <si>
    <t xml:space="preserve"> 12492 </t>
  </si>
  <si>
    <t>Tampo/bancada em granito branco siena, e=2cm</t>
  </si>
  <si>
    <t>LOUÇAS, METAIS E ACESSÓRIOS</t>
  </si>
  <si>
    <t>EQUIPAMENTOS</t>
  </si>
  <si>
    <t xml:space="preserve"> 100860 </t>
  </si>
  <si>
    <t>CHUVEIRO ELÉTRICO COMUM CORPO PLÁSTICO, TIPO DUCHA - FORNECIMENTO E INSTALAÇÃO. AF_01/2020</t>
  </si>
  <si>
    <t>LOUÇAS</t>
  </si>
  <si>
    <t xml:space="preserve"> 86932 </t>
  </si>
  <si>
    <t>VASO SANITÁRIO SIFONADO COM CAIXA ACOPLADA LOUÇA BRANCA - PADRÃO MÉDIO, INCLUSO ENGATE FLEXÍVEL EM METAL CROMADO, 1/2  X 40CM - FORNECIMENTO E INSTALAÇÃO. AF_01/2020</t>
  </si>
  <si>
    <t xml:space="preserve"> 44.01.040 </t>
  </si>
  <si>
    <t>BACIA SIFONADA COM CAIXA DE DESCARGA ACOPLADA E TAMPA - INFANTIL</t>
  </si>
  <si>
    <t xml:space="preserve"> 86939 </t>
  </si>
  <si>
    <t>LAVATÓRIO LOUÇA BRANCA COM COLUNA, *44 X 35,5* CM, PADRÃO POPULAR, INCLUSO SIFÃO FLEXÍVEL EM PVC, VÁLVULA E ENGATE FLEXÍVEL 30CM EM PLÁSTICO E COM TORNEIRA CROMADA PADRÃO POPULAR - FORNECIMENTO E INSTALAÇÃO. AF_01/2020</t>
  </si>
  <si>
    <t xml:space="preserve"> 86919 </t>
  </si>
  <si>
    <t>TANQUE DE LOUÇA BRANCA COM COLUNA, 30L OU EQUIVALENTE, INCLUSO SIFÃO FLEXÍVEL EM PVC, VÁLVULA METÁLICA E TORNEIRA DE METAL CROMADO PADRÃO MÉDIO - FORNECIMENTO E INSTALAÇÃO. AF_01/2020</t>
  </si>
  <si>
    <t xml:space="preserve"> 170124 </t>
  </si>
  <si>
    <t>IOPES</t>
  </si>
  <si>
    <t>LAVATÓRIO DE CANTO REF. L101 DECA OU EQUIVALENTE, INCLUSIVE VÁLVULA, SIFÃO E ENGATES CROMADOS, EXCLUSIVE TORNEIRA</t>
  </si>
  <si>
    <t>und</t>
  </si>
  <si>
    <t xml:space="preserve"> 86901 </t>
  </si>
  <si>
    <t>CUBA DE EMBUTIR OVAL EM LOUÇA BRANCA, 35 X 50CM OU EQUIVALENTE - FORNECIMENTO E INSTALAÇÃO. AF_01/2020</t>
  </si>
  <si>
    <t xml:space="preserve"> 44.01.850 </t>
  </si>
  <si>
    <t>CUBA DE LOUÇA DE EMBUTIR REDONDA</t>
  </si>
  <si>
    <t>METAIS E ACESSÓRIOS</t>
  </si>
  <si>
    <t xml:space="preserve"> 44.02.200 </t>
  </si>
  <si>
    <t>TAMPO/BANCADA EM CONCRETO ARMADO, REVESTIDO EM AÇO INOXIDÁVEL FOSCO POLIDO</t>
  </si>
  <si>
    <t xml:space="preserve"> 13262 </t>
  </si>
  <si>
    <t>Funil Expurgo Hospitalar de aço inox 304  290x300mm e= 0,8mm Sem mesa para embutir - Mirnox ou similar</t>
  </si>
  <si>
    <t xml:space="preserve"> 86900 </t>
  </si>
  <si>
    <t>CUBA DE EMBUTIR RETANGULAR DE AÇO INOXIDÁVEL, 46 X 30 X 12 CM - FORNECIMENTO E INSTALAÇÃO. AF_01/2020</t>
  </si>
  <si>
    <t xml:space="preserve"> 86913 </t>
  </si>
  <si>
    <t>TORNEIRA CROMADA 1/2" OU 3/4" PARA TANQUE, PADRÃO POPULAR - FORNECIMENTO E INSTALAÇÃO. AF_01/2020</t>
  </si>
  <si>
    <t xml:space="preserve"> 44.03.300 </t>
  </si>
  <si>
    <t>TORNEIRA CLÍNICA COM VOLANTE TIPO ALAVANCA</t>
  </si>
  <si>
    <t xml:space="preserve"> 44.03.316 </t>
  </si>
  <si>
    <t>TORNEIRA MISTURADOR CLÍNICA DE MESA COM AREJADOR ARTICULADO, ACIONAMENTO COTOVELO</t>
  </si>
  <si>
    <t xml:space="preserve"> 9676 </t>
  </si>
  <si>
    <t>Torneira de mesa com fechamento automático, linha Decamatic Eco, ref.1173.C, DECA ou similar</t>
  </si>
  <si>
    <t xml:space="preserve"> 9503 </t>
  </si>
  <si>
    <t>Ducha higiênica com registro, linha Dream, ref. 1984.C87.ACT.CR, da DECA ou similar</t>
  </si>
  <si>
    <t xml:space="preserve"> 13113 </t>
  </si>
  <si>
    <t>Barra de apoio, reta, fixa, em aço inox, l=80cm, d=1 1/4", Jackwal ou similar</t>
  </si>
  <si>
    <t xml:space="preserve"> 100867 </t>
  </si>
  <si>
    <t>BARRA DE APOIO RETA, EM ACO INOX POLIDO, COMPRIMENTO 70 CM,  FIXADA NA PAREDE - FORNECIMENTO E INSTALAÇÃO. AF_01/2020</t>
  </si>
  <si>
    <t xml:space="preserve"> 170602 </t>
  </si>
  <si>
    <t>Barra de apoio reta em aço inox 304 p/ portadores de necessidades especiais (NBR 9050), largura 60 cm</t>
  </si>
  <si>
    <t xml:space="preserve"> 100875 </t>
  </si>
  <si>
    <t>BANCO ARTICULADO, EM ACO INOX, PARA PCD, FIXADO NA PAREDE - FORNECIMENTO E INSTALAÇÃO. AF_01/2020</t>
  </si>
  <si>
    <t xml:space="preserve"> CPU2105 </t>
  </si>
  <si>
    <t>RALO SECO PVC QUADRADO 15x15 COM GRELHA</t>
  </si>
  <si>
    <t xml:space="preserve"> 18.050.0120-A </t>
  </si>
  <si>
    <t>ESTACAO DE CHAMADA DE LEITO,COM INTERRUPTOR DE EMBUTIR COM C OMANDOS DE CHAMADAS,EMERGENCIA E PRESENCA,FIXADA SOBRE CAIXA 4"X4" EMBUTIDA NA PAREDE.FORNECIMENTO E COLOCACAO 3%-DESGASTE DE FERRAMENTAS E EPI</t>
  </si>
  <si>
    <t>INSTALAÇÕES HIDROSSANITÁRIAS</t>
  </si>
  <si>
    <t>HIDRÁULICA</t>
  </si>
  <si>
    <t xml:space="preserve"> 054668 </t>
  </si>
  <si>
    <t>ACOPLAMENTO RANHURADO EM FERRO FUNDIDO DN 60,3mm 2""</t>
  </si>
  <si>
    <t xml:space="preserve"> 103039 </t>
  </si>
  <si>
    <t>REGISTRO DE ESFERA, PVC, ROSCÁVEL, COM VOLANTE, 1 1/2" - FORNECIMENTO E INSTALAÇÃO. AF_08/2021</t>
  </si>
  <si>
    <t xml:space="preserve"> 94681 </t>
  </si>
  <si>
    <t>CURVA 90 GRAUS, PVC, SOLDÁVEL, DN 60 MM, INSTALADO EM RESERVAÇÃO DE ÁGUA DE EDIFICAÇÃO QUE POSSUA RESERVATÓRIO DE FIBRA/FIBROCIMENTO   FORNECIMENTO E INSTALAÇÃO. AF_06/2016</t>
  </si>
  <si>
    <t xml:space="preserve"> 94662 </t>
  </si>
  <si>
    <t>ADAPTADOR CURTO COM BOLSA E ROSCA PARA REGISTRO, PVC, SOLDÁVEL, DN 50 MM X 1 1/2 , INSTALADO EM RESERVAÇÃO DE ÁGUA DE EDIFICAÇÃO QUE POSSUA RESERVATÓRIO DE FIBRA/FIBROCIMENTO   FORNECIMENTO E INSTALAÇÃO. AF_06/2016</t>
  </si>
  <si>
    <t xml:space="preserve"> 103986 </t>
  </si>
  <si>
    <t>CURVA 90 GRAUS, PVC, SOLDÁVEL, DN 50MM, INSTALADO EM RAMAL DE DISTRIBUIÇÃO DE ÁGUA - FORNECIMENTO E INSTALAÇÃO. AF_06/2022</t>
  </si>
  <si>
    <t xml:space="preserve"> 103979 </t>
  </si>
  <si>
    <t>TUBO, PVC, SOLDÁVEL, DN 50MM, INSTALADO EM RAMAL DE DISTRIBUIÇÃO DE ÁGUA - FORNECIMENTO E INSTALAÇÃO. AF_06/2022</t>
  </si>
  <si>
    <t xml:space="preserve"> 104008 </t>
  </si>
  <si>
    <t>TE DE REDUÇÃO, 90 GRAUS, PVC, SOLDÁVEL, DN 50 MM X 32 MM, INSTALADO EM RAMAL DE DISTRIBUIÇÃO DE ÁGUA - FORNECIMENTO E INSTALAÇÃO. AF_06/2022</t>
  </si>
  <si>
    <t xml:space="preserve"> 45.03.110 </t>
  </si>
  <si>
    <t>HIDRÔMETRO EM BRONZE, DIÂMETRO DE 40 MM (1 1/2´)</t>
  </si>
  <si>
    <t>cj</t>
  </si>
  <si>
    <t xml:space="preserve"> 89353 </t>
  </si>
  <si>
    <t>REGISTRO DE GAVETA BRUTO, LATÃO, ROSCÁVEL, 3/4" - FORNECIMENTO E INSTALAÇÃO. AF_08/2021</t>
  </si>
  <si>
    <t xml:space="preserve"> 94794 </t>
  </si>
  <si>
    <t>REGISTRO DE GAVETA BRUTO, LATÃO, ROSCÁVEL, 1 1/2", COM ACABAMENTO E CANOPLA CROMADOS - FORNECIMENTO E INSTALAÇÃO. AF_08/2021</t>
  </si>
  <si>
    <t xml:space="preserve"> 89987 </t>
  </si>
  <si>
    <t>REGISTRO DE GAVETA BRUTO, LATÃO, ROSCÁVEL, 3/4", COM ACABAMENTO E CANOPLA CROMADOS - FORNECIMENTO E INSTALAÇÃO. AF_08/2021</t>
  </si>
  <si>
    <t xml:space="preserve"> 89985 </t>
  </si>
  <si>
    <t>REGISTRO DE PRESSÃO BRUTO, LATÃO, ROSCÁVEL, 3/4", COM ACABAMENTO E CANOPLA CROMADOS - FORNECIMENTO E INSTALAÇÃO. AF_08/2021</t>
  </si>
  <si>
    <t xml:space="preserve"> 92365 </t>
  </si>
  <si>
    <t>TUBO DE AÇO GALVANIZADO COM COSTURA, CLASSE MÉDIA, DN 40 (1 1/2"), CONEXÃO ROSQUEADA, INSTALADO EM REDE DE ALIMENTAÇÃO PARA HIDRANTE - FORNECIMENTO E INSTALAÇÃO. AF_10/2020</t>
  </si>
  <si>
    <t xml:space="preserve"> 92336 </t>
  </si>
  <si>
    <t>TUBO DE AÇO GALVANIZADO COM COSTURA, CLASSE MÉDIA, CONEXÃO RANHURADA, DN 65 (2 1/2"), INSTALADO EM PRUMADAS - FORNECIMENTO E INSTALAÇÃO. AF_10/2020</t>
  </si>
  <si>
    <t xml:space="preserve"> 89373 </t>
  </si>
  <si>
    <t>LUVA DE REDUÇÃO, PVC, SOLDÁVEL, DN 25MM X 20MM, INSTALADO EM RAMAL OU SUB-RAMAL DE ÁGUA - FORNECIMENTO E INSTALAÇÃO. AF_06/2022</t>
  </si>
  <si>
    <t xml:space="preserve"> 89593 </t>
  </si>
  <si>
    <t>LUVA COM ROSCA, PVC, SOLDÁVEL, DN 50MM X 1.1/2 , INSTALADO EM PRUMADA DE ÁGUA - FORNECIMENTO E INSTALAÇÃO. AF_06/2022</t>
  </si>
  <si>
    <t xml:space="preserve"> 94656 </t>
  </si>
  <si>
    <t>ADAPTADOR CURTO COM BOLSA E ROSCA PARA REGISTRO, PVC, SOLDÁVEL, DN  25 MM X 3/4 , INSTALADO EM RESERVAÇÃO DE ÁGUA DE EDIFICAÇÃO QUE POSSUA RESERVATÓRIO DE FIBRA/FIBROCIMENTO   FORNECIMENTO E INSTALAÇÃO. AF_06/2016</t>
  </si>
  <si>
    <t xml:space="preserve"> 104002 </t>
  </si>
  <si>
    <t>ADAPTADOR CURTO COM BOLSA E ROSCA PARA REGISTRO, PVC, SOLDÁVEL, DN 50MM X 1.1/4", INSTALADO EM RAMAL DE DISTRIBUIÇÃO DE ÁGUA - FORNECIMENTO E INSTALAÇÃO. AF_06/2022</t>
  </si>
  <si>
    <t xml:space="preserve"> 103966 </t>
  </si>
  <si>
    <t>BUCHA DE REDUÇÃO, LONGA, PVC, SOLDÁVEL, DN 50 X 25 MM, INSTALADO EM PRUMADA DE ÁGUA - FORNECIMENTO E INSTALAÇÃO. AF_06/2022</t>
  </si>
  <si>
    <t xml:space="preserve"> 89489 </t>
  </si>
  <si>
    <t>CURVA 90 GRAUS, PVC, SOLDÁVEL, DN 25MM, INSTALADO EM PRUMADA DE ÁGUA - FORNECIMENTO E INSTALAÇÃO. AF_06/2022</t>
  </si>
  <si>
    <t xml:space="preserve"> 89384 </t>
  </si>
  <si>
    <t>CURVA DE TRANSPOSIÇÃO, PVC, SOLDÁVEL, DN 25MM, INSTALADO EM RAMAL OU SUB-RAMAL DE ÁGUA   FORNECIMENTO E INSTALAÇÃO. AF_06/2022</t>
  </si>
  <si>
    <t xml:space="preserve"> 89530 </t>
  </si>
  <si>
    <t>LUVA DE CORRER, PVC, SOLDÁVEL, DN 25MM, INSTALADO EM PRUMADA DE ÁGUA - FORNECIMENTO E INSTALAÇÃO. AF_06/2022</t>
  </si>
  <si>
    <t xml:space="preserve"> 89577 </t>
  </si>
  <si>
    <t>LUVA DE CORRER, PVC, SOLDÁVEL, DN 50MM, INSTALADO EM PRUMADA DE ÁGUA - FORNECIMENTO E INSTALAÇÃO. AF_06/2022</t>
  </si>
  <si>
    <t xml:space="preserve"> 89356 </t>
  </si>
  <si>
    <t>TUBO, PVC, SOLDÁVEL, DN 25MM, INSTALADO EM RAMAL OU SUB-RAMAL DE ÁGUA - FORNECIMENTO E INSTALAÇÃO. AF_06/2022</t>
  </si>
  <si>
    <t xml:space="preserve"> 89869 </t>
  </si>
  <si>
    <t>TE, PVC, SOLDÁVEL, DN 25MM, INSTALADO EM DRENO DE AR-CONDICIONADO - FORNECIMENTO E INSTALAÇÃO. AF_08/2022</t>
  </si>
  <si>
    <t xml:space="preserve"> 89627 </t>
  </si>
  <si>
    <t>TÊ DE REDUÇÃO, PVC, SOLDÁVEL, DN 50MM X 25MM, INSTALADO EM PRUMADA DE ÁGUA - FORNECIMENTO E INSTALAÇÃO. AF_06/2022</t>
  </si>
  <si>
    <t xml:space="preserve"> 89366 </t>
  </si>
  <si>
    <t>JOELHO 90 GRAUS COM BUCHA DE LATÃO, PVC, SOLDÁVEL, DN 25MM, X 3/4  INSTALADO EM RAMAL OU SUB-RAMAL DE ÁGUA - FORNECIMENTO E INSTALAÇÃO. AF_06/2022</t>
  </si>
  <si>
    <t xml:space="preserve"> 90373 </t>
  </si>
  <si>
    <t>JOELHO 90 GRAUS COM BUCHA DE LATÃO, PVC, SOLDÁVEL, DN 25MM, X 1/2  INSTALADO EM RAMAL OU SUB-RAMAL DE ÁGUA - FORNECIMENTO E INSTALAÇÃO. AF_06/2022</t>
  </si>
  <si>
    <t xml:space="preserve"> 89396 </t>
  </si>
  <si>
    <t>TÊ COM BUCHA DE LATÃO NA BOLSA CENTRAL, PVC, SOLDÁVEL, DN 25MM X 1/2 , INSTALADO EM RAMAL OU SUB-RAMAL DE ÁGUA - FORNECIMENTO E INSTALAÇÃO. AF_06/2022</t>
  </si>
  <si>
    <t xml:space="preserve"> 94689 </t>
  </si>
  <si>
    <t>TÊ COM BUCHA DE LATÃO NA BOLSA CENTRAL, PVC, SOLDÁVEL, DN  25 MM X 3/4 , INSTALADO EM RESERVAÇÃO DE ÁGUA DE EDIFICAÇÃO QUE POSSUA RESERVATÓRIO DE FIBRA/FIBROCIMENTO   FORNECIMENTO E INSTALAÇÃO. AF_06/2016</t>
  </si>
  <si>
    <t xml:space="preserve"> COTAÇÃO-001/24 </t>
  </si>
  <si>
    <t>Reservatório tipo taça, coluna seca, metálico, com capacidade para 6000 litros, inclusive todos os componentes para fixação e instalação, frete, içamento e instalação no local</t>
  </si>
  <si>
    <t xml:space="preserve"> 94490 </t>
  </si>
  <si>
    <t>REGISTRO DE ESFERA, PVC, SOLDÁVEL, COM VOLANTE, DN  32 MM - FORNECIMENTO E INSTALAÇÃO. AF_08/2021</t>
  </si>
  <si>
    <t xml:space="preserve"> 47.05.020 </t>
  </si>
  <si>
    <t>VÁLVULA DE RETENÇÃO HORIZONTAL EM BRONZE, DN= 1´</t>
  </si>
  <si>
    <t xml:space="preserve"> 89436 </t>
  </si>
  <si>
    <t>ADAPTADOR CURTO COM BOLSA E ROSCA PARA REGISTRO, PVC, SOLDÁVEL, DN 32MM X 1 , INSTALADO EM RAMAL DE DISTRIBUIÇÃO DE ÁGUA - FORNECIMENTO E INSTALAÇÃO. AF_06/2022</t>
  </si>
  <si>
    <t xml:space="preserve"> 103948 </t>
  </si>
  <si>
    <t>BUCHA DE REDUÇÃO, CURTA, PVC, SOLDÁVEL, DN 32 X 25 MM, INSTALADO EM RAMAL OU SUB-RAMAL DE ÁGUA - FORNECIMENTO E INSTALAÇÃO. AF_06/2022</t>
  </si>
  <si>
    <t xml:space="preserve"> 89415 </t>
  </si>
  <si>
    <t>CURVA 90 GRAUS, PVC, SOLDÁVEL, DN 32MM, INSTALADO EM RAMAL DE DISTRIBUIÇÃO DE ÁGUA - FORNECIMENTO E INSTALAÇÃO. AF_06/2022</t>
  </si>
  <si>
    <t xml:space="preserve"> 47.20.320 </t>
  </si>
  <si>
    <t>FILTRO ´Y´ CORPO EM BRONZE, PRESSÃO DE SERVIÇO ATÉ 20,7 BAR (PN 20), DN= 1 1/2´</t>
  </si>
  <si>
    <t xml:space="preserve"> 89357 </t>
  </si>
  <si>
    <t>TUBO, PVC, SOLDÁVEL, DN 32MM, INSTALADO EM RAMAL OU SUB-RAMAL DE ÁGUA - FORNECIMENTO E INSTALAÇÃO. AF_06/2022</t>
  </si>
  <si>
    <t xml:space="preserve"> 89400 </t>
  </si>
  <si>
    <t>TÊ DE REDUÇÃO, PVC, SOLDÁVEL, DN 32MM X 25MM, INSTALADO EM RAMAL OU SUB-RAMAL DE ÁGUA - FORNECIMENTO E INSTALAÇÃO. AF_06/2022</t>
  </si>
  <si>
    <t>SANITÁRIA</t>
  </si>
  <si>
    <t xml:space="preserve"> 4883 </t>
  </si>
  <si>
    <t>Caixa de inspeção  0.60 x 0.60 x 0.60m</t>
  </si>
  <si>
    <t xml:space="preserve"> 104328 </t>
  </si>
  <si>
    <t>CAIXA SIFONADA, COM GRELHA QUADRADA, PVC, DN 150 X 150 X 50 MM, JUNTA SOLDÁVEL, FORNECIDA E INSTALADA EM RAMAL DE DESCARGA OU EM RAMAL DE ESGOTO SANITÁRIO. AF_08/2022</t>
  </si>
  <si>
    <t xml:space="preserve"> 89709 </t>
  </si>
  <si>
    <t>RALO SIFONADO, PVC, DN 100 X 40 MM, JUNTA SOLDÁVEL, FORNECIDO E INSTALADO EM RAMAL DE DESCARGA OU EM RAMAL DE ESGOTO SANITÁRIO. AF_08/2022</t>
  </si>
  <si>
    <t xml:space="preserve"> 86883 </t>
  </si>
  <si>
    <t>SIFÃO DO TIPO FLEXÍVEL EM PVC 1  X 1.1/2  - FORNECIMENTO E INSTALAÇÃO. AF_01/2020</t>
  </si>
  <si>
    <t xml:space="preserve"> 86882 </t>
  </si>
  <si>
    <t>SIFÃO DO TIPO GARRAFA/COPO EM PVC 1.1/4  X 1.1/2" - FORNECIMENTO E INSTALAÇÃO. AF_01/2020</t>
  </si>
  <si>
    <t xml:space="preserve"> 86879 </t>
  </si>
  <si>
    <t>VÁLVULA EM PLÁSTICO 1" PARA PIA, TANQUE OU LAVATÓRIO, COM OU SEM LADRÃO - FORNECIMENTO E INSTALAÇÃO. AF_01/2020</t>
  </si>
  <si>
    <t xml:space="preserve"> 104063 </t>
  </si>
  <si>
    <t>CURVA LONGA, 45 GRAUS, PVC OCRE, JUNTA ELÁSTICA, DN 100 MM, PARA COLETOR PREDIAL DE ESGOTO. AF_06/2022</t>
  </si>
  <si>
    <t xml:space="preserve"> 89811 </t>
  </si>
  <si>
    <t>CURVA CURTA 90 GRAUS, PVC, SERIE NORMAL, ESGOTO PREDIAL, DN 100 MM, JUNTA ELÁSTICA, FORNECIDO E INSTALADO EM PRUMADA DE ESGOTO SANITÁRIO OU VENTILAÇÃO. AF_08/2022</t>
  </si>
  <si>
    <t xml:space="preserve"> 89728 </t>
  </si>
  <si>
    <t>CURVA CURTA 90 GRAUS, PVC, SERIE NORMAL, ESGOTO PREDIAL, DN 40 MM, JUNTA SOLDÁVEL, FORNECIDO E INSTALADO EM RAMAL DE DESCARGA OU RAMAL DE ESGOTO SANITÁRIO. AF_08/2022</t>
  </si>
  <si>
    <t xml:space="preserve"> 89726 </t>
  </si>
  <si>
    <t>JOELHO 45 GRAUS, PVC, SERIE NORMAL, ESGOTO PREDIAL, DN 40 MM, JUNTA SOLDÁVEL, FORNECIDO E INSTALADO EM RAMAL DE DESCARGA OU RAMAL DE ESGOTO SANITÁRIO. AF_08/2022</t>
  </si>
  <si>
    <t xml:space="preserve"> 89732 </t>
  </si>
  <si>
    <t>JOELHO 45 GRAUS, PVC, SERIE NORMAL, ESGOTO PREDIAL, DN 50 MM, JUNTA ELÁSTICA, FORNECIDO E INSTALADO EM RAMAL DE DESCARGA OU RAMAL DE ESGOTO SANITÁRIO. AF_08/2022</t>
  </si>
  <si>
    <t xml:space="preserve"> 89739 </t>
  </si>
  <si>
    <t>JOELHO 45 GRAUS, PVC, SERIE NORMAL, ESGOTO PREDIAL, DN 75 MM, JUNTA ELÁSTICA, FORNECIDO E INSTALADO EM RAMAL DE DESCARGA OU RAMAL DE ESGOTO SANITÁRIO. AF_08/2022</t>
  </si>
  <si>
    <t xml:space="preserve"> 89731 </t>
  </si>
  <si>
    <t>JOELHO 90 GRAUS, PVC, SERIE NORMAL, ESGOTO PREDIAL, DN 50 MM, JUNTA ELÁSTICA, FORNECIDO E INSTALADO EM RAMAL DE DESCARGA OU RAMAL DE ESGOTO SANITÁRIO. AF_08/2022</t>
  </si>
  <si>
    <t xml:space="preserve"> 89724 </t>
  </si>
  <si>
    <t>JOELHO 90 GRAUS, PVC, SERIE NORMAL, ESGOTO PREDIAL, DN 40 MM, JUNTA SOLDÁVEL, FORNECIDO E INSTALADO EM RAMAL DE DESCARGA OU RAMAL DE ESGOTO SANITÁRIO. AF_08/2022</t>
  </si>
  <si>
    <t xml:space="preserve"> 104345 </t>
  </si>
  <si>
    <t>JUNÇÃO DE REDUÇÃO INVERTIDA, PVC, SÉRIE NORMAL, ESGOTO PREDIAL, DN 100 X 50 MM, JUNTA ELÁSTICA, FORNECIDO E INSTALADO EM RAMAL DE DESCARGA OU RAMAL DE ESGOTO SANITÁRIO. AF_08/2022</t>
  </si>
  <si>
    <t xml:space="preserve"> 104347 </t>
  </si>
  <si>
    <t>JUNÇÃO DE REDUCAO INVERTIDA, PVC, SÉRIE NORMAL, ESGOTO PREDIAL, DN 100 X 75 MM, JUNTA ELÁSTICA, FORNECIDO E INSTALADO EM RAMAL DE DESCARGA OU RAMAL DE ESGOTO SANITÁRIO. AF_08/2022</t>
  </si>
  <si>
    <t xml:space="preserve"> 89783 </t>
  </si>
  <si>
    <t>JUNÇÃO SIMPLES, PVC, SERIE NORMAL, ESGOTO PREDIAL, DN 40 MM, JUNTA SOLDÁVEL, FORNECIDO E INSTALADO EM RAMAL DE DESCARGA OU RAMAL DE ESGOTO SANITÁRIO. AF_08/2022</t>
  </si>
  <si>
    <t xml:space="preserve"> 89785 </t>
  </si>
  <si>
    <t>JUNÇÃO SIMPLES, PVC, SERIE NORMAL, ESGOTO PREDIAL, DN 50 X 50 MM, JUNTA ELÁSTICA, FORNECIDO E INSTALADO EM RAMAL DE DESCARGA OU RAMAL DE ESGOTO SANITÁRIO. AF_08/2022</t>
  </si>
  <si>
    <t xml:space="preserve"> 104350 </t>
  </si>
  <si>
    <t>JUNÇÃO DE REDUÇÃO INVERTIDA, PVC, SÉRIE NORMAL, ESGOTO PREDIAL, DN 75 X 50 MM, JUNTA ELÁSTICA, FORNECIDO E INSTALADO EM PRUMADA DE ESGOTO SANITÁRIO OU VENTILAÇÃO. AF_08/2022</t>
  </si>
  <si>
    <t xml:space="preserve"> 89795 </t>
  </si>
  <si>
    <t>JUNÇÃO SIMPLES, PVC, SERIE NORMAL, ESGOTO PREDIAL, DN 75 X 75 MM, JUNTA ELÁSTICA, FORNECIDO E INSTALADO EM RAMAL DE DESCARGA OU RAMAL DE ESGOTO SANITÁRIO. AF_08/2022</t>
  </si>
  <si>
    <t xml:space="preserve"> 89549 </t>
  </si>
  <si>
    <t>REDUÇÃO EXCÊNTRICA, PVC, SERIE R, ÁGUA PLUVIAL, DN 75 X 50 MM, JUNTA ELÁSTICA, FORNECIDO E INSTALADO EM RAMAL DE ENCAMINHAMENTO. AF_06/2022</t>
  </si>
  <si>
    <t xml:space="preserve"> 46.03.050 </t>
  </si>
  <si>
    <t>TUBO DE PVC RÍGIDO PXB COM VIROLA E ANEL DE BORRACHA, LINHA ESGOTO SÉRIE REFORÇADA ´R´, DN= 100 MM, INCLUSIVE CONEXÕES</t>
  </si>
  <si>
    <t xml:space="preserve"> 46.03.038 </t>
  </si>
  <si>
    <t>TUBO DE PVC RÍGIDO PXB COM VIROLA E ANEL DE BORRACHA, LINHA ESGOTO SÉRIE REFORÇADA ´R´, DN= 50 MM, INCLUSIVE CONEXÕES</t>
  </si>
  <si>
    <t xml:space="preserve"> 46.03.040 </t>
  </si>
  <si>
    <t>TUBO DE PVC RÍGIDO PXB COM VIROLA E ANEL DE BORRACHA, LINHA ESGOTO SÉRIE REFORÇADA ´R´, DN= 75 MM, INCLUSIVE CONEXÕES</t>
  </si>
  <si>
    <t xml:space="preserve"> 46.01.040 </t>
  </si>
  <si>
    <t>TUBO DE PVC RÍGIDO SOLDÁVEL MARROM, DN= 40 MM, (1 1/4´), INCLUSIVE CONEXÕES</t>
  </si>
  <si>
    <t xml:space="preserve"> 46.02.010 </t>
  </si>
  <si>
    <t>TUBO DE PVC RÍGIDO BRANCO, PONTAS LISAS, SOLDÁVEL, LINHA ESGOTO SÉRIE NORMAL, DN= 40 MM, INCLUSIVE CONEXÕES</t>
  </si>
  <si>
    <t xml:space="preserve"> 46.03.080 </t>
  </si>
  <si>
    <t>TUBO DE PVC RÍGIDO, PONTAS LISAS, SOLDÁVEL, LINHA ESGOTO SÉRIE REFORÇADA ´R´, DN= 40 MM, INCLUSIVE CONEXÕES</t>
  </si>
  <si>
    <t xml:space="preserve"> 1595 </t>
  </si>
  <si>
    <t>Vedação para saída de vaso sanitário em  pvc rígido soldável, para esgoto primário, diâm = 100mm</t>
  </si>
  <si>
    <t xml:space="preserve"> 104014 </t>
  </si>
  <si>
    <t>BUCHA DE REDUÇÃO, LONGA, PVC, SOLDÁVEL, DN 40 X 25 MM, INSTALADO EM RAMAL DE DISTRIBUIÇÃO DE ÁGUA - FORNECIMENTO E INSTALAÇÃO. AF_06/2022</t>
  </si>
  <si>
    <t xml:space="preserve"> 89408 </t>
  </si>
  <si>
    <t>JOELHO 90 GRAUS, PVC, SOLDÁVEL, DN 25MM, INSTALADO EM RAMAL DE DISTRIBUIÇÃO DE ÁGUA - FORNECIMENTO E INSTALAÇÃO. AF_06/2022</t>
  </si>
  <si>
    <t xml:space="preserve"> 4717 </t>
  </si>
  <si>
    <t>Caixa de gordura em pvc 300mm</t>
  </si>
  <si>
    <t>PLUVIAL</t>
  </si>
  <si>
    <t xml:space="preserve"> 3234 </t>
  </si>
  <si>
    <t>Caixa de passagem em alvenaria de tijolos maciços esp. = 0,12m,  dim. int. = 0.50 x 0.50 x 0.60m, com grelha de ferro fundido</t>
  </si>
  <si>
    <t xml:space="preserve"> 97961 </t>
  </si>
  <si>
    <t>CAIXA PARA BOCA DE LOBO COMBINADA COM GRELHA RETANGULAR, EM ALVENARIA COM BLOCOS DE CONCRETO, DIMENSÕES INTERNAS: 1,3X1X1,2 M. AF_12/2020</t>
  </si>
  <si>
    <t xml:space="preserve"> 053039 </t>
  </si>
  <si>
    <t>RALO HEMISFERICO 100mm PVC (RALO ABACAXI)</t>
  </si>
  <si>
    <t xml:space="preserve"> 46.05.020 </t>
  </si>
  <si>
    <t>TUBO PVC RÍGIDO, TIPO COLETOR ESGOTO, JUNTA ELÁSTICA, DN= 100 MM, INCLUSIVE CONEXÕES</t>
  </si>
  <si>
    <t xml:space="preserve"> 46.05.040 </t>
  </si>
  <si>
    <t>TUBO PVC RÍGIDO, TIPO COLETOR ESGOTO, JUNTA ELÁSTICA, DN= 150 MM, INCLUSIVE CONEXÕES</t>
  </si>
  <si>
    <t xml:space="preserve"> CPU2092 </t>
  </si>
  <si>
    <t>CURVA PVC PARA REDE COLETOR ESGOTO, EB-644, 45 GR, 200 MM, COM JUNTA ELASTICA.</t>
  </si>
  <si>
    <t xml:space="preserve"> 90696 </t>
  </si>
  <si>
    <t>TUBO DE PVC PARA REDE COLETORA DE ESGOTO DE PAREDE MACIÇA, DN 200 MM, JUNTA ELÁSTICA - FORNECIMENTO E ASSENTAMENTO. AF_01/2021</t>
  </si>
  <si>
    <t xml:space="preserve"> 89363 </t>
  </si>
  <si>
    <t>JOELHO 45 GRAUS, PVC, SOLDÁVEL, DN 25MM, INSTALADO EM RAMAL OU SUB-RAMAL DE ÁGUA - FORNECIMENTO E INSTALAÇÃO. AF_06/2022</t>
  </si>
  <si>
    <t xml:space="preserve"> 89825 </t>
  </si>
  <si>
    <t>TE, PVC, SERIE NORMAL, ESGOTO PREDIAL, DN 50 X 50 MM, JUNTA ELÁSTICA, FORNECIDO E INSTALADO EM PRUMADA DE ESGOTO SANITÁRIO OU VENTILAÇÃO. AF_08/2022</t>
  </si>
  <si>
    <t xml:space="preserve"> 99290 </t>
  </si>
  <si>
    <t>BASE PARA POÇO DE VISITA RETANGULAR PARA DRENAGEM, EM ALVENARIA COM BLOCOS DE CONCRETO, DIMENSÕES INTERNAS = 1,5X1,5 M, PROFUNDIDADE = 1,40 M, EXCLUINDO TAMPÃO. AF_12/2020_PA</t>
  </si>
  <si>
    <t xml:space="preserve"> 100322 </t>
  </si>
  <si>
    <t>LASTRO COM MATERIAL GRANULAR (PEDRA BRITADA N.3), APLICADO EM PISOS OU LAJES SOBRE SOLO, ESPESSURA DE *10 CM*. AF_01/2024</t>
  </si>
  <si>
    <t xml:space="preserve"> 00006243 </t>
  </si>
  <si>
    <t>TAMPAO FOFO SIMPLES COM BASE / REQUADRO, CLASSE B125 CARGA MAX. 12,5 T, REDONDO, TAMPA 600 MM (COM INSCRICAO EM RELEVO DO TIPO DE REDE)</t>
  </si>
  <si>
    <t>PREVENÇÃO E COMBATE A INCÊNDIO (PCI)</t>
  </si>
  <si>
    <t xml:space="preserve"> 12889 </t>
  </si>
  <si>
    <t>Placa de sinalizacao, fotoluminescente, em pvc , com logotipo "Cuidado risco de choque elétrico"- Placa E5</t>
  </si>
  <si>
    <t xml:space="preserve"> 101910 </t>
  </si>
  <si>
    <t>EXTINTOR DE INCÊNDIO PORTÁTIL COM CARGA DE PQS DE 8 KG, CLASSE BC - FORNECIMENTO E INSTALAÇÃO. AF_10/2020_PE</t>
  </si>
  <si>
    <t xml:space="preserve"> 12888 </t>
  </si>
  <si>
    <t>Placa de sinalizacao, fotoluminescente, em pvc , com logotipo "Extintor de incêndio portátil"- Placa E5</t>
  </si>
  <si>
    <t xml:space="preserve"> 97.02.210 </t>
  </si>
  <si>
    <t>PLACA DE SINALIZAÇÃO EM PVC PARA AMBIENTES</t>
  </si>
  <si>
    <t xml:space="preserve"> 11853 </t>
  </si>
  <si>
    <t>Placa de sinalizacao de seguranca contra incendio, fotoluminescente, retangular, *20 x 40* cm, em pvc *2* mm anti-chamas (simbolos, cores e pictogramas conforme nbr 13434)</t>
  </si>
  <si>
    <t>Un</t>
  </si>
  <si>
    <t xml:space="preserve"> 97.02.198 </t>
  </si>
  <si>
    <t>PLACA DE SINALIZAÇÃO EM PVC, COM INDICAÇÃO DE PROIBIÇÃO NORMATIVA</t>
  </si>
  <si>
    <t xml:space="preserve"> 12884 </t>
  </si>
  <si>
    <t>Placa de sinalizacao, fotoluminescente, 38x19 cm, em pvc , com seta indicativa de sentido (esquerda ou direita) de saída de emergência- Placa S2</t>
  </si>
  <si>
    <t xml:space="preserve"> 060680 </t>
  </si>
  <si>
    <t>LUMINARIA DE EMERGENCIA 30 LEDS BIVOLT LDE INTELBRAS</t>
  </si>
  <si>
    <t xml:space="preserve"> 50.05.312 </t>
  </si>
  <si>
    <t>BLOCO AUTÔNOMO DE ILUMINAÇÃO DE EMERGÊNCIA LED, COM AUTONOMIA MÍNIMA DE 3 HORAS, FLUXO LUMINOSO DE 2.000 ATÉ 3.000 LÚMENS, EQUIPADO COM 2 FARÓIS</t>
  </si>
  <si>
    <t xml:space="preserve"> 10785 </t>
  </si>
  <si>
    <t>Abrigo de sobrepor em chapa de aço carbono pintado com tinta a base de epoxi vermelha, dimensões 75x35x25cm</t>
  </si>
  <si>
    <t xml:space="preserve"> 160612 </t>
  </si>
  <si>
    <t>Placa de sinalização de segurança CODIGO 14 - 315/158(NBR 13.434); CÓDIGO S3(NT 14/2010-ES) ("SAIDA DE EMERGÊNCIA" - seta vertical)</t>
  </si>
  <si>
    <t xml:space="preserve"> 05.054.0115-A </t>
  </si>
  <si>
    <t>PLACA FOTOLUMINESCENTE DE SINALIZACAO DE SEGURANCA CONTRA IN CENDIO,PARA EQUIPAMENTOS DE COMBATE A INCENDIO E ALARME,EM P VC ANTICHAMA,DIMENSOES APROXIMADAS DE (20X15)CM,CONFORME ABN T NBR 16820.FORNECIMENTO E COLOCACAO 3%-DESGASTE DE FERRAMENTAS E EPI</t>
  </si>
  <si>
    <t>INSTALAÇÕES ELÉTRICAS</t>
  </si>
  <si>
    <t xml:space="preserve"> 9925 </t>
  </si>
  <si>
    <t>Bucha com arruela em liga especial zamak p/eletroduto 32mm, d=1 1/4"</t>
  </si>
  <si>
    <t xml:space="preserve"> 91940 </t>
  </si>
  <si>
    <t>CAIXA RETANGULAR 4" X 2" MÉDIA (1,30 M DO PISO), PVC, INSTALADA EM PAREDE - FORNECIMENTO E INSTALAÇÃO. AF_03/2023</t>
  </si>
  <si>
    <t xml:space="preserve"> 91943 </t>
  </si>
  <si>
    <t>CAIXA RETANGULAR 4" X 4" MÉDIA (1,30 M DO PISO), PVC, INSTALADA EM PAREDE - FORNECIMENTO E INSTALAÇÃO. AF_03/2023</t>
  </si>
  <si>
    <t xml:space="preserve"> 91937 </t>
  </si>
  <si>
    <t>CAIXA OCTOGONAL 3" X 3", PVC, INSTALADA EM LAJE - FORNECIMENTO E INSTALAÇÃO. AF_03/2023</t>
  </si>
  <si>
    <t xml:space="preserve"> 92868 </t>
  </si>
  <si>
    <t>CAIXA RETANGULAR 4" X 2" MÉDIA (1,30 M DO PISO), METÁLICA, INSTALADA EM PAREDE - FORNECIMENTO E INSTALAÇÃO. AF_03/2023</t>
  </si>
  <si>
    <t xml:space="preserve"> 91920 </t>
  </si>
  <si>
    <t>CURVA 90 GRAUS PARA ELETRODUTO, PVC, ROSCÁVEL, DN 40 MM (1 1/4"), PARA CIRCUITOS TERMINAIS, INSTALADA EM PAREDE - FORNECIMENTO E INSTALAÇÃO. AF_03/2023</t>
  </si>
  <si>
    <t xml:space="preserve"> 063445 </t>
  </si>
  <si>
    <t>LEITOS - PORCA E ARRUELA 1/4""</t>
  </si>
  <si>
    <t>CJ</t>
  </si>
  <si>
    <t xml:space="preserve"> 063444 </t>
  </si>
  <si>
    <t>LEITOS - PORCA E ARRUELA 3/8""</t>
  </si>
  <si>
    <t xml:space="preserve"> 040395 </t>
  </si>
  <si>
    <t>CHUMBADOR 3/8"" X 2.1/2"" COM PARAFUSO CBA/CB/CBT ZINCADO</t>
  </si>
  <si>
    <t xml:space="preserve"> 063111 </t>
  </si>
  <si>
    <t>PARAFUSO LENTILHA 42x13mm COM PORCA E ARRUELA</t>
  </si>
  <si>
    <t xml:space="preserve"> 078583 </t>
  </si>
  <si>
    <t>SUPORTE PARA FIXACAO FITA ALUMINIO OU CABO COBRE NU</t>
  </si>
  <si>
    <t xml:space="preserve"> 062690 </t>
  </si>
  <si>
    <t>VERGALHAO ACO GALV C/OM ROSCA TOTAL PARA PERFILADO 1/4""</t>
  </si>
  <si>
    <t xml:space="preserve"> 92988 </t>
  </si>
  <si>
    <t>CABO DE COBRE FLEXÍVEL ISOLADO, 50 MM², ANTI-CHAMA 0,6/1,0 KV, PARA REDE ENTERRADA DE DISTRIBUIÇÃO DE ENERGIA ELÉTRICA - FORNECIMENTO E INSTALAÇÃO. AF_12/2021</t>
  </si>
  <si>
    <t xml:space="preserve"> 92992 </t>
  </si>
  <si>
    <t>CABO DE COBRE FLEXÍVEL ISOLADO, 95 MM², ANTI-CHAMA 0,6/1,0 KV, PARA REDE ENTERRADA DE DISTRIBUIÇÃO DE ENERGIA ELÉTRICA - FORNECIMENTO E INSTALAÇÃO. AF_12/2021</t>
  </si>
  <si>
    <t xml:space="preserve"> 91935 </t>
  </si>
  <si>
    <t>CABO DE COBRE FLEXÍVEL ISOLADO, 16 MM², ANTI-CHAMA 0,6/1,0 KV, PARA CIRCUITOS TERMINAIS - FORNECIMENTO E INSTALAÇÃO. AF_03/2023</t>
  </si>
  <si>
    <t xml:space="preserve"> 92984 </t>
  </si>
  <si>
    <t>CABO DE COBRE FLEXÍVEL ISOLADO, 25 MM², ANTI-CHAMA 0,6/1,0 KV, PARA REDE ENTERRADA DE DISTRIBUIÇÃO DE ENERGIA ELÉTRICA - FORNECIMENTO E INSTALAÇÃO. AF_12/2021</t>
  </si>
  <si>
    <t xml:space="preserve"> 91932 </t>
  </si>
  <si>
    <t>CABO DE COBRE FLEXÍVEL ISOLADO, 10 MM², ANTI-CHAMA 450/750 V, PARA CIRCUITOS TERMINAIS - FORNECIMENTO E INSTALAÇÃO. AF_03/2023</t>
  </si>
  <si>
    <t xml:space="preserve"> 91934 </t>
  </si>
  <si>
    <t>CABO DE COBRE FLEXÍVEL ISOLADO, 16 MM², ANTI-CHAMA 450/750 V, PARA CIRCUITOS TERMINAIS - FORNECIMENTO E INSTALAÇÃO. AF_03/2023</t>
  </si>
  <si>
    <t xml:space="preserve"> 101888 </t>
  </si>
  <si>
    <t>CABO DE COBRE ISOLADO, 25 MM², ANTI-CHAMA 450/750 V, INSTALADO EM ELETROCALHA OU PERFILADO - FORNECIMENTO E INSTALAÇÃO. AF_10/2020</t>
  </si>
  <si>
    <t xml:space="preserve"> 91924 </t>
  </si>
  <si>
    <t>CABO DE COBRE FLEXÍVEL ISOLADO, 1,5 MM², ANTI-CHAMA 450/750 V, PARA CIRCUITOS TERMINAIS - FORNECIMENTO E INSTALAÇÃO. AF_03/2023</t>
  </si>
  <si>
    <t xml:space="preserve"> 91926 </t>
  </si>
  <si>
    <t>CABO DE COBRE FLEXÍVEL ISOLADO, 2,5 MM², ANTI-CHAMA 450/750 V, PARA CIRCUITOS TERMINAIS - FORNECIMENTO E INSTALAÇÃO. AF_03/2023</t>
  </si>
  <si>
    <t xml:space="preserve"> 91928 </t>
  </si>
  <si>
    <t>CABO DE COBRE FLEXÍVEL ISOLADO, 4 MM², ANTI-CHAMA 450/750 V, PARA CIRCUITOS TERMINAIS - FORNECIMENTO E INSTALAÇÃO. AF_03/2023</t>
  </si>
  <si>
    <t xml:space="preserve"> 91930 </t>
  </si>
  <si>
    <t>CABO DE COBRE FLEXÍVEL ISOLADO, 6 MM², ANTI-CHAMA 450/750 V, PARA CIRCUITOS TERMINAIS - FORNECIMENTO E INSTALAÇÃO. AF_03/2023</t>
  </si>
  <si>
    <t xml:space="preserve"> 97886 </t>
  </si>
  <si>
    <t>CAIXA ENTERRADA ELÉTRICA RETANGULAR, EM ALVENARIA COM TIJOLOS CERÂMICOS MACIÇOS, FUNDO COM BRITA, DIMENSÕES INTERNAS: 0,3X0,3X0,3 M. AF_12/2020</t>
  </si>
  <si>
    <t xml:space="preserve"> 061462 </t>
  </si>
  <si>
    <t>CAIXA DE PASSAGEM DE ACO C/ TAMPA APARAFUSADA 302X302X120</t>
  </si>
  <si>
    <t xml:space="preserve"> 91963 </t>
  </si>
  <si>
    <t>INTERRUPTOR SIMPLES (1 MÓDULO) COM INTERRUPTOR PARALELO (2 MÓDULOS), 10A/250V, INCLUINDO SUPORTE E PLACA - FORNECIMENTO E INSTALAÇÃO. AF_03/2023</t>
  </si>
  <si>
    <t xml:space="preserve"> 91979 </t>
  </si>
  <si>
    <t>INTERRUPTOR INTERMEDIÁRIO (1 MÓDULO), 10A/250V, INCLUINDO SUPORTE E PLACA - FORNECIMENTO E INSTALAÇÃO. AF_03/2023</t>
  </si>
  <si>
    <t xml:space="preserve"> 91955 </t>
  </si>
  <si>
    <t>INTERRUPTOR PARALELO (1 MÓDULO), 10A/250V, INCLUINDO SUPORTE E PLACA - FORNECIMENTO E INSTALAÇÃO. AF_03/2023</t>
  </si>
  <si>
    <t xml:space="preserve"> 91961 </t>
  </si>
  <si>
    <t>INTERRUPTOR PARALELO (2 MÓDULOS), 10A/250V, INCLUINDO SUPORTE E PLACA - FORNECIMENTO E INSTALAÇÃO. AF_03/2023</t>
  </si>
  <si>
    <t xml:space="preserve"> 91969 </t>
  </si>
  <si>
    <t>INTERRUPTOR PARALELO (3 MÓDULOS), 10A/250V, INCLUINDO SUPORTE E PLACA - FORNECIMENTO E INSTALAÇÃO. AF_03/2023</t>
  </si>
  <si>
    <t xml:space="preserve"> 91953 </t>
  </si>
  <si>
    <t>INTERRUPTOR SIMPLES (1 MÓDULO), 10A/250V, INCLUINDO SUPORTE E PLACA - FORNECIMENTO E INSTALAÇÃO. AF_03/2023</t>
  </si>
  <si>
    <t xml:space="preserve"> 059208 </t>
  </si>
  <si>
    <t>PLACA COM UM FURO IMPERIA BRANCO IRIEL P/ SAIDA CABO DE SOM</t>
  </si>
  <si>
    <t xml:space="preserve"> 062568 </t>
  </si>
  <si>
    <t>PLACA (ESPELHO) 1 POSTO HORIZONTAL 4x2 PIAL PLUS</t>
  </si>
  <si>
    <t xml:space="preserve"> 91996 </t>
  </si>
  <si>
    <t>TOMADA MÉDIA DE EMBUTIR (1 MÓDULO), 2P+T 10 A, INCLUINDO SUPORTE E PLACA - FORNECIMENTO E INSTALAÇÃO. AF_03/2023</t>
  </si>
  <si>
    <t xml:space="preserve"> 059109 </t>
  </si>
  <si>
    <t>PLACA CEGA 4""x4""</t>
  </si>
  <si>
    <t xml:space="preserve"> 92022 </t>
  </si>
  <si>
    <t>INTERRUPTOR SIMPLES (1 MÓDULO) COM 1 TOMADA DE EMBUTIR 2P+T 10 A, SEM SUPORTE E SEM PLACA - FORNECIMENTO E INSTALAÇÃO. AF_03/2023</t>
  </si>
  <si>
    <t xml:space="preserve"> 91972 </t>
  </si>
  <si>
    <t>INTERRUPTOR SIMPLES (2 MÓDULOS) COM INTERRUPTOR PARALELO (2 MÓDULOS), 10A/250V, SEM SUPORTE E SEM PLACA - FORNECIMENTO E INSTALAÇÃO. AF_03/2023</t>
  </si>
  <si>
    <t xml:space="preserve"> 92026 </t>
  </si>
  <si>
    <t>INTERRUPTOR SIMPLES (2 MÓDULOS) COM 1 TOMADA DE EMBUTIR 2P+T 10 A, SEM SUPORTE E SEM PLACA - FORNECIMENTO E INSTALAÇÃO. AF_03/2023</t>
  </si>
  <si>
    <t xml:space="preserve"> 92002 </t>
  </si>
  <si>
    <t>TOMADA MÉDIA DE EMBUTIR (2 MÓDULOS), 2P+T 10 A, SEM SUPORTE E SEM PLACA - FORNECIMENTO E INSTALAÇÃO. AF_03/2023</t>
  </si>
  <si>
    <t xml:space="preserve"> 92003 </t>
  </si>
  <si>
    <t>TOMADA MÉDIA DE EMBUTIR (2 MÓDULOS), 2P+T 20 A, SEM SUPORTE E SEM PLACA - FORNECIMENTO E INSTALAÇÃO. AF_03/2023</t>
  </si>
  <si>
    <t xml:space="preserve"> 91994 </t>
  </si>
  <si>
    <t>TOMADA MÉDIA DE EMBUTIR (1 MÓDULO), 2P+T 10 A, SEM SUPORTE E SEM PLACA - FORNECIMENTO E INSTALAÇÃO. AF_03/2023</t>
  </si>
  <si>
    <t xml:space="preserve"> 91995 </t>
  </si>
  <si>
    <t>TOMADA MÉDIA DE EMBUTIR (1 MÓDULO), 2P+T 20 A, SEM SUPORTE E SEM PLACA - FORNECIMENTO E INSTALAÇÃO. AF_03/2023</t>
  </si>
  <si>
    <t xml:space="preserve"> 060380 </t>
  </si>
  <si>
    <t>SENSOR DE PRESENCA (LIGA/DESLIGA)</t>
  </si>
  <si>
    <t xml:space="preserve"> 13457 </t>
  </si>
  <si>
    <t>Disjuntor tripolar 80 A, padrão DIN (  linha branca ), curva de disparo C, corrente de interrupção 10KA, ref.: Siemens 5SX1 ou similar.</t>
  </si>
  <si>
    <t xml:space="preserve"> 101894 </t>
  </si>
  <si>
    <t>DISJUNTOR TRIPOLAR TIPO NEMA, CORRENTE NOMINAL DE 60 ATÉ 100A - FORNECIMENTO E INSTALAÇÃO. AF_10/2020</t>
  </si>
  <si>
    <t xml:space="preserve"> 93653 </t>
  </si>
  <si>
    <t>DISJUNTOR MONOPOLAR TIPO DIN, CORRENTE NOMINAL DE 10A - FORNECIMENTO E INSTALAÇÃO. AF_10/2020</t>
  </si>
  <si>
    <t xml:space="preserve"> 93654 </t>
  </si>
  <si>
    <t>DISJUNTOR MONOPOLAR TIPO DIN, CORRENTE NOMINAL DE 16A - FORNECIMENTO E INSTALAÇÃO. AF_10/2020</t>
  </si>
  <si>
    <t xml:space="preserve"> 93655 </t>
  </si>
  <si>
    <t>DISJUNTOR MONOPOLAR TIPO DIN, CORRENTE NOMINAL DE 20A - FORNECIMENTO E INSTALAÇÃO. AF_10/2020</t>
  </si>
  <si>
    <t xml:space="preserve"> 93661 </t>
  </si>
  <si>
    <t>DISJUNTOR BIPOLAR TIPO DIN, CORRENTE NOMINAL DE 16A - FORNECIMENTO E INSTALAÇÃO. AF_10/2020</t>
  </si>
  <si>
    <t xml:space="preserve"> 93662 </t>
  </si>
  <si>
    <t>DISJUNTOR BIPOLAR TIPO DIN, CORRENTE NOMINAL DE 20A - FORNECIMENTO E INSTALAÇÃO. AF_10/2020</t>
  </si>
  <si>
    <t xml:space="preserve"> 93660 </t>
  </si>
  <si>
    <t>DISJUNTOR BIPOLAR TIPO DIN, CORRENTE NOMINAL DE 10A - FORNECIMENTO E INSTALAÇÃO. AF_10/2020</t>
  </si>
  <si>
    <t xml:space="preserve"> 93665 </t>
  </si>
  <si>
    <t>DISJUNTOR BIPOLAR TIPO DIN, CORRENTE NOMINAL DE 40A - FORNECIMENTO E INSTALAÇÃO. AF_10/2020</t>
  </si>
  <si>
    <t xml:space="preserve"> 9216 </t>
  </si>
  <si>
    <t>Disjuntor termomagnetico bipolar 80 A, padrão DIN (Europeu - linha branca), curva C, corrente 5KA</t>
  </si>
  <si>
    <t xml:space="preserve"> 101895 </t>
  </si>
  <si>
    <t>DISJUNTOR TERMOMAGNÉTICO TRIPOLAR , CORRENTE NOMINAL DE 125A - FORNECIMENTO E INSTALAÇÃO. AF_10/2020</t>
  </si>
  <si>
    <t xml:space="preserve"> 151334 </t>
  </si>
  <si>
    <t>Disjuntor caixa moldada termomagnetico fixo, tripolar 200A, Icu: 50kA, 400/500Vca, referência Siemens, Soprano, Schneider ou equivalente</t>
  </si>
  <si>
    <t xml:space="preserve"> 064563 </t>
  </si>
  <si>
    <t>DISPOSITIVO PROTETOR DE SURTO 220V OU 127V, 20 KA, TRIFASICO</t>
  </si>
  <si>
    <t xml:space="preserve"> 37.24.042 </t>
  </si>
  <si>
    <t>DISPOSITIVO DE PROTEÇÃO CONTRA SURTO, 1 POLO, SUPORTABILIDADE &amp;LT;= 4 KV, UN ATÉ 240V/415V, IIMP = 60 KA, CURVA DE ENSAIO 10/350µS - CLASSE 1</t>
  </si>
  <si>
    <t xml:space="preserve"> 151350 </t>
  </si>
  <si>
    <t>Interruptor Diferencial Bipolar DR 25A, 30mA ? 6kA, referência Siemens, Schneider, WEG ou equivalente</t>
  </si>
  <si>
    <t xml:space="preserve"> 151357 </t>
  </si>
  <si>
    <t>Interruptor Diferencial Bipolar DR 40A, 30mA ? 6kA, referência Siemens, Schneider, WEG ou equivalente</t>
  </si>
  <si>
    <t xml:space="preserve"> 062571 </t>
  </si>
  <si>
    <t>SAIDA PARA ELETRODUTO MG2982 HORIZONTAL</t>
  </si>
  <si>
    <t xml:space="preserve"> 063612 </t>
  </si>
  <si>
    <t>SAIDA HORIZONTAL PARA ELETROCALHA 1 1/4""</t>
  </si>
  <si>
    <t xml:space="preserve"> 11285 </t>
  </si>
  <si>
    <t>Curva horizontal 100 x 75 mm para eletrocalha metálica, com ângulo 90° (ref.:mopa ou similar)</t>
  </si>
  <si>
    <t xml:space="preserve"> 060107 </t>
  </si>
  <si>
    <t>ELETROCALHA PERFURADA TIPO ""U"" 100X50 CHAPA 20 SEM TAMPA</t>
  </si>
  <si>
    <t xml:space="preserve"> 15.018.0520-A </t>
  </si>
  <si>
    <t>ELETROCALHA PERFURADA,COM TAMPA,TIPO "U",100X75MM,TRATAMENTO SUPERFICIAL PRE-ZINCADO A QUENTE,EXCLUSIVE CONEXOES,ACESSOR IOS E FIXACAO SUPERIOR.FORNECIMENTO E COLOCACAO 3%-DESGASTE DE FERRAMENTAS E EPI</t>
  </si>
  <si>
    <t xml:space="preserve"> 12488 </t>
  </si>
  <si>
    <t>Suporte vertical 150 x 150 mm para fixação de eletrocalha metálica (ref.: mopa ou similar)</t>
  </si>
  <si>
    <t xml:space="preserve"> 8685 </t>
  </si>
  <si>
    <t>Suporte vertical  100 x 75 mm  para fixação de eletrocalha metálica ( ref.: Mopa ou similar)</t>
  </si>
  <si>
    <t xml:space="preserve"> 15.018.0756-A </t>
  </si>
  <si>
    <t>TE HORIZONTAL,90º,PARA ELETROCALHA PERFURADA OU LISA,100X75M M.FORNECIMENTO E COLOCACAO 3%-DESGASTE DE FERRAMENTAS E EPI</t>
  </si>
  <si>
    <t xml:space="preserve"> 063617 </t>
  </si>
  <si>
    <t>EMENDA PARA ELETROCALHA TIPO U 100X100</t>
  </si>
  <si>
    <t xml:space="preserve"> 12535 </t>
  </si>
  <si>
    <t>Terminal 100 x 75 mm, zincado, para eletrocalha metálica (ref. Mopa ou similar)</t>
  </si>
  <si>
    <t xml:space="preserve"> 91837 </t>
  </si>
  <si>
    <t>ELETRODUTO FLEXÍVEL CORRUGADO REFORÇADO, PVC, DN 32 MM (1"), PARA CIRCUITOS TERMINAIS, INSTALADO EM FORRO - FORNECIMENTO E INSTALAÇÃO. AF_03/2023</t>
  </si>
  <si>
    <t xml:space="preserve"> 91835 </t>
  </si>
  <si>
    <t>ELETRODUTO FLEXÍVEL CORRUGADO REFORÇADO, PVC, DN 25 MM (3/4"), PARA CIRCUITOS TERMINAIS, INSTALADO EM FORRO - FORNECIMENTO E INSTALAÇÃO. AF_03/2023</t>
  </si>
  <si>
    <t xml:space="preserve"> 93008 </t>
  </si>
  <si>
    <t>ELETRODUTO RÍGIDO ROSCÁVEL, PVC, DN 50 MM (1 1/2"), PARA REDE ENTERRADA DE DISTRIBUIÇÃO DE ENERGIA ELÉTRICA - FORNECIMENTO E INSTALAÇÃO. AF_12/2021</t>
  </si>
  <si>
    <t xml:space="preserve"> 91865 </t>
  </si>
  <si>
    <t>ELETRODUTO RÍGIDO ROSCÁVEL, PVC, DN 40 MM (1 1/4"), PARA CIRCUITOS TERMINAIS, INSTALADO EM FORRO - FORNECIMENTO E INSTALAÇÃO. AF_03/2023</t>
  </si>
  <si>
    <t xml:space="preserve"> 93009 </t>
  </si>
  <si>
    <t>ELETRODUTO RÍGIDO ROSCÁVEL, PVC, DN 60 MM (2"), PARA REDE ENTERRADA DE DISTRIBUIÇÃO DE ENERGIA ELÉTRICA - FORNECIMENTO E INSTALAÇÃO. AF_12/2021</t>
  </si>
  <si>
    <t xml:space="preserve"> 93011 </t>
  </si>
  <si>
    <t>ELETRODUTO RÍGIDO ROSCÁVEL, PVC, DN 85 MM (3"), PARA REDE ENTERRADA DE DISTRIBUIÇÃO DE ENERGIA ELÉTRICA - FORNECIMENTO E INSTALAÇÃO. AF_12/2021</t>
  </si>
  <si>
    <t xml:space="preserve"> 38.04.080 </t>
  </si>
  <si>
    <t>ELETRODUTO GALVANIZADO CONFORME NBR13057 -  1 1/4´ COM ACESSÓRIOS</t>
  </si>
  <si>
    <t xml:space="preserve"> 8662 </t>
  </si>
  <si>
    <t>Soquete ou bocal de porcelana E27 de tempo, ref.MT-2233, marca Decorlux ou similar</t>
  </si>
  <si>
    <t xml:space="preserve"> 101538 </t>
  </si>
  <si>
    <t>ARMAÇÃO SECUNDÁRIA, COM 1 ESTRIBO E 1 ISOLADOR - FORNECIMENTO E INSTALAÇÃO. AF_07/2020</t>
  </si>
  <si>
    <t xml:space="preserve"> 4527 </t>
  </si>
  <si>
    <t>Quadro de medição trifásica em Noril com lente para leitura</t>
  </si>
  <si>
    <t xml:space="preserve"> 37.04.270 </t>
  </si>
  <si>
    <t>QUADRO DE DISTRIBUIÇÃO UNIVERSAL DE SOBREPOR, PARA DISJUNTORES 34 DIN / 24 BOLT-ON - 150 A - SEM COMPONENTES</t>
  </si>
  <si>
    <t xml:space="preserve"> 12232 </t>
  </si>
  <si>
    <t>Quadro de distribuição de embutir, em chapa de aço, para até 56 disjuntores, com barramento, padrão DIN, exclusive disjuntores</t>
  </si>
  <si>
    <t xml:space="preserve"> 101882 </t>
  </si>
  <si>
    <t>QUADRO DE DISTRIBUIÇÃO DE ENERGIA EM CHAPA DE AÇO GALVANIZADO, DE EMBUTIR, COM BARRAMENTO TRIFÁSICO, PARA 30 DISJUNTORES DIN 225A - FORNECIMENTO E INSTALAÇÃO. AF_10/2020</t>
  </si>
  <si>
    <t xml:space="preserve"> 061465 </t>
  </si>
  <si>
    <t>CAIXA DE PASSAGEM ELETRICA 40x40cm COM TAMPAO FERRO FUNDIDO</t>
  </si>
  <si>
    <t>ILUMINAÇÃO</t>
  </si>
  <si>
    <t xml:space="preserve"> 97607 </t>
  </si>
  <si>
    <t>LUMINÁRIA ARANDELA TIPO TARTARUGA, DE SOBREPOR, COM 1 LÂMPADA LED DE 6 W, SEM REATOR - FORNECIMENTO E INSTALAÇÃO. AF_02/2020</t>
  </si>
  <si>
    <t xml:space="preserve"> 41.31.040 </t>
  </si>
  <si>
    <t>LUMINÁRIA LED RETANGULAR DE SOBREPOR COM DIFUSOR TRANSLÚCIDO, 4000 K, FLUXO LUMINOSO DE 3690 A 4800 LM, POTÊNCIA DE 35 W A 41 W</t>
  </si>
  <si>
    <t xml:space="preserve"> 060121 </t>
  </si>
  <si>
    <t>LUMINARIA DE EMBUTIR PLAFON 18W LED BRANCO FRIO 22,5x22,5</t>
  </si>
  <si>
    <t xml:space="preserve"> 13158 </t>
  </si>
  <si>
    <t>Luminária plafon (sobrepor) 40 x 40 - 36 W - 6000K - G- Light ou similar</t>
  </si>
  <si>
    <t xml:space="preserve"> 41.11.712 </t>
  </si>
  <si>
    <t>LUMINÁRIA LED REDONDA DE EMBUTIR PARA PAREDE OU PISO, ÁREA INTERNA OU EXTERNA, BIVOLT - POTÊNCIA 6 W</t>
  </si>
  <si>
    <t>SPDA</t>
  </si>
  <si>
    <t xml:space="preserve"> 11273 </t>
  </si>
  <si>
    <t>Caixa de equipotencialização em aço 200x200x90mm, para embutir com tampa, com9 terminais, ref:TEL-901 ou similar (SPDA)</t>
  </si>
  <si>
    <t xml:space="preserve"> 101801 </t>
  </si>
  <si>
    <t>CAIXA COM GRELHA RETANGULAR DE FERRO FUNDIDO, EM ALVENARIA COM BLOCOS DE CONCRETO, DIMENSÕES INTERNAS: 0,30 X 1,00 X 1,00. AF_12/2020</t>
  </si>
  <si>
    <t xml:space="preserve"> 98111 </t>
  </si>
  <si>
    <t>CAIXA DE INSPEÇÃO PARA ATERRAMENTO, CIRCULAR, EM POLIETILENO, DIÂMETRO INTERNO = 0,3 M. AF_12/2020</t>
  </si>
  <si>
    <t xml:space="preserve"> 078054 </t>
  </si>
  <si>
    <t>HASTE ATERRAMENTO COBREADA 5/8"" x 2,40m 6715 670106 - MAGNET</t>
  </si>
  <si>
    <t xml:space="preserve"> 96989 </t>
  </si>
  <si>
    <t>CAPTOR TIPO FRANKLIN PARA SPDA - FORNECIMENTO E INSTALAÇÃO. AF_08/2023</t>
  </si>
  <si>
    <t xml:space="preserve"> 96988 </t>
  </si>
  <si>
    <t>MASTRO 1 ½", COM 3 METROS, PARA SPDA - FORNECIMENTO E INSTALAÇÃO. AF_08/2023</t>
  </si>
  <si>
    <t xml:space="preserve"> 104746 </t>
  </si>
  <si>
    <t>MINI CAPTOR PARA SPDA - FORNECIMENTO E INSTALAÇÃO. AF_08/2023</t>
  </si>
  <si>
    <t xml:space="preserve"> 078206 </t>
  </si>
  <si>
    <t>CABO DE COBRE NU MEIO DURO 7 FIOS 35mm2</t>
  </si>
  <si>
    <t xml:space="preserve"> 078212 </t>
  </si>
  <si>
    <t>CABO DE COBRE NU MEIO DURO 7 FIOS 50mm2</t>
  </si>
  <si>
    <t xml:space="preserve"> 96984 </t>
  </si>
  <si>
    <t>ELETRODUTO PVC RÍGIDO, DIÂMETRO 40MM, COM 3 METROS, PARA SPDA - FORNECIMENTO E INSTALAÇÃO. AF_08/2023</t>
  </si>
  <si>
    <t xml:space="preserve"> 101548 </t>
  </si>
  <si>
    <t>ISOLADOR, TIPO ROLDANA, PARA BAIXA TENSÃO - FORNECIMENTO E INSTALAÇÃO. AF_07/2020</t>
  </si>
  <si>
    <t>CLIMATIZAÇÃO</t>
  </si>
  <si>
    <t xml:space="preserve"> 97331 </t>
  </si>
  <si>
    <t>TUBO EM COBRE FLEXÍVEL, DN 1/4", COM ISOLAMENTO, INSTALADO EM RAMAL DE ALIMENTAÇÃO DE AR CONDICIONADO COM CONDENSADORA CENTRAL - FORNECIMENTO E INSTALAÇÃO. AF_12/2015</t>
  </si>
  <si>
    <t xml:space="preserve"> 103290 </t>
  </si>
  <si>
    <t>TUBO EM COBRE FLEXÍVEL, DN 3/8", COM ISOLAMENTO, INSTALADO EM FORRO, PARA RAMAL DE ALIMENTAÇÃO DE AR CONDICIONADO, INCLUSO FIXADOR. AF_11/2021</t>
  </si>
  <si>
    <t xml:space="preserve"> 103291 </t>
  </si>
  <si>
    <t>TUBO EM COBRE FLEXÍVEL, DN 1/2", COM ISOLAMENTO, INSTALADO EM FORRO, PARA RAMAL DE ALIMENTAÇÃO DE AR CONDICIONADO, INCLUSO FIXADOR. AF_11/2021</t>
  </si>
  <si>
    <t xml:space="preserve"> 97330 </t>
  </si>
  <si>
    <t>TUBO EM COBRE FLEXÍVEL, DN 5/8", COM ISOLAMENTO, INSTALADO EM RAMAL DE ALIMENTAÇÃO DE AR CONDICIONADO COM CONDENSADORA INDIVIDUAL - FORNECIMENTO E INSTALAÇÃO. AF_12/2015</t>
  </si>
  <si>
    <t xml:space="preserve"> 11412 </t>
  </si>
  <si>
    <t>Cabo de cobre PP Cordplast 4 x 2,5 mm2, 450/750v - fornecimento e instalação</t>
  </si>
  <si>
    <t xml:space="preserve"> 200065 </t>
  </si>
  <si>
    <t>CAIXA PARA ENCAIXE E INSTALACAO APARELHO AR CONDICIONADO</t>
  </si>
  <si>
    <t xml:space="preserve"> 15.005.0280-A </t>
  </si>
  <si>
    <t>DUTO PARA EXAUSTAO DE AR/VENTILACAO,CHAVETADO EM CHAPA DE AC O GALVANIZADO,NAS DIVERSAS BITOLAS,CONFORME ABNT NBR 16401,I NCLUSIVE SUPORTES PINTADOS,GRELHAS,DIFUSORES EM ALUMINIO EXT RUDADO E DEMAIS ITENS NECESSARIOS.FORNECIMENTO E COLOCACAO 3%(SOBRE A MAO DE OBRA)-DESGASTE DE FERRAMENTAS E EPI 3%(SOBRE O MATERIAL)-PARAFUSOS,ARRUELAS,PORCAS,TINTA ANTICOR ROSIVA E LONA FLEXIVEL</t>
  </si>
  <si>
    <t xml:space="preserve"> 070665 </t>
  </si>
  <si>
    <t>DUTO FLEXIVEL DE ALUMINIO C/ ISOLAM. TERM.LA VIDRO 150MM 6""</t>
  </si>
  <si>
    <t xml:space="preserve"> 070660 </t>
  </si>
  <si>
    <t>DUTO FLEXIVEL DE ALUMINIO C/ ISOLAM. TERM.LA VIDRO 100MM 4""</t>
  </si>
  <si>
    <t xml:space="preserve"> 12498 </t>
  </si>
  <si>
    <t>Barra roscada bicromatizada ø 3/8" x 3000mm</t>
  </si>
  <si>
    <t xml:space="preserve"> 721 </t>
  </si>
  <si>
    <t>Fornecimento e instalação de porca sextavada 3/8" (ref vl 1.55 valemam ou similar)</t>
  </si>
  <si>
    <t xml:space="preserve"> 90460 </t>
  </si>
  <si>
    <t>SUPORTE PARA 2 TUBOS HORIZONTAIS, ESPAÇADO A CADA 56 CM, EM PERFILADO COM COMPRIMENTO DE 25 CM FIXADO EM LAJE, POR METRO DE TUBULAÇÃO FIXADA. AF_09/2023</t>
  </si>
  <si>
    <t xml:space="preserve"> 070901 </t>
  </si>
  <si>
    <t>EXAUSTOR CENTRIFUGO SIROCO TRIFASICO EC5-TN-3</t>
  </si>
  <si>
    <t xml:space="preserve"> 070904 </t>
  </si>
  <si>
    <t>EXAUSTOR CENTRIFUGO SIROCO TRIFASICO MOD: EC3-TN-1,5</t>
  </si>
  <si>
    <t xml:space="preserve"> 070216 </t>
  </si>
  <si>
    <t>CAIXA DE VENTILACAO PARA FORRO CAB-250 - 220V - S&amp;P</t>
  </si>
  <si>
    <t xml:space="preserve"> 070205 </t>
  </si>
  <si>
    <t>EXAUSTOR AXIAL MULTIVAC MODELO MURO 150A</t>
  </si>
  <si>
    <t>DADOS E VOZ</t>
  </si>
  <si>
    <t xml:space="preserve"> 98307 </t>
  </si>
  <si>
    <t>TOMADA DE REDE RJ45 - FORNECIMENTO E INSTALAÇÃO. AF_11/2019</t>
  </si>
  <si>
    <t xml:space="preserve"> 69.20.340 </t>
  </si>
  <si>
    <t>TOMADA PARA TV, TIPO PINO JACK, COM PLACA</t>
  </si>
  <si>
    <t>GASES MEDICINAIS</t>
  </si>
  <si>
    <t xml:space="preserve"> 103835 </t>
  </si>
  <si>
    <t>TUBO EM COBRE RÍGIDO, DN 15 MM, CLASSE A, SEM ISOLAMENTO, INSTALADO EM RAMAL E SUB-RAMAL DE GÁS MEDICINAL - FORNECIMENTO E INSTALAÇÃO. AF_04/2022</t>
  </si>
  <si>
    <t xml:space="preserve"> 103865 </t>
  </si>
  <si>
    <t>TÊ EM COBRE, DN 15 MM, SEM ANEL DE SOLDA, INSTALADO EM RAMAL E SUB-RAMAL DE GÁS MEDICINAL - FORNECIMENTO E INSTALAÇÃO. AF_04/2022</t>
  </si>
  <si>
    <t xml:space="preserve"> 103838 </t>
  </si>
  <si>
    <t>COTOVELO EM COBRE, DN 15 MM, 90 GRAUS, SEM ANEL DE SOLDA, INSTALADO EM RAMAL E SUB-RAMAL DE GÁS MEDICINAL - FORNECIMENTO E INSTALAÇÃO. AF_04/2022</t>
  </si>
  <si>
    <t xml:space="preserve"> 103847 </t>
  </si>
  <si>
    <t>LUVA EM COBRE, DN 15 MM, SEM ANEL DE SOLDA, INSTALADO EM RAMAL E SUB-RAMAL DE GÁS MEDICINAL - FORNECIMENTO E INSTALAÇÃO. AF_04/2022</t>
  </si>
  <si>
    <t xml:space="preserve"> CPU2424 </t>
  </si>
  <si>
    <t>POSTO DE CONSUMO DE O2 OU AR VÁCUO OU N2O</t>
  </si>
  <si>
    <t xml:space="preserve"> 8733 </t>
  </si>
  <si>
    <t>Central manifold para cilindros 2 x 2 para oxigênio, ar comprimido e óxido nitroso com serpentina e sem válvula de alta pressão</t>
  </si>
  <si>
    <t xml:space="preserve"> 8732 </t>
  </si>
  <si>
    <t>Central manifold para cilindros 1 x 1para oxigênio, ar comprimido e óxido nitroso com serpentina e sem válvula de alta pressão</t>
  </si>
  <si>
    <t xml:space="preserve"> 91179 </t>
  </si>
  <si>
    <t>FIXAÇÃO DE TUBOS HORIZONTAIS DE PVC ÁGUA/PVC ESGOTO/PVC PLUVIAL/CPVC/PPR/COBRE OU AÇO, DIÂMETROS MENORES OU IGUAIS A 40 MM, COM ABRAÇADEIRA METÁLICA RÍGIDA TIPO  D  COM PARAFUSO DE FIXAÇÃO 1 1/4", FIXADA DIRETAMENTE NA LAJE OU PAREDE. AF_09/2023</t>
  </si>
  <si>
    <t>URBANIZAÇÃO</t>
  </si>
  <si>
    <t>PAVIMENTAÇÃO E ACESSIBILIDADE</t>
  </si>
  <si>
    <t xml:space="preserve"> 104658 </t>
  </si>
  <si>
    <t>PISO PODOTÁTIL DE ALERTA OU DIRECIONAL, DE CONCRETO, ASSENTADO SOBRE ARGAMASSA. AF_03/2024</t>
  </si>
  <si>
    <t xml:space="preserve"> 94276 </t>
  </si>
  <si>
    <t>ASSENTAMENTO DE GUIA (MEIO-FIO) EM TRECHO CURVO, CONFECCIONADA EM CONCRETO PRÉ-FABRICADO, DIMENSÕES 100X15X13X20 CM (COMPRIMENTO X BASE INFERIOR X BASE SUPERIOR X ALTURA). AF_01/2024</t>
  </si>
  <si>
    <t>PAISAGISMO</t>
  </si>
  <si>
    <t xml:space="preserve"> 103946 </t>
  </si>
  <si>
    <t>PLANTIO DE GRAMA ESMERALDA OU SÃO CARLOS OU CURITIBANA, EM PLACAS. AF_05/2022</t>
  </si>
  <si>
    <t>SINALIZAÇÃO</t>
  </si>
  <si>
    <t xml:space="preserve"> 12043 </t>
  </si>
  <si>
    <t>Letra em aço inox escovado/polido 20 x 20cm - instalado</t>
  </si>
  <si>
    <t>SERVIÇOS COMPLEMENTARES</t>
  </si>
  <si>
    <t xml:space="preserve"> 2450 </t>
  </si>
  <si>
    <t>Limpeza geral</t>
  </si>
  <si>
    <t>MURO DE ARRIMO</t>
  </si>
  <si>
    <t xml:space="preserve"> 102279 </t>
  </si>
  <si>
    <t>ESCAVAÇÃO MECANIZADA DE VALA COM PROF. ATÉ 1,5 M (MÉDIA MONTANTE E JUSANTE/UMA COMPOSIÇÃO POR TRECHO), ESCAVADEIRA (0,8 M3),LARG. MENOR QUE 1,5 M, EM SOLO DE 1A CATEGORIA, LOCAIS COM BAIXO NÍVEL DE INTERFERÊNCIA. AF_09/2024</t>
  </si>
  <si>
    <t xml:space="preserve"> 32.20.066 </t>
  </si>
  <si>
    <t>LONA PLÁSTICA EM POLIETILENO, 150 MICRAS, PARA CAMADA SEPARADORA DE PISO/PAVIMENTO</t>
  </si>
  <si>
    <t xml:space="preserve"> 11.01.290 </t>
  </si>
  <si>
    <t>CONCRETO USINADO, FCK = 25 MPA - PARA BOMBEAMENTO</t>
  </si>
  <si>
    <t xml:space="preserve"> 11.16.040 </t>
  </si>
  <si>
    <t>LANÇAMENTO E ADENSAMENTO DE CONCRETO OU MASSA EM FUNDAÇÃO</t>
  </si>
  <si>
    <t>SUPERESTRUTURA</t>
  </si>
  <si>
    <t xml:space="preserve"> 92263 </t>
  </si>
  <si>
    <t>FABRICAÇÃO DE FÔRMA PARA PILARES E ESTRUTURAS SIMILARES, EM CHAPA DE MADEIRA COMPENSADA RESINADA, E = 17 MM. AF_09/2020</t>
  </si>
  <si>
    <t xml:space="preserve"> 92265 </t>
  </si>
  <si>
    <t>FABRICAÇÃO DE FÔRMA PARA VIGAS, EM CHAPA DE MADEIRA COMPENSADA RESINADA, E = 17 MM. AF_09/2020</t>
  </si>
  <si>
    <t xml:space="preserve"> 11.01.160 </t>
  </si>
  <si>
    <t>CONCRETO USINADO, FCK = 30 MPA</t>
  </si>
  <si>
    <t xml:space="preserve"> 11.16.060 </t>
  </si>
  <si>
    <t>LANÇAMENTO E ADENSAMENTO DE CONCRETO OU MASSA EM ESTRUTURA</t>
  </si>
  <si>
    <t xml:space="preserve"> 14.11.271 </t>
  </si>
  <si>
    <t>ALVENARIA DE BLOCO DE CONCRETO ESTRUTURAL 19 CM - CLASSE A</t>
  </si>
  <si>
    <t xml:space="preserve"> 102724 </t>
  </si>
  <si>
    <t>DRENO BARBACÃ, DN 100 MM, COM MATERIAL DRENANTE. AF_07/2021</t>
  </si>
  <si>
    <t>TERRAPLENAGEM</t>
  </si>
  <si>
    <t xml:space="preserve"> 00006081 </t>
  </si>
  <si>
    <t>ARGILA OU BARRO PARA ATERRO/REATERRO (COM TRANSPORTE ATE 10 KM)</t>
  </si>
  <si>
    <t>M³</t>
  </si>
  <si>
    <t xml:space="preserve"> 1003006 </t>
  </si>
  <si>
    <t>SIURB</t>
  </si>
  <si>
    <t>ATERRO, INCLUSIVE COMPACTAÇÃO</t>
  </si>
  <si>
    <t>FECHAMENTO</t>
  </si>
  <si>
    <t xml:space="preserve"> 17001032 </t>
  </si>
  <si>
    <t>GRADIL DE FERRO PERFILADO, TIPO PARQUE COM MURETA - GPM-1/DEPAVE</t>
  </si>
  <si>
    <t xml:space="preserve"> 17001037 </t>
  </si>
  <si>
    <t>PORTÃO DE FERRO PERFILADO, TIPO PARQUE (GP-5/GPM-1) 4,00M, 2 FOLHAS</t>
  </si>
  <si>
    <t>9.1</t>
  </si>
  <si>
    <t>9.1.1</t>
  </si>
  <si>
    <t>9.1.2</t>
  </si>
  <si>
    <t>9.2</t>
  </si>
  <si>
    <t>9.2.1</t>
  </si>
  <si>
    <t>9.2.2</t>
  </si>
  <si>
    <t>9.3</t>
  </si>
  <si>
    <t>9.3.1</t>
  </si>
  <si>
    <t>10.1</t>
  </si>
  <si>
    <t>10.1.1</t>
  </si>
  <si>
    <t>11.1</t>
  </si>
  <si>
    <t>11.1.1</t>
  </si>
  <si>
    <t>12.1</t>
  </si>
  <si>
    <t>12.1.1</t>
  </si>
  <si>
    <t>12.1.2</t>
  </si>
  <si>
    <t>12.1.3</t>
  </si>
  <si>
    <t>12.1.4</t>
  </si>
  <si>
    <t>12.1.5</t>
  </si>
  <si>
    <t>12.2</t>
  </si>
  <si>
    <t>12.2.1</t>
  </si>
  <si>
    <t>12.2.2</t>
  </si>
  <si>
    <t>12.3</t>
  </si>
  <si>
    <t>12.3.1</t>
  </si>
  <si>
    <t>12.3.2</t>
  </si>
  <si>
    <t>13.1</t>
  </si>
  <si>
    <t>14.1</t>
  </si>
  <si>
    <t>14.1.1</t>
  </si>
  <si>
    <t>14.2</t>
  </si>
  <si>
    <t>14.2.1</t>
  </si>
  <si>
    <t>14.2.2</t>
  </si>
  <si>
    <t>14.2.3</t>
  </si>
  <si>
    <t>14.2.4</t>
  </si>
  <si>
    <t>14.2.5</t>
  </si>
  <si>
    <t>14.2.6</t>
  </si>
  <si>
    <t>14.2.7</t>
  </si>
  <si>
    <t>14.3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</si>
  <si>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</si>
  <si>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</si>
  <si>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</si>
  <si>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</si>
  <si>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</si>
  <si>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</si>
  <si>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</si>
  <si>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</si>
  <si>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</si>
  <si>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</si>
  <si>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14.3.11</t>
  </si>
  <si>
    <t>14.3.12</t>
  </si>
  <si>
    <t>14.3.13</t>
  </si>
  <si>
    <t>14.3.14</t>
  </si>
  <si>
    <t>14.3.15</t>
  </si>
  <si>
    <t>15.1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</si>
  <si>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</si>
  <si>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</si>
  <si>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</si>
  <si>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</si>
  <si>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</si>
  <si>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</si>
  <si>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</si>
  <si>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</si>
  <si>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</si>
  <si>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</si>
  <si>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</si>
  <si>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</si>
  <si>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</si>
  <si>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</si>
  <si>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15.1.15</t>
  </si>
  <si>
    <t>15.1.16</t>
  </si>
  <si>
    <t>15.1.17</t>
  </si>
  <si>
    <t>15.1.18</t>
  </si>
  <si>
    <t>15.1.19</t>
  </si>
  <si>
    <t>15.1.20</t>
  </si>
  <si>
    <t>15.1.21</t>
  </si>
  <si>
    <t>15.1.22</t>
  </si>
  <si>
    <t>15.1.23</t>
  </si>
  <si>
    <t>15.1.24</t>
  </si>
  <si>
    <t>15.1.25</t>
  </si>
  <si>
    <t>15.1.26</t>
  </si>
  <si>
    <t>15.1.27</t>
  </si>
  <si>
    <t>15.1.28</t>
  </si>
  <si>
    <t>15.1.29</t>
  </si>
  <si>
    <t>15.1.30</t>
  </si>
  <si>
    <t>15.1.31</t>
  </si>
  <si>
    <t>15.1.32</t>
  </si>
  <si>
    <t>15.1.33</t>
  </si>
  <si>
    <t>15.1.34</t>
  </si>
  <si>
    <t>15.1.35</t>
  </si>
  <si>
    <t>15.1.36</t>
  </si>
  <si>
    <t>15.1.37</t>
  </si>
  <si>
    <t>15.1.38</t>
  </si>
  <si>
    <t>15.1.39</t>
  </si>
  <si>
    <t>15.2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</si>
  <si>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</si>
  <si>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</si>
  <si>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</si>
  <si>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</si>
  <si>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</si>
  <si>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</si>
  <si>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</si>
  <si>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</si>
  <si>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</si>
  <si>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</si>
  <si>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</si>
  <si>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</si>
  <si>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</si>
  <si>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</si>
  <si>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</si>
  <si>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15.2.16</t>
  </si>
  <si>
    <t>15.2.17</t>
  </si>
  <si>
    <t>15.2.18</t>
  </si>
  <si>
    <t>15.2.19</t>
  </si>
  <si>
    <t>15.2.20</t>
  </si>
  <si>
    <t>15.2.21</t>
  </si>
  <si>
    <t>15.2.22</t>
  </si>
  <si>
    <t>15.2.23</t>
  </si>
  <si>
    <t>15.2.24</t>
  </si>
  <si>
    <t>15.2.25</t>
  </si>
  <si>
    <t>15.2.26</t>
  </si>
  <si>
    <t>15.2.27</t>
  </si>
  <si>
    <t>15.2.28</t>
  </si>
  <si>
    <t>15.2.29</t>
  </si>
  <si>
    <t>15.2.30</t>
  </si>
  <si>
    <t>15.2.31</t>
  </si>
  <si>
    <t>15.2.32</t>
  </si>
  <si>
    <t>15.2.33</t>
  </si>
  <si>
    <t>15.2.34</t>
  </si>
  <si>
    <t>15.3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</si>
  <si>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</si>
  <si>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</si>
  <si>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</si>
  <si>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</si>
  <si>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</si>
  <si>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</si>
  <si>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</si>
  <si>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</si>
  <si>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</si>
  <si>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</si>
  <si>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15.3.11</t>
  </si>
  <si>
    <t>15.3.12</t>
  </si>
  <si>
    <t>15.3.13</t>
  </si>
  <si>
    <t>15.3.14</t>
  </si>
  <si>
    <t>15.3.15</t>
  </si>
  <si>
    <t>15.3.16</t>
  </si>
  <si>
    <t>15.3.17</t>
  </si>
  <si>
    <t>15.3.18</t>
  </si>
  <si>
    <t>15.3.19</t>
  </si>
  <si>
    <t>15.3.20</t>
  </si>
  <si>
    <t>15.3.21</t>
  </si>
  <si>
    <t>15.4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</si>
  <si>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</si>
  <si>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</si>
  <si>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</si>
  <si>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</si>
  <si>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</si>
  <si>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</si>
  <si>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</si>
  <si>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</si>
  <si>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</si>
  <si>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</si>
  <si>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15.4.11</t>
  </si>
  <si>
    <t>15.4.12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</si>
  <si>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</si>
  <si>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</si>
  <si>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</si>
  <si>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</si>
  <si>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</si>
  <si>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</si>
  <si>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</si>
  <si>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</si>
  <si>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</si>
  <si>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</si>
  <si>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</si>
  <si>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16.1.11</t>
  </si>
  <si>
    <t>16.1.12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</si>
  <si>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</si>
  <si>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</si>
  <si>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</si>
  <si>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</si>
  <si>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</si>
  <si>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</si>
  <si>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</si>
  <si>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</si>
  <si>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</si>
  <si>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</si>
  <si>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</si>
  <si>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16.1.24</t>
  </si>
  <si>
    <t>16.1.25</t>
  </si>
  <si>
    <t>16.1.26</t>
  </si>
  <si>
    <t>16.1.27</t>
  </si>
  <si>
    <t>16.1.28</t>
  </si>
  <si>
    <t>16.1.29</t>
  </si>
  <si>
    <t>16.1.30</t>
  </si>
  <si>
    <t>16.1.31</t>
  </si>
  <si>
    <t>16.1.32</t>
  </si>
  <si>
    <t>16.1.33</t>
  </si>
  <si>
    <t>16.1.34</t>
  </si>
  <si>
    <t>16.1.35</t>
  </si>
  <si>
    <t>16.1.36</t>
  </si>
  <si>
    <t>16.1.37</t>
  </si>
  <si>
    <t>16.1.38</t>
  </si>
  <si>
    <t>16.1.39</t>
  </si>
  <si>
    <t>16.1.40</t>
  </si>
  <si>
    <t>16.1.41</t>
  </si>
  <si>
    <t>16.1.42</t>
  </si>
  <si>
    <t>16.1.43</t>
  </si>
  <si>
    <t>16.1.44</t>
  </si>
  <si>
    <t>16.1.45</t>
  </si>
  <si>
    <t>16.1.46</t>
  </si>
  <si>
    <t>16.1.47</t>
  </si>
  <si>
    <t>16.1.48</t>
  </si>
  <si>
    <t>16.1.49</t>
  </si>
  <si>
    <t>16.1.50</t>
  </si>
  <si>
    <t>16.1.51</t>
  </si>
  <si>
    <t>16.1.52</t>
  </si>
  <si>
    <t>16.1.53</t>
  </si>
  <si>
    <t>16.1.54</t>
  </si>
  <si>
    <t>16.1.55</t>
  </si>
  <si>
    <t>16.1.56</t>
  </si>
  <si>
    <t>16.1.57</t>
  </si>
  <si>
    <t>16.1.58</t>
  </si>
  <si>
    <t>16.1.59</t>
  </si>
  <si>
    <t>16.1.60</t>
  </si>
  <si>
    <t>16.1.61</t>
  </si>
  <si>
    <t>16.1.62</t>
  </si>
  <si>
    <t>16.1.63</t>
  </si>
  <si>
    <t>16.1.64</t>
  </si>
  <si>
    <t>16.1.65</t>
  </si>
  <si>
    <t>16.1.66</t>
  </si>
  <si>
    <t>16.1.67</t>
  </si>
  <si>
    <t>16.1.68</t>
  </si>
  <si>
    <t>16.1.69</t>
  </si>
  <si>
    <t>16.1.70</t>
  </si>
  <si>
    <t>16.1.71</t>
  </si>
  <si>
    <t>16.1.72</t>
  </si>
  <si>
    <t>16.1.73</t>
  </si>
  <si>
    <t>16.1.74</t>
  </si>
  <si>
    <t>16.1.75</t>
  </si>
  <si>
    <t>16.1.76</t>
  </si>
  <si>
    <t>16.1.77</t>
  </si>
  <si>
    <t>16.1.78</t>
  </si>
  <si>
    <t>16.1.79</t>
  </si>
  <si>
    <t>16.1.80</t>
  </si>
  <si>
    <t>16.1.81</t>
  </si>
  <si>
    <t>16.1.82</t>
  </si>
  <si>
    <t>16.1.83</t>
  </si>
  <si>
    <t>16.1.84</t>
  </si>
  <si>
    <t>16.1.85</t>
  </si>
  <si>
    <t>16.2</t>
  </si>
  <si>
    <t>16.2.1</t>
  </si>
  <si>
    <t>16.2.2</t>
  </si>
  <si>
    <t>16.2.3</t>
  </si>
  <si>
    <t>16.2.4</t>
  </si>
  <si>
    <t>16.2.5</t>
  </si>
  <si>
    <t>16.3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</si>
  <si>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</si>
  <si>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</si>
  <si>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</si>
  <si>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</si>
  <si>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</si>
  <si>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</si>
  <si>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</si>
  <si>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</si>
  <si>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</si>
  <si>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</si>
  <si>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</si>
  <si>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</si>
  <si>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</si>
  <si>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</si>
  <si>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</si>
  <si>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</si>
  <si>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</si>
  <si>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</si>
  <si>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</si>
  <si>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</si>
  <si>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</si>
  <si>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</si>
  <si>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17.1.11</t>
  </si>
  <si>
    <t>17.1.12</t>
  </si>
  <si>
    <t>17.2</t>
  </si>
  <si>
    <t>17.2.1</t>
  </si>
  <si>
    <t>17.2.2</t>
  </si>
  <si>
    <t>17.2.3</t>
  </si>
  <si>
    <t>17.2.4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</si>
  <si>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</si>
  <si>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</si>
  <si>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</si>
  <si>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</si>
  <si>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</si>
  <si>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</si>
  <si>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</si>
  <si>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</si>
  <si>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</si>
  <si>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</si>
  <si>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</si>
  <si>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</si>
  <si>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</si>
  <si>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</si>
  <si>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19.8</t>
  </si>
  <si>
    <t>20.1</t>
  </si>
  <si>
    <t>20.1.1</t>
  </si>
  <si>
    <t>20.1.2</t>
  </si>
  <si>
    <t>20.2</t>
  </si>
  <si>
    <t>20.2.1</t>
  </si>
  <si>
    <t>20.3</t>
  </si>
  <si>
    <t>20.3.1</t>
  </si>
  <si>
    <t>21.1</t>
  </si>
  <si>
    <t>22.1</t>
  </si>
  <si>
    <t>22.1.1</t>
  </si>
  <si>
    <t>22.1.2</t>
  </si>
  <si>
    <t>22.1.3</t>
  </si>
  <si>
    <t>22.1.4</t>
  </si>
  <si>
    <t>22.1.5</t>
  </si>
  <si>
    <t>22.1.6</t>
  </si>
  <si>
    <t>22.1.7</t>
  </si>
  <si>
    <t>22.2</t>
  </si>
  <si>
    <t>22.2.1</t>
  </si>
  <si>
    <t>22.2.2</t>
  </si>
  <si>
    <t>22.2.3</t>
  </si>
  <si>
    <t>22.2.4</t>
  </si>
  <si>
    <t>22.2.5</t>
  </si>
  <si>
    <t>22.2.6</t>
  </si>
  <si>
    <t>22.2.7</t>
  </si>
  <si>
    <t>22.2.8</t>
  </si>
  <si>
    <t>22.2.9</t>
  </si>
  <si>
    <t>22.2.10</t>
  </si>
  <si>
    <t>23.1</t>
  </si>
  <si>
    <t>23.2</t>
  </si>
  <si>
    <t>24.1</t>
  </si>
  <si>
    <t>24.2</t>
  </si>
  <si>
    <t>Valor Total com BDI (R$)</t>
  </si>
  <si>
    <t>BDI (R$)</t>
  </si>
  <si>
    <t>Valor Unit sem BDI</t>
  </si>
  <si>
    <t>Valor Total sem BDI (R$)</t>
  </si>
  <si>
    <t>PROPOSTA</t>
  </si>
  <si>
    <t>PREFEITURA MUNICIPAL DA ESTÂNCIA TURÍSTICA HIDROMINERAL DE SERRA NEGRA</t>
  </si>
  <si>
    <t>OBJETO:</t>
  </si>
  <si>
    <t>ENDEREÇO:</t>
  </si>
  <si>
    <t>Rua José Maria Franco de Godoi, nº 168 - Vila Dirce</t>
  </si>
  <si>
    <t>PLANILHA ORÇAMENTÁRIA</t>
  </si>
  <si>
    <t>BASE REFERENCIAL:</t>
  </si>
  <si>
    <t>SINAPI 11/24, CDHU 09/2024, SUDECAP 10/2024, ORSE 10/24, SBC 12/24, EMOP 11/24, IOPES 08/24, COTAÇÕES DE 01/25</t>
  </si>
  <si>
    <t>ENCARGOS:</t>
  </si>
  <si>
    <t>Desonerado</t>
  </si>
  <si>
    <t>FABIO POLIDORO NICOLETTI</t>
  </si>
  <si>
    <t>Engenheiro Civil - Resp. Técnico pelo Convênio</t>
  </si>
  <si>
    <t>CREA nº 5069531643</t>
  </si>
  <si>
    <t>ART nº 2620250048460</t>
  </si>
  <si>
    <t>Construção de uma Nova Unidade Básica de Saúde - UBS - Porte II no Loteamento Vila Dirce</t>
  </si>
  <si>
    <t xml:space="preserve"> 4.1.2</t>
  </si>
  <si>
    <t xml:space="preserve"> 4.1.3</t>
  </si>
  <si>
    <t xml:space="preserve"> 4.1.4</t>
  </si>
  <si>
    <t>CDHU</t>
  </si>
  <si>
    <t>25.01.450</t>
  </si>
  <si>
    <t>Caixilho em alumínio para pele de vidro, tipo fachada</t>
  </si>
  <si>
    <t>26.01.155</t>
  </si>
  <si>
    <t>Vidro liso laminado colorido de 10 mm</t>
  </si>
  <si>
    <t xml:space="preserve"> 8.1.4</t>
  </si>
  <si>
    <t>27.04.070</t>
  </si>
  <si>
    <t>Bate-maca ou protetor de parede em PVC, com amortecimento à impacto, altura de 200 mm</t>
  </si>
  <si>
    <t>4.1.5</t>
  </si>
  <si>
    <t>4.1.6</t>
  </si>
  <si>
    <t>4.1.7</t>
  </si>
  <si>
    <t>Cobogó de cimento (elemento vazado, circular) 30 x 30 x 5 cm, assentado com argamassa de cimento e areia</t>
  </si>
  <si>
    <t>QUANT.</t>
  </si>
  <si>
    <t>ADITIVO</t>
  </si>
  <si>
    <t>SUPRESSÃO</t>
  </si>
  <si>
    <t>CONSOLIDADO</t>
  </si>
  <si>
    <t>1º MEDIÇÃO</t>
  </si>
  <si>
    <t>ACUMULADO</t>
  </si>
  <si>
    <t>2º MEDIÇÃO</t>
  </si>
  <si>
    <t>3º MEDIÇÃO</t>
  </si>
  <si>
    <t>4º MEDIÇÃO</t>
  </si>
  <si>
    <t>5º MEDIÇÃO</t>
  </si>
  <si>
    <t>6º MEDIÇÃO</t>
  </si>
  <si>
    <t>7º MEDIÇÃO</t>
  </si>
  <si>
    <t>8º MEDIÇÃO</t>
  </si>
  <si>
    <t>9º MEDIÇÃO</t>
  </si>
  <si>
    <t>10º MEDIÇÃO</t>
  </si>
  <si>
    <t>11º MEDIÇÃO</t>
  </si>
  <si>
    <t>12º MEDIÇÃO</t>
  </si>
  <si>
    <t>13º MEDIÇÃO</t>
  </si>
  <si>
    <t>14º MEDIÇÃO</t>
  </si>
  <si>
    <t>15º MEDIÇÃO</t>
  </si>
  <si>
    <t>NF nº 415</t>
  </si>
  <si>
    <t>Data: 08/07/2025</t>
  </si>
  <si>
    <t>SALDO CONTRATUAL</t>
  </si>
  <si>
    <t>NF nº 419</t>
  </si>
  <si>
    <t>Data: 30/07/2025</t>
  </si>
  <si>
    <t>Serra Negra/SP, 18/09/2025</t>
  </si>
  <si>
    <t>NF nº 441</t>
  </si>
  <si>
    <t>Data: 19/09/2025</t>
  </si>
  <si>
    <t>NF nº 428</t>
  </si>
  <si>
    <t>Data: 26/08/2025</t>
  </si>
  <si>
    <t>NF nº 447</t>
  </si>
  <si>
    <t>Data: 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</si>
</sst>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2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8"/>
      <name val="Arial"/>
      <family val="1"/>
    </font>
    <font>
      <b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1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CF6"/>
      </patternFill>
    </fill>
    <fill>
      <patternFill patternType="solid">
        <fgColor rgb="FFD8ECF6"/>
      </patternFill>
    </fill>
    <fill>
      <patternFill patternType="solid">
        <fgColor rgb="FFD8ECF6"/>
      </patternFill>
    </fill>
    <fill>
      <patternFill patternType="solid">
        <fgColor rgb="FFD8ECF6"/>
      </patternFill>
    </fill>
    <fill>
      <patternFill patternType="solid">
        <fgColor rgb="FFD8ECF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rgb="FFCCCCCC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rgb="FFCCCCCC"/>
      </bottom>
      <diagonal/>
    </border>
    <border>
      <left style="medium">
        <color theme="1" tint="0.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theme="1" tint="0.499984740745262"/>
      </right>
      <top style="thin">
        <color rgb="FFCCCCCC"/>
      </top>
      <bottom style="thin">
        <color rgb="FFCCCCCC"/>
      </bottom>
      <diagonal/>
    </border>
    <border>
      <left style="medium">
        <color theme="1" tint="0.499984740745262"/>
      </left>
      <right style="thin">
        <color rgb="FFCCCCCC"/>
      </right>
      <top style="thin">
        <color rgb="FFCCCCCC"/>
      </top>
      <bottom style="medium">
        <color theme="1" tint="0.499984740745262"/>
      </bottom>
      <diagonal/>
    </border>
    <border>
      <left style="thin">
        <color rgb="FFCCCCCC"/>
      </left>
      <right style="medium">
        <color theme="1" tint="0.499984740745262"/>
      </right>
      <top style="thin">
        <color rgb="FFCCCCCC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center" vertical="top" wrapText="1"/>
    </xf>
    <xf numFmtId="0" fontId="7" fillId="7" borderId="6" xfId="0" applyFont="1" applyFill="1" applyBorder="1" applyAlignment="1">
      <alignment horizontal="right" vertical="top" wrapText="1"/>
    </xf>
    <xf numFmtId="4" fontId="8" fillId="8" borderId="7" xfId="0" applyNumberFormat="1" applyFont="1" applyFill="1" applyBorder="1" applyAlignment="1">
      <alignment horizontal="right" vertical="top" wrapText="1"/>
    </xf>
    <xf numFmtId="0" fontId="20" fillId="10" borderId="0" xfId="0" applyFont="1" applyFill="1" applyAlignment="1">
      <alignment horizontal="left" vertical="top" wrapText="1"/>
    </xf>
    <xf numFmtId="4" fontId="21" fillId="11" borderId="0" xfId="0" applyNumberFormat="1" applyFont="1" applyFill="1" applyAlignment="1">
      <alignment horizontal="right" vertical="top" wrapText="1"/>
    </xf>
    <xf numFmtId="164" fontId="22" fillId="12" borderId="0" xfId="0" applyNumberFormat="1" applyFont="1" applyFill="1" applyAlignment="1">
      <alignment horizontal="right" vertical="top" wrapText="1"/>
    </xf>
    <xf numFmtId="0" fontId="24" fillId="0" borderId="0" xfId="0" applyFont="1" applyAlignment="1">
      <alignment horizontal="center"/>
    </xf>
    <xf numFmtId="0" fontId="1" fillId="4" borderId="3" xfId="0" applyFont="1" applyFill="1" applyBorder="1" applyAlignment="1">
      <alignment horizontal="right" vertical="top" wrapText="1"/>
    </xf>
    <xf numFmtId="0" fontId="22" fillId="12" borderId="0" xfId="0" applyFont="1" applyFill="1" applyAlignment="1">
      <alignment horizontal="right" vertical="top" wrapText="1"/>
    </xf>
    <xf numFmtId="4" fontId="7" fillId="7" borderId="6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0" fillId="10" borderId="0" xfId="0" applyFont="1" applyFill="1" applyAlignment="1">
      <alignment horizontal="left"/>
    </xf>
    <xf numFmtId="0" fontId="0" fillId="0" borderId="17" xfId="0" applyBorder="1"/>
    <xf numFmtId="0" fontId="4" fillId="4" borderId="18" xfId="0" applyFont="1" applyFill="1" applyBorder="1" applyAlignment="1">
      <alignment horizontal="right" vertical="top" wrapText="1"/>
    </xf>
    <xf numFmtId="164" fontId="9" fillId="9" borderId="18" xfId="0" applyNumberFormat="1" applyFont="1" applyFill="1" applyBorder="1" applyAlignment="1">
      <alignment horizontal="right" vertical="top" wrapText="1"/>
    </xf>
    <xf numFmtId="0" fontId="4" fillId="4" borderId="21" xfId="0" applyFont="1" applyFill="1" applyBorder="1" applyAlignment="1">
      <alignment horizontal="right" vertical="top" wrapText="1"/>
    </xf>
    <xf numFmtId="0" fontId="4" fillId="4" borderId="22" xfId="0" applyFont="1" applyFill="1" applyBorder="1" applyAlignment="1">
      <alignment horizontal="right" vertical="top" wrapText="1"/>
    </xf>
    <xf numFmtId="4" fontId="8" fillId="8" borderId="21" xfId="0" applyNumberFormat="1" applyFont="1" applyFill="1" applyBorder="1" applyAlignment="1">
      <alignment horizontal="right" vertical="top" wrapText="1"/>
    </xf>
    <xf numFmtId="4" fontId="8" fillId="8" borderId="22" xfId="0" applyNumberFormat="1" applyFont="1" applyFill="1" applyBorder="1" applyAlignment="1">
      <alignment horizontal="right" vertical="top" wrapText="1"/>
    </xf>
    <xf numFmtId="0" fontId="1" fillId="4" borderId="21" xfId="0" applyFont="1" applyFill="1" applyBorder="1" applyAlignment="1">
      <alignment horizontal="right" vertical="top" wrapText="1"/>
    </xf>
    <xf numFmtId="0" fontId="4" fillId="4" borderId="16" xfId="0" applyFont="1" applyFill="1" applyBorder="1" applyAlignment="1">
      <alignment horizontal="right" vertical="top" wrapText="1"/>
    </xf>
    <xf numFmtId="0" fontId="1" fillId="4" borderId="16" xfId="0" applyFont="1" applyFill="1" applyBorder="1" applyAlignment="1">
      <alignment horizontal="right" vertical="top" wrapText="1"/>
    </xf>
    <xf numFmtId="4" fontId="8" fillId="8" borderId="16" xfId="0" applyNumberFormat="1" applyFont="1" applyFill="1" applyBorder="1" applyAlignment="1">
      <alignment horizontal="right" vertical="top" wrapText="1"/>
    </xf>
    <xf numFmtId="0" fontId="10" fillId="13" borderId="8" xfId="0" applyFont="1" applyFill="1" applyBorder="1" applyAlignment="1">
      <alignment horizontal="left" vertical="top" wrapText="1"/>
    </xf>
    <xf numFmtId="0" fontId="11" fillId="13" borderId="9" xfId="0" applyFont="1" applyFill="1" applyBorder="1" applyAlignment="1">
      <alignment horizontal="center" vertical="top" wrapText="1"/>
    </xf>
    <xf numFmtId="4" fontId="12" fillId="13" borderId="10" xfId="0" applyNumberFormat="1" applyFont="1" applyFill="1" applyBorder="1" applyAlignment="1">
      <alignment horizontal="right" vertical="top" wrapText="1"/>
    </xf>
    <xf numFmtId="4" fontId="13" fillId="13" borderId="11" xfId="0" applyNumberFormat="1" applyFont="1" applyFill="1" applyBorder="1" applyAlignment="1">
      <alignment horizontal="right" vertical="top" wrapText="1"/>
    </xf>
    <xf numFmtId="164" fontId="14" fillId="13" borderId="18" xfId="0" applyNumberFormat="1" applyFont="1" applyFill="1" applyBorder="1" applyAlignment="1">
      <alignment horizontal="right" vertical="top" wrapText="1"/>
    </xf>
    <xf numFmtId="4" fontId="13" fillId="13" borderId="21" xfId="0" applyNumberFormat="1" applyFont="1" applyFill="1" applyBorder="1" applyAlignment="1">
      <alignment horizontal="right" vertical="top" wrapText="1"/>
    </xf>
    <xf numFmtId="4" fontId="13" fillId="13" borderId="22" xfId="0" applyNumberFormat="1" applyFont="1" applyFill="1" applyBorder="1" applyAlignment="1">
      <alignment horizontal="right" vertical="top" wrapText="1"/>
    </xf>
    <xf numFmtId="4" fontId="13" fillId="13" borderId="16" xfId="0" applyNumberFormat="1" applyFont="1" applyFill="1" applyBorder="1" applyAlignment="1">
      <alignment horizontal="right" vertical="top" wrapText="1"/>
    </xf>
    <xf numFmtId="0" fontId="15" fillId="13" borderId="12" xfId="0" applyFont="1" applyFill="1" applyBorder="1" applyAlignment="1">
      <alignment horizontal="left" vertical="top" wrapText="1"/>
    </xf>
    <xf numFmtId="0" fontId="16" fillId="13" borderId="13" xfId="0" applyFont="1" applyFill="1" applyBorder="1" applyAlignment="1">
      <alignment horizontal="center" vertical="top" wrapText="1"/>
    </xf>
    <xf numFmtId="4" fontId="17" fillId="13" borderId="14" xfId="0" applyNumberFormat="1" applyFont="1" applyFill="1" applyBorder="1" applyAlignment="1">
      <alignment horizontal="right" vertical="top" wrapText="1"/>
    </xf>
    <xf numFmtId="4" fontId="18" fillId="13" borderId="15" xfId="0" applyNumberFormat="1" applyFont="1" applyFill="1" applyBorder="1" applyAlignment="1">
      <alignment horizontal="right" vertical="top" wrapText="1"/>
    </xf>
    <xf numFmtId="0" fontId="17" fillId="13" borderId="14" xfId="0" applyFont="1" applyFill="1" applyBorder="1" applyAlignment="1">
      <alignment horizontal="right" vertical="top" wrapText="1"/>
    </xf>
    <xf numFmtId="164" fontId="19" fillId="13" borderId="18" xfId="0" applyNumberFormat="1" applyFont="1" applyFill="1" applyBorder="1" applyAlignment="1">
      <alignment horizontal="right" vertical="top" wrapText="1"/>
    </xf>
    <xf numFmtId="4" fontId="18" fillId="13" borderId="21" xfId="0" applyNumberFormat="1" applyFont="1" applyFill="1" applyBorder="1" applyAlignment="1">
      <alignment horizontal="right" vertical="top" wrapText="1"/>
    </xf>
    <xf numFmtId="4" fontId="18" fillId="13" borderId="22" xfId="0" applyNumberFormat="1" applyFont="1" applyFill="1" applyBorder="1" applyAlignment="1">
      <alignment horizontal="right" vertical="top" wrapText="1"/>
    </xf>
    <xf numFmtId="4" fontId="18" fillId="13" borderId="16" xfId="0" applyNumberFormat="1" applyFont="1" applyFill="1" applyBorder="1" applyAlignment="1">
      <alignment horizontal="right" vertical="top" wrapText="1"/>
    </xf>
    <xf numFmtId="0" fontId="10" fillId="13" borderId="9" xfId="0" applyFont="1" applyFill="1" applyBorder="1" applyAlignment="1">
      <alignment horizontal="center" vertical="top" wrapText="1"/>
    </xf>
    <xf numFmtId="4" fontId="10" fillId="13" borderId="21" xfId="0" applyNumberFormat="1" applyFont="1" applyFill="1" applyBorder="1" applyAlignment="1">
      <alignment horizontal="right" vertical="top" wrapText="1"/>
    </xf>
    <xf numFmtId="0" fontId="10" fillId="13" borderId="12" xfId="0" applyFont="1" applyFill="1" applyBorder="1" applyAlignment="1">
      <alignment horizontal="left" vertical="top" wrapText="1"/>
    </xf>
    <xf numFmtId="4" fontId="13" fillId="13" borderId="23" xfId="0" applyNumberFormat="1" applyFont="1" applyFill="1" applyBorder="1" applyAlignment="1">
      <alignment horizontal="right" vertical="top" wrapText="1"/>
    </xf>
    <xf numFmtId="4" fontId="13" fillId="13" borderId="24" xfId="0" applyNumberFormat="1" applyFont="1" applyFill="1" applyBorder="1" applyAlignment="1">
      <alignment horizontal="right" vertical="top" wrapText="1"/>
    </xf>
    <xf numFmtId="4" fontId="13" fillId="13" borderId="26" xfId="0" applyNumberFormat="1" applyFont="1" applyFill="1" applyBorder="1" applyAlignment="1">
      <alignment horizontal="right" vertical="top" wrapText="1"/>
    </xf>
    <xf numFmtId="4" fontId="13" fillId="14" borderId="21" xfId="0" applyNumberFormat="1" applyFont="1" applyFill="1" applyBorder="1" applyAlignment="1">
      <alignment horizontal="right" vertical="top" wrapText="1"/>
    </xf>
    <xf numFmtId="4" fontId="13" fillId="14" borderId="16" xfId="0" applyNumberFormat="1" applyFont="1" applyFill="1" applyBorder="1" applyAlignment="1">
      <alignment horizontal="right" vertical="top" wrapText="1"/>
    </xf>
    <xf numFmtId="4" fontId="18" fillId="14" borderId="16" xfId="0" applyNumberFormat="1" applyFont="1" applyFill="1" applyBorder="1" applyAlignment="1">
      <alignment horizontal="right" vertical="top" wrapText="1"/>
    </xf>
    <xf numFmtId="0" fontId="24" fillId="0" borderId="19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4" fontId="24" fillId="0" borderId="0" xfId="0" applyNumberFormat="1" applyFont="1" applyAlignment="1">
      <alignment horizontal="center"/>
    </xf>
    <xf numFmtId="10" fontId="28" fillId="0" borderId="0" xfId="1" applyNumberFormat="1" applyFont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0" fillId="10" borderId="0" xfId="0" applyFont="1" applyFill="1" applyAlignment="1">
      <alignment horizontal="left" vertical="top" wrapText="1"/>
    </xf>
    <xf numFmtId="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3019426</xdr:colOff>
      <xdr:row>1</xdr:row>
      <xdr:rowOff>66674</xdr:rowOff>
    </xdr:from>
    <xdr:to>
      <xdr:col>3</xdr:col>
      <xdr:colOff>3924582</xdr:colOff>
      <xdr:row>3</xdr:row>
      <xdr:rowOff>353614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10DB9F-2343-89C3-A515-8AB199DE7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6" y="66674"/>
          <a:ext cx="905156" cy="829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517"/>
  <sheetViews>
    <sheetView tabSelected="1" showOutlineSymbols="0" showWhiteSpace="0" view="pageBreakPreview" topLeftCell="A12" zoomScaleNormal="100" zoomScaleSheetLayoutView="100" workbookViewId="0">
      <selection activeCell="L15" sqref="A15:L21"/>
    </sheetView>
  </sheetViews>
  <sheetFormatPr defaultRowHeight="13.8" x14ac:dyDescent="0.25"/>
  <cols>
    <col min="1" max="2" width="13" bestFit="1" customWidth="1"/>
    <col min="3" max="3" width="13.19921875" bestFit="1" customWidth="1"/>
    <col min="4" max="4" width="60" bestFit="1" customWidth="1"/>
    <col min="5" max="5" width="8" bestFit="1" customWidth="1"/>
    <col min="6" max="6" width="12.69921875" customWidth="1"/>
    <col min="7" max="7" width="6.3984375" hidden="1" customWidth="1"/>
    <col min="8" max="8" width="13" bestFit="1" customWidth="1"/>
    <col min="9" max="9" width="13" hidden="1" customWidth="1"/>
    <col min="10" max="11" width="13" bestFit="1" customWidth="1"/>
    <col min="12" max="12" width="16" customWidth="1"/>
    <col min="13" max="13" width="12.8984375" customWidth="1"/>
    <col min="14" max="15" width="14" customWidth="1"/>
    <col min="16" max="16" width="15" customWidth="1"/>
    <col min="17" max="17" width="14" customWidth="1"/>
    <col min="18" max="18" width="15" customWidth="1"/>
    <col min="19" max="19" width="14" customWidth="1"/>
    <col min="20" max="20" width="15" customWidth="1"/>
    <col min="21" max="21" width="14" customWidth="1"/>
    <col min="22" max="22" width="15" customWidth="1"/>
    <col min="23" max="23" width="14" customWidth="1"/>
    <col min="24" max="24" width="8.19921875" customWidth="1"/>
    <col min="25" max="25" width="14" customWidth="1"/>
    <col min="26" max="26" width="15" customWidth="1"/>
    <col min="27" max="27" width="14" customWidth="1"/>
    <col min="28" max="28" width="15" customWidth="1"/>
    <col min="29" max="29" width="14" customWidth="1"/>
    <col min="30" max="30" width="15" customWidth="1"/>
    <col min="31" max="31" width="14" customWidth="1"/>
    <col min="32" max="32" width="15" customWidth="1"/>
    <col min="33" max="33" width="14" hidden="1" customWidth="1"/>
    <col min="34" max="34" width="15" hidden="1" customWidth="1"/>
    <col min="35" max="35" width="14" hidden="1" customWidth="1"/>
    <col min="36" max="36" width="15" hidden="1" customWidth="1"/>
    <col min="37" max="37" width="14" hidden="1" customWidth="1"/>
    <col min="38" max="38" width="15" hidden="1" customWidth="1"/>
    <col min="39" max="39" width="14" hidden="1" customWidth="1"/>
    <col min="40" max="40" width="15" hidden="1" customWidth="1"/>
    <col min="41" max="41" width="14" hidden="1" customWidth="1"/>
    <col min="42" max="42" width="15" hidden="1" customWidth="1"/>
    <col min="43" max="43" width="14" hidden="1" customWidth="1"/>
    <col min="44" max="44" width="15" hidden="1" customWidth="1"/>
    <col min="45" max="45" width="14" hidden="1" customWidth="1"/>
    <col min="46" max="46" width="15" hidden="1" customWidth="1"/>
    <col min="47" max="47" width="14" hidden="1" customWidth="1"/>
    <col min="48" max="48" width="15" hidden="1" customWidth="1"/>
    <col min="49" max="49" width="14" hidden="1" customWidth="1"/>
    <col min="50" max="50" width="15" hidden="1" customWidth="1"/>
    <col min="51" max="51" width="14" customWidth="1"/>
    <col min="52" max="52" width="15" customWidth="1"/>
    <col min="53" max="53" width="14" customWidth="1"/>
    <col min="54" max="54" width="15" customWidth="1"/>
  </cols>
  <sheetData>
    <row r="1" spans="1:54" hidden="1" x14ac:dyDescent="0.25">
      <c r="L1" s="13">
        <v>0.92074100000000003</v>
      </c>
    </row>
    <row r="3" spans="1:54" ht="28.5" customHeight="1" x14ac:dyDescent="0.25"/>
    <row r="4" spans="1:54" ht="31.5" customHeight="1" x14ac:dyDescent="0.25"/>
    <row r="5" spans="1:54" ht="23.25" customHeight="1" x14ac:dyDescent="0.25">
      <c r="A5" s="64" t="s">
        <v>1317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54" ht="1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54" x14ac:dyDescent="0.25">
      <c r="A7" s="16" t="s">
        <v>1318</v>
      </c>
      <c r="B7" t="s">
        <v>1330</v>
      </c>
    </row>
    <row r="8" spans="1:54" x14ac:dyDescent="0.25">
      <c r="A8" s="16" t="s">
        <v>1319</v>
      </c>
      <c r="B8" t="s">
        <v>1320</v>
      </c>
    </row>
    <row r="10" spans="1:54" x14ac:dyDescent="0.25">
      <c r="A10" s="65" t="s">
        <v>1321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5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54" x14ac:dyDescent="0.25">
      <c r="A12" s="16" t="s">
        <v>1322</v>
      </c>
      <c r="E12" s="19" t="s">
        <v>1324</v>
      </c>
      <c r="U12" s="59" t="s">
        <v>1366</v>
      </c>
      <c r="V12" s="59"/>
      <c r="W12" s="59" t="s">
        <v>1369</v>
      </c>
      <c r="X12" s="59"/>
      <c r="Y12" s="59" t="s">
        <v>1374</v>
      </c>
      <c r="Z12" s="59"/>
      <c r="AA12" s="59" t="s">
        <v>1372</v>
      </c>
      <c r="AB12" s="59"/>
      <c r="AC12" s="59" t="s">
        <v>1376</v>
      </c>
      <c r="AD12" s="59"/>
    </row>
    <row r="13" spans="1:54" ht="22.5" customHeight="1" thickBot="1" x14ac:dyDescent="0.3">
      <c r="A13" s="18" t="s">
        <v>1323</v>
      </c>
      <c r="B13" s="8"/>
      <c r="C13" s="8"/>
      <c r="D13" s="8"/>
      <c r="E13" s="18" t="s">
        <v>1325</v>
      </c>
      <c r="F13" s="8"/>
      <c r="G13" s="8"/>
      <c r="H13" s="8"/>
      <c r="I13" s="8"/>
      <c r="J13" s="66" t="s">
        <v>0</v>
      </c>
      <c r="K13" s="66"/>
      <c r="L13" s="9">
        <f>K511</f>
        <v>2900000.0000000005</v>
      </c>
      <c r="U13" s="60" t="s">
        <v>1367</v>
      </c>
      <c r="V13" s="60"/>
      <c r="W13" s="60" t="s">
        <v>1370</v>
      </c>
      <c r="X13" s="60"/>
      <c r="Y13" s="60" t="s">
        <v>1375</v>
      </c>
      <c r="Z13" s="60"/>
      <c r="AA13" s="60" t="s">
        <v>1373</v>
      </c>
      <c r="AB13" s="60"/>
      <c r="AC13" s="60" t="s">
        <v>1377</v>
      </c>
      <c r="AD13" s="60"/>
    </row>
    <row r="14" spans="1:54" ht="20.10000000000000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66" t="s">
        <v>1</v>
      </c>
      <c r="K14" s="66"/>
      <c r="L14" s="10">
        <v>0.2034</v>
      </c>
      <c r="M14" s="57" t="s">
        <v>1316</v>
      </c>
      <c r="N14" s="63"/>
      <c r="O14" s="57" t="s">
        <v>1347</v>
      </c>
      <c r="P14" s="58"/>
      <c r="Q14" s="58" t="s">
        <v>1348</v>
      </c>
      <c r="R14" s="58"/>
      <c r="S14" s="58" t="s">
        <v>1349</v>
      </c>
      <c r="T14" s="63"/>
      <c r="U14" s="57" t="s">
        <v>1350</v>
      </c>
      <c r="V14" s="58"/>
      <c r="W14" s="58" t="s">
        <v>1352</v>
      </c>
      <c r="X14" s="58"/>
      <c r="Y14" s="58" t="s">
        <v>1353</v>
      </c>
      <c r="Z14" s="58"/>
      <c r="AA14" s="58" t="s">
        <v>1354</v>
      </c>
      <c r="AB14" s="58"/>
      <c r="AC14" s="58" t="s">
        <v>1355</v>
      </c>
      <c r="AD14" s="58"/>
      <c r="AE14" s="58" t="s">
        <v>1356</v>
      </c>
      <c r="AF14" s="58"/>
      <c r="AG14" s="58" t="s">
        <v>1357</v>
      </c>
      <c r="AH14" s="58"/>
      <c r="AI14" s="58" t="s">
        <v>1358</v>
      </c>
      <c r="AJ14" s="58"/>
      <c r="AK14" s="58" t="s">
        <v>1359</v>
      </c>
      <c r="AL14" s="58"/>
      <c r="AM14" s="58" t="s">
        <v>1360</v>
      </c>
      <c r="AN14" s="58"/>
      <c r="AO14" s="58" t="s">
        <v>1361</v>
      </c>
      <c r="AP14" s="58"/>
      <c r="AQ14" s="58" t="s">
        <v>1362</v>
      </c>
      <c r="AR14" s="58"/>
      <c r="AS14" s="58" t="s">
        <v>1363</v>
      </c>
      <c r="AT14" s="58"/>
      <c r="AU14" s="58" t="s">
        <v>1364</v>
      </c>
      <c r="AV14" s="58"/>
      <c r="AW14" s="58" t="s">
        <v>1365</v>
      </c>
      <c r="AX14" s="63"/>
      <c r="AY14" s="57" t="s">
        <v>1351</v>
      </c>
      <c r="AZ14" s="58"/>
      <c r="BA14" s="58" t="s">
        <v>1368</v>
      </c>
      <c r="BB14" s="63"/>
    </row>
    <row r="15" spans="1:54" ht="30" customHeight="1" x14ac:dyDescent="0.25">
      <c r="A15" s="1" t="s">
        <v>2</v>
      </c>
      <c r="B15" s="3" t="s">
        <v>3</v>
      </c>
      <c r="C15" s="1" t="s">
        <v>4</v>
      </c>
      <c r="D15" s="1" t="s">
        <v>5</v>
      </c>
      <c r="E15" s="2" t="s">
        <v>6</v>
      </c>
      <c r="F15" s="3" t="s">
        <v>7</v>
      </c>
      <c r="G15" s="12" t="s">
        <v>1314</v>
      </c>
      <c r="H15" s="12" t="s">
        <v>1314</v>
      </c>
      <c r="I15" s="3" t="s">
        <v>9</v>
      </c>
      <c r="J15" s="3" t="s">
        <v>8</v>
      </c>
      <c r="K15" s="3" t="s">
        <v>9</v>
      </c>
      <c r="L15" s="21" t="s">
        <v>10</v>
      </c>
      <c r="M15" s="23" t="s">
        <v>8</v>
      </c>
      <c r="N15" s="24" t="s">
        <v>9</v>
      </c>
      <c r="O15" s="27" t="s">
        <v>1346</v>
      </c>
      <c r="P15" s="28" t="s">
        <v>9</v>
      </c>
      <c r="Q15" s="29" t="s">
        <v>1346</v>
      </c>
      <c r="R15" s="28" t="s">
        <v>9</v>
      </c>
      <c r="S15" s="29" t="s">
        <v>1346</v>
      </c>
      <c r="T15" s="24" t="s">
        <v>9</v>
      </c>
      <c r="U15" s="27" t="s">
        <v>1346</v>
      </c>
      <c r="V15" s="28" t="s">
        <v>9</v>
      </c>
      <c r="W15" s="29" t="s">
        <v>1346</v>
      </c>
      <c r="X15" s="28" t="s">
        <v>9</v>
      </c>
      <c r="Y15" s="29" t="s">
        <v>1346</v>
      </c>
      <c r="Z15" s="28" t="s">
        <v>9</v>
      </c>
      <c r="AA15" s="29" t="s">
        <v>1346</v>
      </c>
      <c r="AB15" s="28" t="s">
        <v>9</v>
      </c>
      <c r="AC15" s="29" t="s">
        <v>1346</v>
      </c>
      <c r="AD15" s="28" t="s">
        <v>9</v>
      </c>
      <c r="AE15" s="29" t="s">
        <v>1346</v>
      </c>
      <c r="AF15" s="28" t="s">
        <v>9</v>
      </c>
      <c r="AG15" s="29" t="s">
        <v>1346</v>
      </c>
      <c r="AH15" s="28" t="s">
        <v>9</v>
      </c>
      <c r="AI15" s="29" t="s">
        <v>1346</v>
      </c>
      <c r="AJ15" s="28" t="s">
        <v>9</v>
      </c>
      <c r="AK15" s="29" t="s">
        <v>1346</v>
      </c>
      <c r="AL15" s="28" t="s">
        <v>9</v>
      </c>
      <c r="AM15" s="29" t="s">
        <v>1346</v>
      </c>
      <c r="AN15" s="28" t="s">
        <v>9</v>
      </c>
      <c r="AO15" s="29" t="s">
        <v>1346</v>
      </c>
      <c r="AP15" s="28" t="s">
        <v>9</v>
      </c>
      <c r="AQ15" s="29" t="s">
        <v>1346</v>
      </c>
      <c r="AR15" s="28" t="s">
        <v>9</v>
      </c>
      <c r="AS15" s="29" t="s">
        <v>1346</v>
      </c>
      <c r="AT15" s="28" t="s">
        <v>9</v>
      </c>
      <c r="AU15" s="29" t="s">
        <v>1346</v>
      </c>
      <c r="AV15" s="28" t="s">
        <v>9</v>
      </c>
      <c r="AW15" s="29" t="s">
        <v>1346</v>
      </c>
      <c r="AX15" s="24" t="s">
        <v>9</v>
      </c>
      <c r="AY15" s="27" t="s">
        <v>1346</v>
      </c>
      <c r="AZ15" s="28" t="s">
        <v>9</v>
      </c>
      <c r="BA15" s="29" t="s">
        <v>1346</v>
      </c>
      <c r="BB15" s="24" t="s">
        <v>9</v>
      </c>
    </row>
    <row r="16" spans="1:54" ht="24" customHeight="1" x14ac:dyDescent="0.25">
      <c r="A16" s="4" t="s">
        <v>11</v>
      </c>
      <c r="B16" s="4" t="s">
        <v>12</v>
      </c>
      <c r="C16" s="4"/>
      <c r="D16" s="4" t="s">
        <v>13</v>
      </c>
      <c r="E16" s="5"/>
      <c r="F16" s="6"/>
      <c r="G16" s="6" t="s">
        <v>14</v>
      </c>
      <c r="H16" s="6" t="s">
        <v>14</v>
      </c>
      <c r="I16" s="7">
        <f>I17</f>
        <v>71378.890000000014</v>
      </c>
      <c r="J16" s="7"/>
      <c r="K16" s="7">
        <f>K17</f>
        <v>85893.739999999991</v>
      </c>
      <c r="L16" s="22">
        <f>K16 / L13</f>
        <v>2.961853103448275E-2</v>
      </c>
      <c r="M16" s="25"/>
      <c r="N16" s="26">
        <f>N17</f>
        <v>56695.599999999991</v>
      </c>
      <c r="O16" s="25"/>
      <c r="P16" s="30">
        <f>P17</f>
        <v>0</v>
      </c>
      <c r="Q16" s="30"/>
      <c r="R16" s="30">
        <f>R17</f>
        <v>0</v>
      </c>
      <c r="S16" s="30"/>
      <c r="T16" s="26">
        <f>T17</f>
        <v>56695.599999999991</v>
      </c>
      <c r="U16" s="25"/>
      <c r="V16" s="30">
        <f>V17</f>
        <v>14893.05</v>
      </c>
      <c r="W16" s="30"/>
      <c r="X16" s="30">
        <f>X17</f>
        <v>1367.9099999999999</v>
      </c>
      <c r="Y16" s="30"/>
      <c r="Z16" s="30">
        <f>Z17</f>
        <v>1367.9099999999999</v>
      </c>
      <c r="AA16" s="30"/>
      <c r="AB16" s="30">
        <f>AB17</f>
        <v>1367.9099999999999</v>
      </c>
      <c r="AC16" s="30"/>
      <c r="AD16" s="30">
        <f>AD17</f>
        <v>13424.89</v>
      </c>
      <c r="AE16" s="30"/>
      <c r="AF16" s="30">
        <f>AF17</f>
        <v>3968.0699999999997</v>
      </c>
      <c r="AG16" s="30"/>
      <c r="AH16" s="30">
        <f>AH17</f>
        <v>0</v>
      </c>
      <c r="AI16" s="30"/>
      <c r="AJ16" s="30">
        <f>AJ17</f>
        <v>0</v>
      </c>
      <c r="AK16" s="30"/>
      <c r="AL16" s="30">
        <f>AL17</f>
        <v>0</v>
      </c>
      <c r="AM16" s="30"/>
      <c r="AN16" s="30">
        <f>AN17</f>
        <v>0</v>
      </c>
      <c r="AO16" s="30"/>
      <c r="AP16" s="30">
        <f>AP17</f>
        <v>0</v>
      </c>
      <c r="AQ16" s="30"/>
      <c r="AR16" s="30">
        <f>AR17</f>
        <v>0</v>
      </c>
      <c r="AS16" s="30"/>
      <c r="AT16" s="30">
        <f>AT17</f>
        <v>0</v>
      </c>
      <c r="AU16" s="30"/>
      <c r="AV16" s="30">
        <f>AV17</f>
        <v>0</v>
      </c>
      <c r="AW16" s="30"/>
      <c r="AX16" s="26">
        <f>AX17</f>
        <v>0</v>
      </c>
      <c r="AY16" s="25"/>
      <c r="AZ16" s="30">
        <f>AZ17</f>
        <v>36389.74</v>
      </c>
      <c r="BA16" s="30"/>
      <c r="BB16" s="26">
        <f>BB17</f>
        <v>20305.86</v>
      </c>
    </row>
    <row r="17" spans="1:54" ht="24" customHeight="1" x14ac:dyDescent="0.25">
      <c r="A17" s="4" t="s">
        <v>15</v>
      </c>
      <c r="B17" s="4" t="s">
        <v>12</v>
      </c>
      <c r="C17" s="4"/>
      <c r="D17" s="4" t="s">
        <v>16</v>
      </c>
      <c r="E17" s="5"/>
      <c r="F17" s="6"/>
      <c r="G17" s="6" t="s">
        <v>14</v>
      </c>
      <c r="H17" s="6" t="s">
        <v>14</v>
      </c>
      <c r="I17" s="7">
        <f>SUM(I18:I26)</f>
        <v>71378.890000000014</v>
      </c>
      <c r="J17" s="7"/>
      <c r="K17" s="7">
        <f>SUM(K18:K26)</f>
        <v>85893.739999999991</v>
      </c>
      <c r="L17" s="22">
        <f>K17 / L13</f>
        <v>2.961853103448275E-2</v>
      </c>
      <c r="M17" s="25"/>
      <c r="N17" s="26">
        <f>SUM(N18:N26)</f>
        <v>56695.599999999991</v>
      </c>
      <c r="O17" s="25"/>
      <c r="P17" s="30">
        <f>SUM(P18:P26)</f>
        <v>0</v>
      </c>
      <c r="Q17" s="30"/>
      <c r="R17" s="30">
        <f>SUM(R18:R26)</f>
        <v>0</v>
      </c>
      <c r="S17" s="30"/>
      <c r="T17" s="26">
        <f>SUM(T18:T26)</f>
        <v>56695.599999999991</v>
      </c>
      <c r="U17" s="25"/>
      <c r="V17" s="30">
        <f>SUM(V18:V26)</f>
        <v>14893.05</v>
      </c>
      <c r="W17" s="30"/>
      <c r="X17" s="30">
        <f>SUM(X18:X26)</f>
        <v>1367.9099999999999</v>
      </c>
      <c r="Y17" s="30"/>
      <c r="Z17" s="30">
        <f>SUM(Z18:Z26)</f>
        <v>1367.9099999999999</v>
      </c>
      <c r="AA17" s="30"/>
      <c r="AB17" s="30">
        <f>SUM(AB18:AB26)</f>
        <v>1367.9099999999999</v>
      </c>
      <c r="AC17" s="30"/>
      <c r="AD17" s="30">
        <f>SUM(AD18:AD26)</f>
        <v>13424.89</v>
      </c>
      <c r="AE17" s="30"/>
      <c r="AF17" s="30">
        <f>SUM(AF18:AF26)</f>
        <v>3968.0699999999997</v>
      </c>
      <c r="AG17" s="30"/>
      <c r="AH17" s="30">
        <f>SUM(AH18:AH26)</f>
        <v>0</v>
      </c>
      <c r="AI17" s="30"/>
      <c r="AJ17" s="30">
        <f>SUM(AJ18:AJ26)</f>
        <v>0</v>
      </c>
      <c r="AK17" s="30"/>
      <c r="AL17" s="30">
        <f>SUM(AL18:AL26)</f>
        <v>0</v>
      </c>
      <c r="AM17" s="30"/>
      <c r="AN17" s="30">
        <f>SUM(AN18:AN26)</f>
        <v>0</v>
      </c>
      <c r="AO17" s="30"/>
      <c r="AP17" s="30">
        <f>SUM(AP18:AP26)</f>
        <v>0</v>
      </c>
      <c r="AQ17" s="30"/>
      <c r="AR17" s="30">
        <f>SUM(AR18:AR26)</f>
        <v>0</v>
      </c>
      <c r="AS17" s="30"/>
      <c r="AT17" s="30">
        <f>SUM(AT18:AT26)</f>
        <v>0</v>
      </c>
      <c r="AU17" s="30"/>
      <c r="AV17" s="30">
        <f>SUM(AV18:AV26)</f>
        <v>0</v>
      </c>
      <c r="AW17" s="30"/>
      <c r="AX17" s="26">
        <f>SUM(AX18:AX26)</f>
        <v>0</v>
      </c>
      <c r="AY17" s="25"/>
      <c r="AZ17" s="30">
        <f>SUM(AZ18:AZ26)</f>
        <v>36389.74</v>
      </c>
      <c r="BA17" s="30"/>
      <c r="BB17" s="26">
        <f>SUM(BB18:BB26)</f>
        <v>20305.86</v>
      </c>
    </row>
    <row r="18" spans="1:54" ht="26.1" customHeight="1" x14ac:dyDescent="0.25">
      <c r="A18" s="31" t="s">
        <v>17</v>
      </c>
      <c r="B18" s="31" t="s">
        <v>18</v>
      </c>
      <c r="C18" s="31" t="s">
        <v>19</v>
      </c>
      <c r="D18" s="31" t="s">
        <v>20</v>
      </c>
      <c r="E18" s="32" t="s">
        <v>21</v>
      </c>
      <c r="F18" s="33">
        <v>12</v>
      </c>
      <c r="G18" s="34">
        <v>895.6</v>
      </c>
      <c r="H18" s="34">
        <f>TRUNC(G18*$L$1,2)</f>
        <v>824.61</v>
      </c>
      <c r="I18" s="34">
        <f>TRUNC(F18 * H18,2)</f>
        <v>9895.32</v>
      </c>
      <c r="J18" s="34">
        <f>(TRUNC(H18 * L14,2) + H18)</f>
        <v>992.33</v>
      </c>
      <c r="K18" s="34">
        <f t="shared" ref="K18:K26" si="0">TRUNC(F18 * J18,2)</f>
        <v>11907.96</v>
      </c>
      <c r="L18" s="35">
        <f>K18 / L13</f>
        <v>4.1061931034482753E-3</v>
      </c>
      <c r="M18" s="36">
        <v>672.98</v>
      </c>
      <c r="N18" s="37">
        <f>TRUNC(F18 * M18,2)</f>
        <v>8075.76</v>
      </c>
      <c r="O18" s="36"/>
      <c r="P18" s="38">
        <f>TRUNC($M18 * O18,2)</f>
        <v>0</v>
      </c>
      <c r="Q18" s="38"/>
      <c r="R18" s="38">
        <f>TRUNC($M18 * Q18,2)</f>
        <v>0</v>
      </c>
      <c r="S18" s="38">
        <f>F18+O18-Q18</f>
        <v>12</v>
      </c>
      <c r="T18" s="37">
        <f>TRUNC($M18 * S18,2)</f>
        <v>8075.76</v>
      </c>
      <c r="U18" s="54">
        <v>1</v>
      </c>
      <c r="V18" s="55">
        <f>TRUNC($M18 * U18,2)</f>
        <v>672.98</v>
      </c>
      <c r="W18" s="55">
        <v>1</v>
      </c>
      <c r="X18" s="55">
        <f>TRUNC($M18 * W18,2)</f>
        <v>672.98</v>
      </c>
      <c r="Y18" s="55">
        <v>1</v>
      </c>
      <c r="Z18" s="55">
        <f>TRUNC($M18 * Y18,2)</f>
        <v>672.98</v>
      </c>
      <c r="AA18" s="55">
        <v>1</v>
      </c>
      <c r="AB18" s="55">
        <f>TRUNC($M18 * AA18,2)</f>
        <v>672.98</v>
      </c>
      <c r="AC18" s="55">
        <v>1</v>
      </c>
      <c r="AD18" s="55">
        <f>TRUNC($M18 * AC18,2)</f>
        <v>672.98</v>
      </c>
      <c r="AE18" s="55">
        <v>1</v>
      </c>
      <c r="AF18" s="55">
        <f>TRUNC($M18 * AE18,2)</f>
        <v>672.98</v>
      </c>
      <c r="AG18" s="38"/>
      <c r="AH18" s="38">
        <f>TRUNC($M18 * AG18,2)</f>
        <v>0</v>
      </c>
      <c r="AI18" s="38"/>
      <c r="AJ18" s="38">
        <f>TRUNC($M18 * AI18,2)</f>
        <v>0</v>
      </c>
      <c r="AK18" s="38"/>
      <c r="AL18" s="38">
        <f>TRUNC($M18 * AK18,2)</f>
        <v>0</v>
      </c>
      <c r="AM18" s="38"/>
      <c r="AN18" s="38">
        <f>TRUNC($M18 * AM18,2)</f>
        <v>0</v>
      </c>
      <c r="AO18" s="38"/>
      <c r="AP18" s="38">
        <f>TRUNC($M18 * AO18,2)</f>
        <v>0</v>
      </c>
      <c r="AQ18" s="38"/>
      <c r="AR18" s="38">
        <f>TRUNC($M18 * AQ18,2)</f>
        <v>0</v>
      </c>
      <c r="AS18" s="38"/>
      <c r="AT18" s="38">
        <f>TRUNC($M18 * AS18,2)</f>
        <v>0</v>
      </c>
      <c r="AU18" s="38"/>
      <c r="AV18" s="38">
        <f>TRUNC($M18 * AU18,2)</f>
        <v>0</v>
      </c>
      <c r="AW18" s="38"/>
      <c r="AX18" s="37">
        <f>TRUNC($M18 * AW18,2)</f>
        <v>0</v>
      </c>
      <c r="AY18" s="36">
        <f>SUM(U18,W18,Y18,AA18,AC18,AE18,AG18,AI18,AK18,AM18,AO18,AQ18,AS18,AU18,AW18)</f>
        <v>6</v>
      </c>
      <c r="AZ18" s="38">
        <f>TRUNC($M18 * AY18,2)</f>
        <v>4037.88</v>
      </c>
      <c r="BA18" s="38">
        <f>S18-AY18</f>
        <v>6</v>
      </c>
      <c r="BB18" s="37">
        <f>TRUNC($M18 * BA18,2)</f>
        <v>4037.88</v>
      </c>
    </row>
    <row r="19" spans="1:54" ht="39" customHeight="1" x14ac:dyDescent="0.25">
      <c r="A19" s="31" t="s">
        <v>22</v>
      </c>
      <c r="B19" s="31" t="s">
        <v>23</v>
      </c>
      <c r="C19" s="31" t="s">
        <v>24</v>
      </c>
      <c r="D19" s="31" t="s">
        <v>25</v>
      </c>
      <c r="E19" s="32" t="s">
        <v>26</v>
      </c>
      <c r="F19" s="33">
        <v>16</v>
      </c>
      <c r="G19" s="34">
        <v>193.83</v>
      </c>
      <c r="H19" s="34">
        <f>TRUNC(G19*$L$1,2)</f>
        <v>178.46</v>
      </c>
      <c r="I19" s="34">
        <f t="shared" ref="I19:I26" si="1">TRUNC(F19 * H19,2)</f>
        <v>2855.36</v>
      </c>
      <c r="J19" s="34">
        <f>(TRUNC(H19 * L14,2) + H19)</f>
        <v>214.75</v>
      </c>
      <c r="K19" s="34">
        <f t="shared" si="0"/>
        <v>3436</v>
      </c>
      <c r="L19" s="35">
        <f>K19 / L13</f>
        <v>1.1848275862068965E-3</v>
      </c>
      <c r="M19" s="36">
        <v>162.51</v>
      </c>
      <c r="N19" s="37">
        <f t="shared" ref="N19:N26" si="2">TRUNC(F19 * M19,2)</f>
        <v>2600.16</v>
      </c>
      <c r="O19" s="36"/>
      <c r="P19" s="38">
        <f t="shared" ref="P19:R26" si="3">TRUNC($M19 * O19,2)</f>
        <v>0</v>
      </c>
      <c r="Q19" s="38"/>
      <c r="R19" s="38">
        <f>TRUNC($M19 * Q19,2)</f>
        <v>0</v>
      </c>
      <c r="S19" s="38">
        <f t="shared" ref="S19:S26" si="4">F19+O19-Q19</f>
        <v>16</v>
      </c>
      <c r="T19" s="37">
        <f>TRUNC($M19 * S19,2)</f>
        <v>2600.16</v>
      </c>
      <c r="U19" s="36"/>
      <c r="V19" s="38">
        <f>TRUNC($M19 * U19,2)</f>
        <v>0</v>
      </c>
      <c r="W19" s="38"/>
      <c r="X19" s="38">
        <f>TRUNC($M19 * W19,2)</f>
        <v>0</v>
      </c>
      <c r="Y19" s="38"/>
      <c r="Z19" s="38">
        <f>TRUNC($M19 * Y19,2)</f>
        <v>0</v>
      </c>
      <c r="AA19" s="38"/>
      <c r="AB19" s="38">
        <f>TRUNC($M19 * AA19,2)</f>
        <v>0</v>
      </c>
      <c r="AC19" s="38"/>
      <c r="AD19" s="38">
        <f>TRUNC($M19 * AC19,2)</f>
        <v>0</v>
      </c>
      <c r="AE19" s="55">
        <v>16</v>
      </c>
      <c r="AF19" s="55">
        <f>TRUNC($M19 * AE19,2)</f>
        <v>2600.16</v>
      </c>
      <c r="AG19" s="38"/>
      <c r="AH19" s="38">
        <f>TRUNC($M19 * AG19,2)</f>
        <v>0</v>
      </c>
      <c r="AI19" s="38"/>
      <c r="AJ19" s="38">
        <f>TRUNC($M19 * AI19,2)</f>
        <v>0</v>
      </c>
      <c r="AK19" s="38"/>
      <c r="AL19" s="38">
        <f>TRUNC($M19 * AK19,2)</f>
        <v>0</v>
      </c>
      <c r="AM19" s="38"/>
      <c r="AN19" s="38">
        <f>TRUNC($M19 * AM19,2)</f>
        <v>0</v>
      </c>
      <c r="AO19" s="38"/>
      <c r="AP19" s="38">
        <f>TRUNC($M19 * AO19,2)</f>
        <v>0</v>
      </c>
      <c r="AQ19" s="38"/>
      <c r="AR19" s="38">
        <f>TRUNC($M19 * AQ19,2)</f>
        <v>0</v>
      </c>
      <c r="AS19" s="38"/>
      <c r="AT19" s="38">
        <f>TRUNC($M19 * AS19,2)</f>
        <v>0</v>
      </c>
      <c r="AU19" s="38"/>
      <c r="AV19" s="38">
        <f>TRUNC($M19 * AU19,2)</f>
        <v>0</v>
      </c>
      <c r="AW19" s="38"/>
      <c r="AX19" s="37">
        <f>TRUNC($M19 * AW19,2)</f>
        <v>0</v>
      </c>
      <c r="AY19" s="36">
        <f t="shared" ref="AY19:AY26" si="5">SUM(U19,W19,Y19,AA19,AC19,AE19,AG19,AI19,AK19,AM19,AO19,AQ19,AS19,AU19,AW19)</f>
        <v>16</v>
      </c>
      <c r="AZ19" s="38">
        <f>TRUNC($M19 * AY19,2)</f>
        <v>2600.16</v>
      </c>
      <c r="BA19" s="38">
        <f t="shared" ref="BA19:BA26" si="6">S19-AY19</f>
        <v>0</v>
      </c>
      <c r="BB19" s="37">
        <f>TRUNC($M19 * BA19,2)</f>
        <v>0</v>
      </c>
    </row>
    <row r="20" spans="1:54" ht="24" customHeight="1" x14ac:dyDescent="0.25">
      <c r="A20" s="31" t="s">
        <v>27</v>
      </c>
      <c r="B20" s="31" t="s">
        <v>28</v>
      </c>
      <c r="C20" s="31" t="s">
        <v>29</v>
      </c>
      <c r="D20" s="31" t="s">
        <v>30</v>
      </c>
      <c r="E20" s="32" t="s">
        <v>31</v>
      </c>
      <c r="F20" s="33">
        <v>12</v>
      </c>
      <c r="G20" s="34">
        <v>980</v>
      </c>
      <c r="H20" s="34">
        <f t="shared" ref="H20:H26" si="7">TRUNC(G20*$L$1,2)</f>
        <v>902.32</v>
      </c>
      <c r="I20" s="34">
        <f t="shared" si="1"/>
        <v>10827.84</v>
      </c>
      <c r="J20" s="34">
        <f>(TRUNC(H20 * L14,2) + H20)</f>
        <v>1085.8500000000001</v>
      </c>
      <c r="K20" s="34">
        <f t="shared" si="0"/>
        <v>13030.2</v>
      </c>
      <c r="L20" s="35">
        <f>K20 / L13</f>
        <v>4.4931724137931032E-3</v>
      </c>
      <c r="M20" s="36">
        <v>694.93</v>
      </c>
      <c r="N20" s="37">
        <f t="shared" si="2"/>
        <v>8339.16</v>
      </c>
      <c r="O20" s="36"/>
      <c r="P20" s="38">
        <f t="shared" si="3"/>
        <v>0</v>
      </c>
      <c r="Q20" s="38"/>
      <c r="R20" s="38">
        <f t="shared" si="3"/>
        <v>0</v>
      </c>
      <c r="S20" s="38">
        <f t="shared" si="4"/>
        <v>12</v>
      </c>
      <c r="T20" s="37">
        <f t="shared" ref="T20:V20" si="8">TRUNC($M20 * S20,2)</f>
        <v>8339.16</v>
      </c>
      <c r="U20" s="54">
        <v>1</v>
      </c>
      <c r="V20" s="55">
        <f t="shared" si="8"/>
        <v>694.93</v>
      </c>
      <c r="W20" s="55">
        <v>1</v>
      </c>
      <c r="X20" s="55">
        <f t="shared" ref="X20" si="9">TRUNC($M20 * W20,2)</f>
        <v>694.93</v>
      </c>
      <c r="Y20" s="55">
        <v>1</v>
      </c>
      <c r="Z20" s="55">
        <f t="shared" ref="Z20" si="10">TRUNC($M20 * Y20,2)</f>
        <v>694.93</v>
      </c>
      <c r="AA20" s="55">
        <v>1</v>
      </c>
      <c r="AB20" s="55">
        <f t="shared" ref="AB20" si="11">TRUNC($M20 * AA20,2)</f>
        <v>694.93</v>
      </c>
      <c r="AC20" s="55">
        <v>1</v>
      </c>
      <c r="AD20" s="55">
        <f t="shared" ref="AD20" si="12">TRUNC($M20 * AC20,2)</f>
        <v>694.93</v>
      </c>
      <c r="AE20" s="55">
        <v>1</v>
      </c>
      <c r="AF20" s="55">
        <f t="shared" ref="AF20" si="13">TRUNC($M20 * AE20,2)</f>
        <v>694.93</v>
      </c>
      <c r="AG20" s="38"/>
      <c r="AH20" s="38">
        <f t="shared" ref="AH20" si="14">TRUNC($M20 * AG20,2)</f>
        <v>0</v>
      </c>
      <c r="AI20" s="38"/>
      <c r="AJ20" s="38">
        <f t="shared" ref="AJ20" si="15">TRUNC($M20 * AI20,2)</f>
        <v>0</v>
      </c>
      <c r="AK20" s="38"/>
      <c r="AL20" s="38">
        <f t="shared" ref="AL20" si="16">TRUNC($M20 * AK20,2)</f>
        <v>0</v>
      </c>
      <c r="AM20" s="38"/>
      <c r="AN20" s="38">
        <f t="shared" ref="AN20" si="17">TRUNC($M20 * AM20,2)</f>
        <v>0</v>
      </c>
      <c r="AO20" s="38"/>
      <c r="AP20" s="38">
        <f t="shared" ref="AP20" si="18">TRUNC($M20 * AO20,2)</f>
        <v>0</v>
      </c>
      <c r="AQ20" s="38"/>
      <c r="AR20" s="38">
        <f t="shared" ref="AR20" si="19">TRUNC($M20 * AQ20,2)</f>
        <v>0</v>
      </c>
      <c r="AS20" s="38"/>
      <c r="AT20" s="38">
        <f t="shared" ref="AT20" si="20">TRUNC($M20 * AS20,2)</f>
        <v>0</v>
      </c>
      <c r="AU20" s="38"/>
      <c r="AV20" s="38">
        <f t="shared" ref="AV20" si="21">TRUNC($M20 * AU20,2)</f>
        <v>0</v>
      </c>
      <c r="AW20" s="38"/>
      <c r="AX20" s="37">
        <f t="shared" ref="AX20" si="22">TRUNC($M20 * AW20,2)</f>
        <v>0</v>
      </c>
      <c r="AY20" s="36">
        <f t="shared" si="5"/>
        <v>6</v>
      </c>
      <c r="AZ20" s="38">
        <f t="shared" ref="AZ20" si="23">TRUNC($M20 * AY20,2)</f>
        <v>4169.58</v>
      </c>
      <c r="BA20" s="38">
        <f t="shared" si="6"/>
        <v>6</v>
      </c>
      <c r="BB20" s="37">
        <f t="shared" ref="BB20" si="24">TRUNC($M20 * BA20,2)</f>
        <v>4169.58</v>
      </c>
    </row>
    <row r="21" spans="1:54" ht="51.9" customHeight="1" x14ac:dyDescent="0.25">
      <c r="A21" s="31" t="s">
        <v>32</v>
      </c>
      <c r="B21" s="31" t="s">
        <v>33</v>
      </c>
      <c r="C21" s="31" t="s">
        <v>34</v>
      </c>
      <c r="D21" s="31" t="s">
        <v>35</v>
      </c>
      <c r="E21" s="32" t="s">
        <v>36</v>
      </c>
      <c r="F21" s="33">
        <v>1</v>
      </c>
      <c r="G21" s="34">
        <v>601.14</v>
      </c>
      <c r="H21" s="34">
        <f t="shared" si="7"/>
        <v>553.49</v>
      </c>
      <c r="I21" s="34">
        <f t="shared" si="1"/>
        <v>553.49</v>
      </c>
      <c r="J21" s="34">
        <f>(TRUNC(H21 * L14,2) + H21)</f>
        <v>666.06</v>
      </c>
      <c r="K21" s="34">
        <f t="shared" si="0"/>
        <v>666.06</v>
      </c>
      <c r="L21" s="35">
        <f>K21 / L13</f>
        <v>2.2967586206896546E-4</v>
      </c>
      <c r="M21" s="36">
        <v>463.73</v>
      </c>
      <c r="N21" s="37">
        <f t="shared" si="2"/>
        <v>463.73</v>
      </c>
      <c r="O21" s="36"/>
      <c r="P21" s="38">
        <f t="shared" si="3"/>
        <v>0</v>
      </c>
      <c r="Q21" s="38"/>
      <c r="R21" s="38">
        <f t="shared" si="3"/>
        <v>0</v>
      </c>
      <c r="S21" s="38">
        <f t="shared" si="4"/>
        <v>1</v>
      </c>
      <c r="T21" s="37">
        <f t="shared" ref="T21:V21" si="25">TRUNC($M21 * S21,2)</f>
        <v>463.73</v>
      </c>
      <c r="U21" s="36"/>
      <c r="V21" s="38">
        <f t="shared" si="25"/>
        <v>0</v>
      </c>
      <c r="W21" s="38"/>
      <c r="X21" s="38">
        <f t="shared" ref="X21" si="26">TRUNC($M21 * W21,2)</f>
        <v>0</v>
      </c>
      <c r="Y21" s="38"/>
      <c r="Z21" s="38">
        <f t="shared" ref="Z21" si="27">TRUNC($M21 * Y21,2)</f>
        <v>0</v>
      </c>
      <c r="AA21" s="38"/>
      <c r="AB21" s="38">
        <f t="shared" ref="AB21" si="28">TRUNC($M21 * AA21,2)</f>
        <v>0</v>
      </c>
      <c r="AC21" s="38"/>
      <c r="AD21" s="38">
        <f t="shared" ref="AD21" si="29">TRUNC($M21 * AC21,2)</f>
        <v>0</v>
      </c>
      <c r="AE21" s="38"/>
      <c r="AF21" s="38">
        <f t="shared" ref="AF21" si="30">TRUNC($M21 * AE21,2)</f>
        <v>0</v>
      </c>
      <c r="AG21" s="38"/>
      <c r="AH21" s="38">
        <f t="shared" ref="AH21" si="31">TRUNC($M21 * AG21,2)</f>
        <v>0</v>
      </c>
      <c r="AI21" s="38"/>
      <c r="AJ21" s="38">
        <f t="shared" ref="AJ21" si="32">TRUNC($M21 * AI21,2)</f>
        <v>0</v>
      </c>
      <c r="AK21" s="38"/>
      <c r="AL21" s="38">
        <f t="shared" ref="AL21" si="33">TRUNC($M21 * AK21,2)</f>
        <v>0</v>
      </c>
      <c r="AM21" s="38"/>
      <c r="AN21" s="38">
        <f t="shared" ref="AN21" si="34">TRUNC($M21 * AM21,2)</f>
        <v>0</v>
      </c>
      <c r="AO21" s="38"/>
      <c r="AP21" s="38">
        <f t="shared" ref="AP21" si="35">TRUNC($M21 * AO21,2)</f>
        <v>0</v>
      </c>
      <c r="AQ21" s="38"/>
      <c r="AR21" s="38">
        <f t="shared" ref="AR21" si="36">TRUNC($M21 * AQ21,2)</f>
        <v>0</v>
      </c>
      <c r="AS21" s="38"/>
      <c r="AT21" s="38">
        <f t="shared" ref="AT21" si="37">TRUNC($M21 * AS21,2)</f>
        <v>0</v>
      </c>
      <c r="AU21" s="38"/>
      <c r="AV21" s="38">
        <f t="shared" ref="AV21" si="38">TRUNC($M21 * AU21,2)</f>
        <v>0</v>
      </c>
      <c r="AW21" s="38"/>
      <c r="AX21" s="37">
        <f t="shared" ref="AX21" si="39">TRUNC($M21 * AW21,2)</f>
        <v>0</v>
      </c>
      <c r="AY21" s="36">
        <f t="shared" si="5"/>
        <v>0</v>
      </c>
      <c r="AZ21" s="38">
        <f t="shared" ref="AZ21" si="40">TRUNC($M21 * AY21,2)</f>
        <v>0</v>
      </c>
      <c r="BA21" s="38">
        <f t="shared" si="6"/>
        <v>1</v>
      </c>
      <c r="BB21" s="37">
        <f t="shared" ref="BB21" si="41">TRUNC($M21 * BA21,2)</f>
        <v>463.73</v>
      </c>
    </row>
    <row r="22" spans="1:54" ht="26.1" customHeight="1" x14ac:dyDescent="0.25">
      <c r="A22" s="31" t="s">
        <v>37</v>
      </c>
      <c r="B22" s="31" t="s">
        <v>38</v>
      </c>
      <c r="C22" s="31" t="s">
        <v>34</v>
      </c>
      <c r="D22" s="31" t="s">
        <v>39</v>
      </c>
      <c r="E22" s="32" t="s">
        <v>36</v>
      </c>
      <c r="F22" s="33">
        <v>1</v>
      </c>
      <c r="G22" s="34">
        <v>117.16</v>
      </c>
      <c r="H22" s="34">
        <f t="shared" si="7"/>
        <v>107.87</v>
      </c>
      <c r="I22" s="34">
        <f t="shared" si="1"/>
        <v>107.87</v>
      </c>
      <c r="J22" s="34">
        <f>(TRUNC(H22 * L14,2) + H22)</f>
        <v>129.81</v>
      </c>
      <c r="K22" s="34">
        <f t="shared" si="0"/>
        <v>129.81</v>
      </c>
      <c r="L22" s="35">
        <f>K22 / L13</f>
        <v>4.4762068965517233E-5</v>
      </c>
      <c r="M22" s="36">
        <v>92.92</v>
      </c>
      <c r="N22" s="37">
        <f t="shared" si="2"/>
        <v>92.92</v>
      </c>
      <c r="O22" s="36"/>
      <c r="P22" s="38">
        <f t="shared" si="3"/>
        <v>0</v>
      </c>
      <c r="Q22" s="38"/>
      <c r="R22" s="38">
        <f t="shared" si="3"/>
        <v>0</v>
      </c>
      <c r="S22" s="38">
        <f t="shared" si="4"/>
        <v>1</v>
      </c>
      <c r="T22" s="37">
        <f t="shared" ref="T22:V22" si="42">TRUNC($M22 * S22,2)</f>
        <v>92.92</v>
      </c>
      <c r="U22" s="36"/>
      <c r="V22" s="38">
        <f t="shared" si="42"/>
        <v>0</v>
      </c>
      <c r="W22" s="38"/>
      <c r="X22" s="38">
        <f t="shared" ref="X22" si="43">TRUNC($M22 * W22,2)</f>
        <v>0</v>
      </c>
      <c r="Y22" s="38"/>
      <c r="Z22" s="38">
        <f t="shared" ref="Z22" si="44">TRUNC($M22 * Y22,2)</f>
        <v>0</v>
      </c>
      <c r="AA22" s="38"/>
      <c r="AB22" s="38">
        <f t="shared" ref="AB22" si="45">TRUNC($M22 * AA22,2)</f>
        <v>0</v>
      </c>
      <c r="AC22" s="38"/>
      <c r="AD22" s="38">
        <f t="shared" ref="AD22" si="46">TRUNC($M22 * AC22,2)</f>
        <v>0</v>
      </c>
      <c r="AE22" s="38"/>
      <c r="AF22" s="38">
        <f t="shared" ref="AF22" si="47">TRUNC($M22 * AE22,2)</f>
        <v>0</v>
      </c>
      <c r="AG22" s="38"/>
      <c r="AH22" s="38">
        <f t="shared" ref="AH22" si="48">TRUNC($M22 * AG22,2)</f>
        <v>0</v>
      </c>
      <c r="AI22" s="38"/>
      <c r="AJ22" s="38">
        <f t="shared" ref="AJ22" si="49">TRUNC($M22 * AI22,2)</f>
        <v>0</v>
      </c>
      <c r="AK22" s="38"/>
      <c r="AL22" s="38">
        <f t="shared" ref="AL22" si="50">TRUNC($M22 * AK22,2)</f>
        <v>0</v>
      </c>
      <c r="AM22" s="38"/>
      <c r="AN22" s="38">
        <f t="shared" ref="AN22" si="51">TRUNC($M22 * AM22,2)</f>
        <v>0</v>
      </c>
      <c r="AO22" s="38"/>
      <c r="AP22" s="38">
        <f t="shared" ref="AP22" si="52">TRUNC($M22 * AO22,2)</f>
        <v>0</v>
      </c>
      <c r="AQ22" s="38"/>
      <c r="AR22" s="38">
        <f t="shared" ref="AR22" si="53">TRUNC($M22 * AQ22,2)</f>
        <v>0</v>
      </c>
      <c r="AS22" s="38"/>
      <c r="AT22" s="38">
        <f t="shared" ref="AT22" si="54">TRUNC($M22 * AS22,2)</f>
        <v>0</v>
      </c>
      <c r="AU22" s="38"/>
      <c r="AV22" s="38">
        <f t="shared" ref="AV22" si="55">TRUNC($M22 * AU22,2)</f>
        <v>0</v>
      </c>
      <c r="AW22" s="38"/>
      <c r="AX22" s="37">
        <f t="shared" ref="AX22" si="56">TRUNC($M22 * AW22,2)</f>
        <v>0</v>
      </c>
      <c r="AY22" s="36">
        <f t="shared" si="5"/>
        <v>0</v>
      </c>
      <c r="AZ22" s="38">
        <f t="shared" ref="AZ22" si="57">TRUNC($M22 * AY22,2)</f>
        <v>0</v>
      </c>
      <c r="BA22" s="38">
        <f t="shared" si="6"/>
        <v>1</v>
      </c>
      <c r="BB22" s="37">
        <f t="shared" ref="BB22" si="58">TRUNC($M22 * BA22,2)</f>
        <v>92.92</v>
      </c>
    </row>
    <row r="23" spans="1:54" ht="39" customHeight="1" x14ac:dyDescent="0.25">
      <c r="A23" s="39" t="s">
        <v>40</v>
      </c>
      <c r="B23" s="39" t="s">
        <v>41</v>
      </c>
      <c r="C23" s="39" t="s">
        <v>42</v>
      </c>
      <c r="D23" s="39" t="s">
        <v>43</v>
      </c>
      <c r="E23" s="40" t="s">
        <v>44</v>
      </c>
      <c r="F23" s="41">
        <v>1</v>
      </c>
      <c r="G23" s="42">
        <v>8209.2099999999991</v>
      </c>
      <c r="H23" s="43">
        <f>TRUNC(G23*$L$1,2)</f>
        <v>7558.55</v>
      </c>
      <c r="I23" s="42">
        <f t="shared" si="1"/>
        <v>7558.55</v>
      </c>
      <c r="J23" s="42">
        <f>(TRUNC(H23 * L14,2) + H23)</f>
        <v>9095.9500000000007</v>
      </c>
      <c r="K23" s="42">
        <f t="shared" si="0"/>
        <v>9095.9500000000007</v>
      </c>
      <c r="L23" s="44">
        <f>K23 / L13</f>
        <v>3.1365344827586203E-3</v>
      </c>
      <c r="M23" s="45">
        <v>1714.95</v>
      </c>
      <c r="N23" s="46">
        <f t="shared" si="2"/>
        <v>1714.95</v>
      </c>
      <c r="O23" s="45"/>
      <c r="P23" s="47">
        <f t="shared" si="3"/>
        <v>0</v>
      </c>
      <c r="Q23" s="47"/>
      <c r="R23" s="47">
        <f t="shared" si="3"/>
        <v>0</v>
      </c>
      <c r="S23" s="47">
        <f t="shared" si="4"/>
        <v>1</v>
      </c>
      <c r="T23" s="46">
        <f t="shared" ref="T23:V23" si="59">TRUNC($M23 * S23,2)</f>
        <v>1714.95</v>
      </c>
      <c r="U23" s="45"/>
      <c r="V23" s="47">
        <f t="shared" si="59"/>
        <v>0</v>
      </c>
      <c r="W23" s="47"/>
      <c r="X23" s="47">
        <f t="shared" ref="X23" si="60">TRUNC($M23 * W23,2)</f>
        <v>0</v>
      </c>
      <c r="Y23" s="47"/>
      <c r="Z23" s="47">
        <f t="shared" ref="Z23" si="61">TRUNC($M23 * Y23,2)</f>
        <v>0</v>
      </c>
      <c r="AA23" s="47"/>
      <c r="AB23" s="47">
        <f t="shared" ref="AB23" si="62">TRUNC($M23 * AA23,2)</f>
        <v>0</v>
      </c>
      <c r="AC23" s="47"/>
      <c r="AD23" s="47">
        <f t="shared" ref="AD23" si="63">TRUNC($M23 * AC23,2)</f>
        <v>0</v>
      </c>
      <c r="AE23" s="47"/>
      <c r="AF23" s="47">
        <f t="shared" ref="AF23" si="64">TRUNC($M23 * AE23,2)</f>
        <v>0</v>
      </c>
      <c r="AG23" s="47"/>
      <c r="AH23" s="47">
        <f t="shared" ref="AH23" si="65">TRUNC($M23 * AG23,2)</f>
        <v>0</v>
      </c>
      <c r="AI23" s="47"/>
      <c r="AJ23" s="47">
        <f t="shared" ref="AJ23" si="66">TRUNC($M23 * AI23,2)</f>
        <v>0</v>
      </c>
      <c r="AK23" s="47"/>
      <c r="AL23" s="47">
        <f t="shared" ref="AL23" si="67">TRUNC($M23 * AK23,2)</f>
        <v>0</v>
      </c>
      <c r="AM23" s="47"/>
      <c r="AN23" s="47">
        <f t="shared" ref="AN23" si="68">TRUNC($M23 * AM23,2)</f>
        <v>0</v>
      </c>
      <c r="AO23" s="47"/>
      <c r="AP23" s="47">
        <f t="shared" ref="AP23" si="69">TRUNC($M23 * AO23,2)</f>
        <v>0</v>
      </c>
      <c r="AQ23" s="47"/>
      <c r="AR23" s="47">
        <f t="shared" ref="AR23" si="70">TRUNC($M23 * AQ23,2)</f>
        <v>0</v>
      </c>
      <c r="AS23" s="47"/>
      <c r="AT23" s="47">
        <f t="shared" ref="AT23" si="71">TRUNC($M23 * AS23,2)</f>
        <v>0</v>
      </c>
      <c r="AU23" s="47"/>
      <c r="AV23" s="47">
        <f t="shared" ref="AV23" si="72">TRUNC($M23 * AU23,2)</f>
        <v>0</v>
      </c>
      <c r="AW23" s="47"/>
      <c r="AX23" s="46">
        <f t="shared" ref="AX23" si="73">TRUNC($M23 * AW23,2)</f>
        <v>0</v>
      </c>
      <c r="AY23" s="45">
        <f t="shared" si="5"/>
        <v>0</v>
      </c>
      <c r="AZ23" s="47">
        <f t="shared" ref="AZ23" si="74">TRUNC($M23 * AY23,2)</f>
        <v>0</v>
      </c>
      <c r="BA23" s="47">
        <f t="shared" si="6"/>
        <v>1</v>
      </c>
      <c r="BB23" s="46">
        <f t="shared" ref="BB23" si="75">TRUNC($M23 * BA23,2)</f>
        <v>1714.95</v>
      </c>
    </row>
    <row r="24" spans="1:54" ht="39" customHeight="1" x14ac:dyDescent="0.25">
      <c r="A24" s="31" t="s">
        <v>45</v>
      </c>
      <c r="B24" s="31" t="s">
        <v>46</v>
      </c>
      <c r="C24" s="31" t="s">
        <v>34</v>
      </c>
      <c r="D24" s="31" t="s">
        <v>47</v>
      </c>
      <c r="E24" s="32" t="s">
        <v>26</v>
      </c>
      <c r="F24" s="33">
        <v>6</v>
      </c>
      <c r="G24" s="34">
        <v>465.18</v>
      </c>
      <c r="H24" s="34">
        <f t="shared" si="7"/>
        <v>428.31</v>
      </c>
      <c r="I24" s="34">
        <f t="shared" si="1"/>
        <v>2569.86</v>
      </c>
      <c r="J24" s="34">
        <f>(TRUNC(H24 * L14,2) + H24)</f>
        <v>515.41999999999996</v>
      </c>
      <c r="K24" s="34">
        <f t="shared" si="0"/>
        <v>3092.52</v>
      </c>
      <c r="L24" s="35">
        <f>K24 / L13</f>
        <v>1.0663862068965517E-3</v>
      </c>
      <c r="M24" s="36">
        <v>346.44</v>
      </c>
      <c r="N24" s="37">
        <f t="shared" si="2"/>
        <v>2078.64</v>
      </c>
      <c r="O24" s="36"/>
      <c r="P24" s="38">
        <f t="shared" si="3"/>
        <v>0</v>
      </c>
      <c r="Q24" s="38"/>
      <c r="R24" s="38">
        <f t="shared" si="3"/>
        <v>0</v>
      </c>
      <c r="S24" s="38">
        <f t="shared" si="4"/>
        <v>6</v>
      </c>
      <c r="T24" s="37">
        <f t="shared" ref="T24:V24" si="76">TRUNC($M24 * S24,2)</f>
        <v>2078.64</v>
      </c>
      <c r="U24" s="54">
        <v>6</v>
      </c>
      <c r="V24" s="55">
        <f t="shared" si="76"/>
        <v>2078.64</v>
      </c>
      <c r="W24" s="38"/>
      <c r="X24" s="38">
        <f t="shared" ref="X24" si="77">TRUNC($M24 * W24,2)</f>
        <v>0</v>
      </c>
      <c r="Y24" s="38"/>
      <c r="Z24" s="38">
        <f t="shared" ref="Z24" si="78">TRUNC($M24 * Y24,2)</f>
        <v>0</v>
      </c>
      <c r="AA24" s="38"/>
      <c r="AB24" s="38">
        <f t="shared" ref="AB24" si="79">TRUNC($M24 * AA24,2)</f>
        <v>0</v>
      </c>
      <c r="AC24" s="38"/>
      <c r="AD24" s="38">
        <f t="shared" ref="AD24" si="80">TRUNC($M24 * AC24,2)</f>
        <v>0</v>
      </c>
      <c r="AE24" s="38"/>
      <c r="AF24" s="38">
        <f t="shared" ref="AF24" si="81">TRUNC($M24 * AE24,2)</f>
        <v>0</v>
      </c>
      <c r="AG24" s="38"/>
      <c r="AH24" s="38">
        <f t="shared" ref="AH24" si="82">TRUNC($M24 * AG24,2)</f>
        <v>0</v>
      </c>
      <c r="AI24" s="38"/>
      <c r="AJ24" s="38">
        <f t="shared" ref="AJ24" si="83">TRUNC($M24 * AI24,2)</f>
        <v>0</v>
      </c>
      <c r="AK24" s="38"/>
      <c r="AL24" s="38">
        <f t="shared" ref="AL24" si="84">TRUNC($M24 * AK24,2)</f>
        <v>0</v>
      </c>
      <c r="AM24" s="38"/>
      <c r="AN24" s="38">
        <f t="shared" ref="AN24" si="85">TRUNC($M24 * AM24,2)</f>
        <v>0</v>
      </c>
      <c r="AO24" s="38"/>
      <c r="AP24" s="38">
        <f t="shared" ref="AP24" si="86">TRUNC($M24 * AO24,2)</f>
        <v>0</v>
      </c>
      <c r="AQ24" s="38"/>
      <c r="AR24" s="38">
        <f t="shared" ref="AR24" si="87">TRUNC($M24 * AQ24,2)</f>
        <v>0</v>
      </c>
      <c r="AS24" s="38"/>
      <c r="AT24" s="38">
        <f t="shared" ref="AT24" si="88">TRUNC($M24 * AS24,2)</f>
        <v>0</v>
      </c>
      <c r="AU24" s="38"/>
      <c r="AV24" s="38">
        <f t="shared" ref="AV24" si="89">TRUNC($M24 * AU24,2)</f>
        <v>0</v>
      </c>
      <c r="AW24" s="38"/>
      <c r="AX24" s="37">
        <f t="shared" ref="AX24" si="90">TRUNC($M24 * AW24,2)</f>
        <v>0</v>
      </c>
      <c r="AY24" s="36">
        <f t="shared" si="5"/>
        <v>6</v>
      </c>
      <c r="AZ24" s="38">
        <f t="shared" ref="AZ24" si="91">TRUNC($M24 * AY24,2)</f>
        <v>2078.64</v>
      </c>
      <c r="BA24" s="38">
        <f t="shared" si="6"/>
        <v>0</v>
      </c>
      <c r="BB24" s="37">
        <f t="shared" ref="BB24" si="92">TRUNC($M24 * BA24,2)</f>
        <v>0</v>
      </c>
    </row>
    <row r="25" spans="1:54" ht="39" customHeight="1" x14ac:dyDescent="0.25">
      <c r="A25" s="31" t="s">
        <v>48</v>
      </c>
      <c r="B25" s="31" t="s">
        <v>49</v>
      </c>
      <c r="C25" s="31" t="s">
        <v>19</v>
      </c>
      <c r="D25" s="31" t="s">
        <v>50</v>
      </c>
      <c r="E25" s="32" t="s">
        <v>51</v>
      </c>
      <c r="F25" s="33">
        <v>120</v>
      </c>
      <c r="G25" s="34">
        <v>107.65</v>
      </c>
      <c r="H25" s="34">
        <f t="shared" si="7"/>
        <v>99.11</v>
      </c>
      <c r="I25" s="34">
        <f t="shared" si="1"/>
        <v>11893.2</v>
      </c>
      <c r="J25" s="34">
        <f>(TRUNC(H25 * L14,2) + H25)</f>
        <v>119.25999999999999</v>
      </c>
      <c r="K25" s="34">
        <f t="shared" si="0"/>
        <v>14311.2</v>
      </c>
      <c r="L25" s="35">
        <f>K25 / L13</f>
        <v>4.9348965517241371E-3</v>
      </c>
      <c r="M25" s="36">
        <v>81.89</v>
      </c>
      <c r="N25" s="37">
        <f t="shared" si="2"/>
        <v>9826.7999999999993</v>
      </c>
      <c r="O25" s="36"/>
      <c r="P25" s="38">
        <f t="shared" si="3"/>
        <v>0</v>
      </c>
      <c r="Q25" s="38"/>
      <c r="R25" s="38">
        <f t="shared" si="3"/>
        <v>0</v>
      </c>
      <c r="S25" s="38">
        <f t="shared" si="4"/>
        <v>120</v>
      </c>
      <c r="T25" s="37">
        <f t="shared" ref="T25:V25" si="93">TRUNC($M25 * S25,2)</f>
        <v>9826.7999999999993</v>
      </c>
      <c r="U25" s="36"/>
      <c r="V25" s="38">
        <f t="shared" si="93"/>
        <v>0</v>
      </c>
      <c r="W25" s="38"/>
      <c r="X25" s="38">
        <f t="shared" ref="X25" si="94">TRUNC($M25 * W25,2)</f>
        <v>0</v>
      </c>
      <c r="Y25" s="38"/>
      <c r="Z25" s="38">
        <f t="shared" ref="Z25" si="95">TRUNC($M25 * Y25,2)</f>
        <v>0</v>
      </c>
      <c r="AA25" s="38"/>
      <c r="AB25" s="38">
        <f t="shared" ref="AB25" si="96">TRUNC($M25 * AA25,2)</f>
        <v>0</v>
      </c>
      <c r="AC25" s="38"/>
      <c r="AD25" s="38">
        <f t="shared" ref="AD25" si="97">TRUNC($M25 * AC25,2)</f>
        <v>0</v>
      </c>
      <c r="AE25" s="38"/>
      <c r="AF25" s="38">
        <f t="shared" ref="AF25" si="98">TRUNC($M25 * AE25,2)</f>
        <v>0</v>
      </c>
      <c r="AG25" s="38"/>
      <c r="AH25" s="38">
        <f t="shared" ref="AH25" si="99">TRUNC($M25 * AG25,2)</f>
        <v>0</v>
      </c>
      <c r="AI25" s="38"/>
      <c r="AJ25" s="38">
        <f t="shared" ref="AJ25" si="100">TRUNC($M25 * AI25,2)</f>
        <v>0</v>
      </c>
      <c r="AK25" s="38"/>
      <c r="AL25" s="38">
        <f t="shared" ref="AL25" si="101">TRUNC($M25 * AK25,2)</f>
        <v>0</v>
      </c>
      <c r="AM25" s="38"/>
      <c r="AN25" s="38">
        <f t="shared" ref="AN25" si="102">TRUNC($M25 * AM25,2)</f>
        <v>0</v>
      </c>
      <c r="AO25" s="38"/>
      <c r="AP25" s="38">
        <f t="shared" ref="AP25" si="103">TRUNC($M25 * AO25,2)</f>
        <v>0</v>
      </c>
      <c r="AQ25" s="38"/>
      <c r="AR25" s="38">
        <f t="shared" ref="AR25" si="104">TRUNC($M25 * AQ25,2)</f>
        <v>0</v>
      </c>
      <c r="AS25" s="38"/>
      <c r="AT25" s="38">
        <f t="shared" ref="AT25" si="105">TRUNC($M25 * AS25,2)</f>
        <v>0</v>
      </c>
      <c r="AU25" s="38"/>
      <c r="AV25" s="38">
        <f t="shared" ref="AV25" si="106">TRUNC($M25 * AU25,2)</f>
        <v>0</v>
      </c>
      <c r="AW25" s="38"/>
      <c r="AX25" s="37">
        <f t="shared" ref="AX25" si="107">TRUNC($M25 * AW25,2)</f>
        <v>0</v>
      </c>
      <c r="AY25" s="36">
        <f t="shared" si="5"/>
        <v>0</v>
      </c>
      <c r="AZ25" s="38">
        <f t="shared" ref="AZ25" si="108">TRUNC($M25 * AY25,2)</f>
        <v>0</v>
      </c>
      <c r="BA25" s="38">
        <f t="shared" si="6"/>
        <v>120</v>
      </c>
      <c r="BB25" s="37">
        <f t="shared" ref="BB25" si="109">TRUNC($M25 * BA25,2)</f>
        <v>9826.7999999999993</v>
      </c>
    </row>
    <row r="26" spans="1:54" ht="24" customHeight="1" x14ac:dyDescent="0.25">
      <c r="A26" s="31" t="s">
        <v>52</v>
      </c>
      <c r="B26" s="31" t="s">
        <v>53</v>
      </c>
      <c r="C26" s="31" t="s">
        <v>34</v>
      </c>
      <c r="D26" s="31" t="s">
        <v>54</v>
      </c>
      <c r="E26" s="32" t="s">
        <v>26</v>
      </c>
      <c r="F26" s="33">
        <v>308</v>
      </c>
      <c r="G26" s="34">
        <v>88.57</v>
      </c>
      <c r="H26" s="34">
        <f t="shared" si="7"/>
        <v>81.55</v>
      </c>
      <c r="I26" s="34">
        <f t="shared" si="1"/>
        <v>25117.4</v>
      </c>
      <c r="J26" s="34">
        <f>(TRUNC(H26 * L14,2) + H26)</f>
        <v>98.13</v>
      </c>
      <c r="K26" s="34">
        <f t="shared" si="0"/>
        <v>30224.04</v>
      </c>
      <c r="L26" s="35">
        <f>K26 / L13</f>
        <v>1.0422082758620688E-2</v>
      </c>
      <c r="M26" s="36">
        <v>76.31</v>
      </c>
      <c r="N26" s="37">
        <f t="shared" si="2"/>
        <v>23503.48</v>
      </c>
      <c r="O26" s="36"/>
      <c r="P26" s="38">
        <f t="shared" si="3"/>
        <v>0</v>
      </c>
      <c r="Q26" s="38"/>
      <c r="R26" s="38">
        <f t="shared" si="3"/>
        <v>0</v>
      </c>
      <c r="S26" s="38">
        <f t="shared" si="4"/>
        <v>308</v>
      </c>
      <c r="T26" s="37">
        <f t="shared" ref="T26" si="110">TRUNC($M26 * S26,2)</f>
        <v>23503.48</v>
      </c>
      <c r="U26" s="54">
        <v>150</v>
      </c>
      <c r="V26" s="55">
        <f>TRUNC($M26 * U26,2)</f>
        <v>11446.5</v>
      </c>
      <c r="W26" s="38"/>
      <c r="X26" s="38">
        <f>TRUNC($M26 * W26,2)</f>
        <v>0</v>
      </c>
      <c r="Y26" s="38"/>
      <c r="Z26" s="38">
        <f>TRUNC($M26 * Y26,2)</f>
        <v>0</v>
      </c>
      <c r="AA26" s="38"/>
      <c r="AB26" s="38">
        <f>TRUNC($M26 * AA26,2)</f>
        <v>0</v>
      </c>
      <c r="AC26" s="55">
        <v>158</v>
      </c>
      <c r="AD26" s="55">
        <f>TRUNC($M26 * AC26,2)</f>
        <v>12056.98</v>
      </c>
      <c r="AE26" s="38"/>
      <c r="AF26" s="38">
        <f>TRUNC($M26 * AE26,2)</f>
        <v>0</v>
      </c>
      <c r="AG26" s="38"/>
      <c r="AH26" s="38">
        <f>TRUNC($M26 * AG26,2)</f>
        <v>0</v>
      </c>
      <c r="AI26" s="38"/>
      <c r="AJ26" s="38">
        <f>TRUNC($M26 * AI26,2)</f>
        <v>0</v>
      </c>
      <c r="AK26" s="38"/>
      <c r="AL26" s="38">
        <f>TRUNC($M26 * AK26,2)</f>
        <v>0</v>
      </c>
      <c r="AM26" s="38"/>
      <c r="AN26" s="38">
        <f>TRUNC($M26 * AM26,2)</f>
        <v>0</v>
      </c>
      <c r="AO26" s="38"/>
      <c r="AP26" s="38">
        <f>TRUNC($M26 * AO26,2)</f>
        <v>0</v>
      </c>
      <c r="AQ26" s="38"/>
      <c r="AR26" s="38">
        <f>TRUNC($M26 * AQ26,2)</f>
        <v>0</v>
      </c>
      <c r="AS26" s="38"/>
      <c r="AT26" s="38">
        <f>TRUNC($M26 * AS26,2)</f>
        <v>0</v>
      </c>
      <c r="AU26" s="38"/>
      <c r="AV26" s="38">
        <f>TRUNC($M26 * AU26,2)</f>
        <v>0</v>
      </c>
      <c r="AW26" s="38"/>
      <c r="AX26" s="37">
        <f>TRUNC($M26 * AW26,2)</f>
        <v>0</v>
      </c>
      <c r="AY26" s="36">
        <f t="shared" si="5"/>
        <v>308</v>
      </c>
      <c r="AZ26" s="38">
        <f>TRUNC($M26 * AY26,2)</f>
        <v>23503.48</v>
      </c>
      <c r="BA26" s="38">
        <f t="shared" si="6"/>
        <v>0</v>
      </c>
      <c r="BB26" s="37">
        <f>TRUNC($M26 * BA26,2)</f>
        <v>0</v>
      </c>
    </row>
    <row r="27" spans="1:54" ht="24" customHeight="1" x14ac:dyDescent="0.25">
      <c r="A27" s="4" t="s">
        <v>55</v>
      </c>
      <c r="B27" s="4" t="s">
        <v>12</v>
      </c>
      <c r="C27" s="4"/>
      <c r="D27" s="4" t="s">
        <v>56</v>
      </c>
      <c r="E27" s="5"/>
      <c r="F27" s="14"/>
      <c r="G27" s="6" t="s">
        <v>14</v>
      </c>
      <c r="H27" s="6" t="s">
        <v>14</v>
      </c>
      <c r="I27" s="7">
        <f>SUM(I28,I35,I46)</f>
        <v>179944.94</v>
      </c>
      <c r="J27" s="7"/>
      <c r="K27" s="7">
        <f>SUM(K28,K35,K46)</f>
        <v>216507.2</v>
      </c>
      <c r="L27" s="22">
        <f>K27 / L13</f>
        <v>7.4657655172413781E-2</v>
      </c>
      <c r="M27" s="25"/>
      <c r="N27" s="26">
        <f>SUM(N28,N35,N46)</f>
        <v>154616.68</v>
      </c>
      <c r="O27" s="25"/>
      <c r="P27" s="30">
        <f>SUM(P28,P35,P46)</f>
        <v>0</v>
      </c>
      <c r="Q27" s="30"/>
      <c r="R27" s="30">
        <f>SUM(R28,R35,R46)</f>
        <v>0</v>
      </c>
      <c r="S27" s="30"/>
      <c r="T27" s="26">
        <f>SUM(T28,T35,T46)</f>
        <v>154616.68</v>
      </c>
      <c r="U27" s="25"/>
      <c r="V27" s="30">
        <f>SUM(V28,V35,V46)</f>
        <v>13430</v>
      </c>
      <c r="W27" s="30"/>
      <c r="X27" s="30">
        <f>SUM(X28,X35,X46)</f>
        <v>0</v>
      </c>
      <c r="Y27" s="30"/>
      <c r="Z27" s="30">
        <f>SUM(Z28,Z35,Z46)</f>
        <v>0</v>
      </c>
      <c r="AA27" s="30"/>
      <c r="AB27" s="30">
        <f>SUM(AB28,AB35,AB46)</f>
        <v>0</v>
      </c>
      <c r="AC27" s="30"/>
      <c r="AD27" s="30">
        <f>SUM(AD28,AD35,AD46)</f>
        <v>21743.72</v>
      </c>
      <c r="AE27" s="30"/>
      <c r="AF27" s="30">
        <f>SUM(AF28,AF35,AF46)</f>
        <v>69207.180000000008</v>
      </c>
      <c r="AG27" s="30"/>
      <c r="AH27" s="30">
        <f>SUM(AH28,AH35,AH46)</f>
        <v>0</v>
      </c>
      <c r="AI27" s="30"/>
      <c r="AJ27" s="30">
        <f>SUM(AJ28,AJ35,AJ46)</f>
        <v>0</v>
      </c>
      <c r="AK27" s="30"/>
      <c r="AL27" s="30">
        <f>SUM(AL28,AL35,AL46)</f>
        <v>0</v>
      </c>
      <c r="AM27" s="30"/>
      <c r="AN27" s="30">
        <f>SUM(AN28,AN35,AN46)</f>
        <v>0</v>
      </c>
      <c r="AO27" s="30"/>
      <c r="AP27" s="30">
        <f>SUM(AP28,AP35,AP46)</f>
        <v>0</v>
      </c>
      <c r="AQ27" s="30"/>
      <c r="AR27" s="30">
        <f>SUM(AR28,AR35,AR46)</f>
        <v>0</v>
      </c>
      <c r="AS27" s="30"/>
      <c r="AT27" s="30">
        <f>SUM(AT28,AT35,AT46)</f>
        <v>0</v>
      </c>
      <c r="AU27" s="30"/>
      <c r="AV27" s="30">
        <f>SUM(AV28,AV35,AV46)</f>
        <v>0</v>
      </c>
      <c r="AW27" s="30"/>
      <c r="AX27" s="26">
        <f>SUM(AX28,AX35,AX46)</f>
        <v>0</v>
      </c>
      <c r="AY27" s="25"/>
      <c r="AZ27" s="30">
        <f>SUM(AZ28,AZ35,AZ46)</f>
        <v>104380.9</v>
      </c>
      <c r="BA27" s="30"/>
      <c r="BB27" s="26">
        <f>SUM(BB28,BB35,BB46)</f>
        <v>50235.78</v>
      </c>
    </row>
    <row r="28" spans="1:54" ht="24" customHeight="1" x14ac:dyDescent="0.25">
      <c r="A28" s="4" t="s">
        <v>57</v>
      </c>
      <c r="B28" s="4" t="s">
        <v>12</v>
      </c>
      <c r="C28" s="4"/>
      <c r="D28" s="4" t="s">
        <v>58</v>
      </c>
      <c r="E28" s="5"/>
      <c r="F28" s="14"/>
      <c r="G28" s="6" t="s">
        <v>14</v>
      </c>
      <c r="H28" s="6" t="s">
        <v>14</v>
      </c>
      <c r="I28" s="7">
        <f>SUM(I29:I34)</f>
        <v>104636.29999999999</v>
      </c>
      <c r="J28" s="7"/>
      <c r="K28" s="7">
        <f>SUM(K29:K34)</f>
        <v>125904.28000000001</v>
      </c>
      <c r="L28" s="22">
        <f>K28 / L13</f>
        <v>4.3415268965517242E-2</v>
      </c>
      <c r="M28" s="25"/>
      <c r="N28" s="26">
        <f>SUM(N29:N34)</f>
        <v>86004.65</v>
      </c>
      <c r="O28" s="25"/>
      <c r="P28" s="30">
        <f>SUM(P29:P34)</f>
        <v>0</v>
      </c>
      <c r="Q28" s="30"/>
      <c r="R28" s="30">
        <f>SUM(R29:R34)</f>
        <v>0</v>
      </c>
      <c r="S28" s="30"/>
      <c r="T28" s="26">
        <f>SUM(T29:T34)</f>
        <v>86004.65</v>
      </c>
      <c r="U28" s="25"/>
      <c r="V28" s="30">
        <f>SUM(V29:V34)</f>
        <v>13430</v>
      </c>
      <c r="W28" s="30"/>
      <c r="X28" s="30">
        <f>SUM(X29:X34)</f>
        <v>0</v>
      </c>
      <c r="Y28" s="30"/>
      <c r="Z28" s="30">
        <f>SUM(Z29:Z34)</f>
        <v>0</v>
      </c>
      <c r="AA28" s="30"/>
      <c r="AB28" s="30">
        <f>SUM(AB29:AB34)</f>
        <v>0</v>
      </c>
      <c r="AC28" s="30"/>
      <c r="AD28" s="30">
        <f>SUM(AD29:AD34)</f>
        <v>21743.72</v>
      </c>
      <c r="AE28" s="30"/>
      <c r="AF28" s="30">
        <f>SUM(AF29:AF34)</f>
        <v>50070.100000000006</v>
      </c>
      <c r="AG28" s="30"/>
      <c r="AH28" s="30">
        <f>SUM(AH29:AH34)</f>
        <v>0</v>
      </c>
      <c r="AI28" s="30"/>
      <c r="AJ28" s="30">
        <f>SUM(AJ29:AJ34)</f>
        <v>0</v>
      </c>
      <c r="AK28" s="30"/>
      <c r="AL28" s="30">
        <f>SUM(AL29:AL34)</f>
        <v>0</v>
      </c>
      <c r="AM28" s="30"/>
      <c r="AN28" s="30">
        <f>SUM(AN29:AN34)</f>
        <v>0</v>
      </c>
      <c r="AO28" s="30"/>
      <c r="AP28" s="30">
        <f>SUM(AP29:AP34)</f>
        <v>0</v>
      </c>
      <c r="AQ28" s="30"/>
      <c r="AR28" s="30">
        <f>SUM(AR29:AR34)</f>
        <v>0</v>
      </c>
      <c r="AS28" s="30"/>
      <c r="AT28" s="30">
        <f>SUM(AT29:AT34)</f>
        <v>0</v>
      </c>
      <c r="AU28" s="30"/>
      <c r="AV28" s="30">
        <f>SUM(AV29:AV34)</f>
        <v>0</v>
      </c>
      <c r="AW28" s="30"/>
      <c r="AX28" s="26">
        <f>SUM(AX29:AX34)</f>
        <v>0</v>
      </c>
      <c r="AY28" s="25"/>
      <c r="AZ28" s="30">
        <f>SUM(AZ29:AZ34)</f>
        <v>85243.819999999992</v>
      </c>
      <c r="BA28" s="30"/>
      <c r="BB28" s="26">
        <f>SUM(BB29:BB34)</f>
        <v>760.83</v>
      </c>
    </row>
    <row r="29" spans="1:54" ht="24" customHeight="1" x14ac:dyDescent="0.25">
      <c r="A29" s="31" t="s">
        <v>59</v>
      </c>
      <c r="B29" s="31" t="s">
        <v>60</v>
      </c>
      <c r="C29" s="31" t="s">
        <v>19</v>
      </c>
      <c r="D29" s="31" t="s">
        <v>61</v>
      </c>
      <c r="E29" s="32" t="s">
        <v>26</v>
      </c>
      <c r="F29" s="33">
        <v>493.91</v>
      </c>
      <c r="G29" s="34">
        <v>16.59</v>
      </c>
      <c r="H29" s="34">
        <f t="shared" ref="H29:H58" si="111">TRUNC(G29*$L$1,2)</f>
        <v>15.27</v>
      </c>
      <c r="I29" s="34">
        <f t="shared" ref="I29:I58" si="112">TRUNC(F29 * H29,2)</f>
        <v>7542</v>
      </c>
      <c r="J29" s="34">
        <f>(TRUNC(H29 * L14,2) + H29)</f>
        <v>18.37</v>
      </c>
      <c r="K29" s="34">
        <f t="shared" ref="K29:K34" si="113">TRUNC(F29 * J29,2)</f>
        <v>9073.1200000000008</v>
      </c>
      <c r="L29" s="35">
        <f>K29 / L13</f>
        <v>3.1286620689655168E-3</v>
      </c>
      <c r="M29" s="36">
        <v>14.41</v>
      </c>
      <c r="N29" s="37">
        <f t="shared" ref="N29:N58" si="114">TRUNC(F29 * M29,2)</f>
        <v>7117.24</v>
      </c>
      <c r="O29" s="36"/>
      <c r="P29" s="38">
        <f t="shared" ref="P29:R58" si="115">TRUNC($M29 * O29,2)</f>
        <v>0</v>
      </c>
      <c r="Q29" s="38"/>
      <c r="R29" s="38">
        <f t="shared" si="115"/>
        <v>0</v>
      </c>
      <c r="S29" s="38">
        <f t="shared" ref="S29:S58" si="116">F29+O29-Q29</f>
        <v>493.91</v>
      </c>
      <c r="T29" s="37">
        <f t="shared" ref="T29:V29" si="117">TRUNC($M29 * S29,2)</f>
        <v>7117.24</v>
      </c>
      <c r="U29" s="36"/>
      <c r="V29" s="38">
        <f t="shared" si="117"/>
        <v>0</v>
      </c>
      <c r="W29" s="38"/>
      <c r="X29" s="38">
        <f t="shared" ref="X29" si="118">TRUNC($M29 * W29,2)</f>
        <v>0</v>
      </c>
      <c r="Y29" s="38"/>
      <c r="Z29" s="38">
        <f t="shared" ref="Z29" si="119">TRUNC($M29 * Y29,2)</f>
        <v>0</v>
      </c>
      <c r="AA29" s="38"/>
      <c r="AB29" s="38">
        <f t="shared" ref="AB29" si="120">TRUNC($M29 * AA29,2)</f>
        <v>0</v>
      </c>
      <c r="AC29" s="55">
        <v>493.91</v>
      </c>
      <c r="AD29" s="55">
        <f t="shared" ref="AD29" si="121">TRUNC($M29 * AC29,2)</f>
        <v>7117.24</v>
      </c>
      <c r="AE29" s="38"/>
      <c r="AF29" s="38">
        <f t="shared" ref="AF29" si="122">TRUNC($M29 * AE29,2)</f>
        <v>0</v>
      </c>
      <c r="AG29" s="38"/>
      <c r="AH29" s="38">
        <f t="shared" ref="AH29" si="123">TRUNC($M29 * AG29,2)</f>
        <v>0</v>
      </c>
      <c r="AI29" s="38"/>
      <c r="AJ29" s="38">
        <f t="shared" ref="AJ29" si="124">TRUNC($M29 * AI29,2)</f>
        <v>0</v>
      </c>
      <c r="AK29" s="38"/>
      <c r="AL29" s="38">
        <f t="shared" ref="AL29" si="125">TRUNC($M29 * AK29,2)</f>
        <v>0</v>
      </c>
      <c r="AM29" s="38"/>
      <c r="AN29" s="38">
        <f t="shared" ref="AN29" si="126">TRUNC($M29 * AM29,2)</f>
        <v>0</v>
      </c>
      <c r="AO29" s="38"/>
      <c r="AP29" s="38">
        <f t="shared" ref="AP29" si="127">TRUNC($M29 * AO29,2)</f>
        <v>0</v>
      </c>
      <c r="AQ29" s="38"/>
      <c r="AR29" s="38">
        <f t="shared" ref="AR29" si="128">TRUNC($M29 * AQ29,2)</f>
        <v>0</v>
      </c>
      <c r="AS29" s="38"/>
      <c r="AT29" s="38">
        <f t="shared" ref="AT29" si="129">TRUNC($M29 * AS29,2)</f>
        <v>0</v>
      </c>
      <c r="AU29" s="38"/>
      <c r="AV29" s="38">
        <f t="shared" ref="AV29" si="130">TRUNC($M29 * AU29,2)</f>
        <v>0</v>
      </c>
      <c r="AW29" s="38"/>
      <c r="AX29" s="37">
        <f t="shared" ref="AX29" si="131">TRUNC($M29 * AW29,2)</f>
        <v>0</v>
      </c>
      <c r="AY29" s="36">
        <f t="shared" ref="AY29:AY58" si="132">SUM(U29,W29,Y29,AA29,AC29,AE29,AG29,AI29,AK29,AM29,AO29,AQ29,AS29,AU29,AW29)</f>
        <v>493.91</v>
      </c>
      <c r="AZ29" s="38">
        <f t="shared" ref="AZ29" si="133">TRUNC($M29 * AY29,2)</f>
        <v>7117.24</v>
      </c>
      <c r="BA29" s="38">
        <f t="shared" ref="BA29:BA58" si="134">S29-AY29</f>
        <v>0</v>
      </c>
      <c r="BB29" s="37">
        <f t="shared" ref="BB29" si="135">TRUNC($M29 * BA29,2)</f>
        <v>0</v>
      </c>
    </row>
    <row r="30" spans="1:54" ht="39" customHeight="1" x14ac:dyDescent="0.25">
      <c r="A30" s="31" t="s">
        <v>62</v>
      </c>
      <c r="B30" s="31" t="s">
        <v>63</v>
      </c>
      <c r="C30" s="31" t="s">
        <v>19</v>
      </c>
      <c r="D30" s="31" t="s">
        <v>64</v>
      </c>
      <c r="E30" s="32" t="s">
        <v>65</v>
      </c>
      <c r="F30" s="33">
        <v>1</v>
      </c>
      <c r="G30" s="34">
        <v>37881.040000000001</v>
      </c>
      <c r="H30" s="34">
        <v>34875.17</v>
      </c>
      <c r="I30" s="34">
        <f t="shared" si="112"/>
        <v>34875.17</v>
      </c>
      <c r="J30" s="34">
        <f>(TRUNC(H30 * L14,2) + H30)</f>
        <v>41968.77</v>
      </c>
      <c r="K30" s="34">
        <f t="shared" si="113"/>
        <v>41968.77</v>
      </c>
      <c r="L30" s="35">
        <f>K30 / L13</f>
        <v>1.447198965517241E-2</v>
      </c>
      <c r="M30" s="36">
        <v>26860</v>
      </c>
      <c r="N30" s="37">
        <f t="shared" si="114"/>
        <v>26860</v>
      </c>
      <c r="O30" s="36"/>
      <c r="P30" s="38">
        <f t="shared" si="115"/>
        <v>0</v>
      </c>
      <c r="Q30" s="38"/>
      <c r="R30" s="38">
        <f t="shared" si="115"/>
        <v>0</v>
      </c>
      <c r="S30" s="38">
        <f t="shared" si="116"/>
        <v>1</v>
      </c>
      <c r="T30" s="37">
        <f t="shared" ref="T30:V30" si="136">TRUNC($M30 * S30,2)</f>
        <v>26860</v>
      </c>
      <c r="U30" s="54">
        <v>0.5</v>
      </c>
      <c r="V30" s="55">
        <f t="shared" si="136"/>
        <v>13430</v>
      </c>
      <c r="W30" s="38"/>
      <c r="X30" s="38">
        <f t="shared" ref="X30" si="137">TRUNC($M30 * W30,2)</f>
        <v>0</v>
      </c>
      <c r="Y30" s="38"/>
      <c r="Z30" s="38">
        <f t="shared" ref="Z30" si="138">TRUNC($M30 * Y30,2)</f>
        <v>0</v>
      </c>
      <c r="AA30" s="38"/>
      <c r="AB30" s="38">
        <f t="shared" ref="AB30" si="139">TRUNC($M30 * AA30,2)</f>
        <v>0</v>
      </c>
      <c r="AC30" s="38"/>
      <c r="AD30" s="38">
        <f t="shared" ref="AD30" si="140">TRUNC($M30 * AC30,2)</f>
        <v>0</v>
      </c>
      <c r="AE30" s="55">
        <v>0.5</v>
      </c>
      <c r="AF30" s="55">
        <f t="shared" ref="AF30" si="141">TRUNC($M30 * AE30,2)</f>
        <v>13430</v>
      </c>
      <c r="AG30" s="38"/>
      <c r="AH30" s="38">
        <f t="shared" ref="AH30" si="142">TRUNC($M30 * AG30,2)</f>
        <v>0</v>
      </c>
      <c r="AI30" s="38"/>
      <c r="AJ30" s="38">
        <f t="shared" ref="AJ30" si="143">TRUNC($M30 * AI30,2)</f>
        <v>0</v>
      </c>
      <c r="AK30" s="38"/>
      <c r="AL30" s="38">
        <f t="shared" ref="AL30" si="144">TRUNC($M30 * AK30,2)</f>
        <v>0</v>
      </c>
      <c r="AM30" s="38"/>
      <c r="AN30" s="38">
        <f t="shared" ref="AN30" si="145">TRUNC($M30 * AM30,2)</f>
        <v>0</v>
      </c>
      <c r="AO30" s="38"/>
      <c r="AP30" s="38">
        <f t="shared" ref="AP30" si="146">TRUNC($M30 * AO30,2)</f>
        <v>0</v>
      </c>
      <c r="AQ30" s="38"/>
      <c r="AR30" s="38">
        <f t="shared" ref="AR30" si="147">TRUNC($M30 * AQ30,2)</f>
        <v>0</v>
      </c>
      <c r="AS30" s="38"/>
      <c r="AT30" s="38">
        <f t="shared" ref="AT30" si="148">TRUNC($M30 * AS30,2)</f>
        <v>0</v>
      </c>
      <c r="AU30" s="38"/>
      <c r="AV30" s="38">
        <f t="shared" ref="AV30" si="149">TRUNC($M30 * AU30,2)</f>
        <v>0</v>
      </c>
      <c r="AW30" s="38"/>
      <c r="AX30" s="37">
        <f t="shared" ref="AX30" si="150">TRUNC($M30 * AW30,2)</f>
        <v>0</v>
      </c>
      <c r="AY30" s="36">
        <f t="shared" si="132"/>
        <v>1</v>
      </c>
      <c r="AZ30" s="38">
        <f t="shared" ref="AZ30" si="151">TRUNC($M30 * AY30,2)</f>
        <v>26860</v>
      </c>
      <c r="BA30" s="38">
        <f t="shared" si="134"/>
        <v>0</v>
      </c>
      <c r="BB30" s="37">
        <f t="shared" ref="BB30" si="152">TRUNC($M30 * BA30,2)</f>
        <v>0</v>
      </c>
    </row>
    <row r="31" spans="1:54" ht="26.1" customHeight="1" x14ac:dyDescent="0.25">
      <c r="A31" s="31" t="s">
        <v>66</v>
      </c>
      <c r="B31" s="31" t="s">
        <v>67</v>
      </c>
      <c r="C31" s="31" t="s">
        <v>19</v>
      </c>
      <c r="D31" s="31" t="s">
        <v>68</v>
      </c>
      <c r="E31" s="32" t="s">
        <v>69</v>
      </c>
      <c r="F31" s="33">
        <v>631</v>
      </c>
      <c r="G31" s="34">
        <v>47.62</v>
      </c>
      <c r="H31" s="34">
        <f t="shared" si="111"/>
        <v>43.84</v>
      </c>
      <c r="I31" s="34">
        <f t="shared" si="112"/>
        <v>27663.040000000001</v>
      </c>
      <c r="J31" s="34">
        <f>(TRUNC(H31 * L14,2) + H31)</f>
        <v>52.75</v>
      </c>
      <c r="K31" s="34">
        <f t="shared" si="113"/>
        <v>33285.25</v>
      </c>
      <c r="L31" s="35">
        <f>K31 / L13</f>
        <v>1.1477672413793102E-2</v>
      </c>
      <c r="M31" s="36">
        <v>36.229999999999997</v>
      </c>
      <c r="N31" s="37">
        <f t="shared" si="114"/>
        <v>22861.13</v>
      </c>
      <c r="O31" s="36"/>
      <c r="P31" s="38">
        <f t="shared" si="115"/>
        <v>0</v>
      </c>
      <c r="Q31" s="38"/>
      <c r="R31" s="38">
        <f t="shared" si="115"/>
        <v>0</v>
      </c>
      <c r="S31" s="38">
        <f t="shared" si="116"/>
        <v>631</v>
      </c>
      <c r="T31" s="37">
        <f t="shared" ref="T31:V31" si="153">TRUNC($M31 * S31,2)</f>
        <v>22861.13</v>
      </c>
      <c r="U31" s="36"/>
      <c r="V31" s="38">
        <f t="shared" si="153"/>
        <v>0</v>
      </c>
      <c r="W31" s="38"/>
      <c r="X31" s="38">
        <f t="shared" ref="X31" si="154">TRUNC($M31 * W31,2)</f>
        <v>0</v>
      </c>
      <c r="Y31" s="38"/>
      <c r="Z31" s="38">
        <f t="shared" ref="Z31" si="155">TRUNC($M31 * Y31,2)</f>
        <v>0</v>
      </c>
      <c r="AA31" s="38"/>
      <c r="AB31" s="38">
        <f t="shared" ref="AB31" si="156">TRUNC($M31 * AA31,2)</f>
        <v>0</v>
      </c>
      <c r="AC31" s="38"/>
      <c r="AD31" s="38">
        <f t="shared" ref="AD31" si="157">TRUNC($M31 * AC31,2)</f>
        <v>0</v>
      </c>
      <c r="AE31" s="55">
        <v>610</v>
      </c>
      <c r="AF31" s="55">
        <f t="shared" ref="AF31" si="158">TRUNC($M31 * AE31,2)</f>
        <v>22100.3</v>
      </c>
      <c r="AG31" s="38"/>
      <c r="AH31" s="38">
        <f t="shared" ref="AH31" si="159">TRUNC($M31 * AG31,2)</f>
        <v>0</v>
      </c>
      <c r="AI31" s="38"/>
      <c r="AJ31" s="38">
        <f t="shared" ref="AJ31" si="160">TRUNC($M31 * AI31,2)</f>
        <v>0</v>
      </c>
      <c r="AK31" s="38"/>
      <c r="AL31" s="38">
        <f t="shared" ref="AL31" si="161">TRUNC($M31 * AK31,2)</f>
        <v>0</v>
      </c>
      <c r="AM31" s="38"/>
      <c r="AN31" s="38">
        <f t="shared" ref="AN31" si="162">TRUNC($M31 * AM31,2)</f>
        <v>0</v>
      </c>
      <c r="AO31" s="38"/>
      <c r="AP31" s="38">
        <f t="shared" ref="AP31" si="163">TRUNC($M31 * AO31,2)</f>
        <v>0</v>
      </c>
      <c r="AQ31" s="38"/>
      <c r="AR31" s="38">
        <f t="shared" ref="AR31" si="164">TRUNC($M31 * AQ31,2)</f>
        <v>0</v>
      </c>
      <c r="AS31" s="38"/>
      <c r="AT31" s="38">
        <f t="shared" ref="AT31" si="165">TRUNC($M31 * AS31,2)</f>
        <v>0</v>
      </c>
      <c r="AU31" s="38"/>
      <c r="AV31" s="38">
        <f t="shared" ref="AV31" si="166">TRUNC($M31 * AU31,2)</f>
        <v>0</v>
      </c>
      <c r="AW31" s="38"/>
      <c r="AX31" s="37">
        <f t="shared" ref="AX31" si="167">TRUNC($M31 * AW31,2)</f>
        <v>0</v>
      </c>
      <c r="AY31" s="36">
        <f t="shared" si="132"/>
        <v>610</v>
      </c>
      <c r="AZ31" s="38">
        <f t="shared" ref="AZ31" si="168">TRUNC($M31 * AY31,2)</f>
        <v>22100.3</v>
      </c>
      <c r="BA31" s="38">
        <f t="shared" si="134"/>
        <v>21</v>
      </c>
      <c r="BB31" s="37">
        <f t="shared" ref="BB31" si="169">TRUNC($M31 * BA31,2)</f>
        <v>760.83</v>
      </c>
    </row>
    <row r="32" spans="1:54" ht="26.1" customHeight="1" x14ac:dyDescent="0.25">
      <c r="A32" s="31" t="s">
        <v>70</v>
      </c>
      <c r="B32" s="31" t="s">
        <v>71</v>
      </c>
      <c r="C32" s="31" t="s">
        <v>19</v>
      </c>
      <c r="D32" s="31" t="s">
        <v>72</v>
      </c>
      <c r="E32" s="32" t="s">
        <v>51</v>
      </c>
      <c r="F32" s="33">
        <v>33.92</v>
      </c>
      <c r="G32" s="34">
        <v>604.5</v>
      </c>
      <c r="H32" s="34">
        <f t="shared" si="111"/>
        <v>556.58000000000004</v>
      </c>
      <c r="I32" s="34">
        <f t="shared" si="112"/>
        <v>18879.189999999999</v>
      </c>
      <c r="J32" s="34">
        <f>(TRUNC(H32 * L14,2) + H32)</f>
        <v>669.78000000000009</v>
      </c>
      <c r="K32" s="34">
        <f t="shared" si="113"/>
        <v>22718.93</v>
      </c>
      <c r="L32" s="35">
        <f>K32 / L13</f>
        <v>7.8341137931034477E-3</v>
      </c>
      <c r="M32" s="36">
        <v>428.65</v>
      </c>
      <c r="N32" s="37">
        <f t="shared" si="114"/>
        <v>14539.8</v>
      </c>
      <c r="O32" s="36"/>
      <c r="P32" s="38">
        <f t="shared" si="115"/>
        <v>0</v>
      </c>
      <c r="Q32" s="38"/>
      <c r="R32" s="38">
        <f t="shared" si="115"/>
        <v>0</v>
      </c>
      <c r="S32" s="38">
        <f t="shared" si="116"/>
        <v>33.92</v>
      </c>
      <c r="T32" s="37">
        <f t="shared" ref="T32:V32" si="170">TRUNC($M32 * S32,2)</f>
        <v>14539.8</v>
      </c>
      <c r="U32" s="36"/>
      <c r="V32" s="38">
        <f t="shared" si="170"/>
        <v>0</v>
      </c>
      <c r="W32" s="38"/>
      <c r="X32" s="38">
        <f t="shared" ref="X32" si="171">TRUNC($M32 * W32,2)</f>
        <v>0</v>
      </c>
      <c r="Y32" s="38"/>
      <c r="Z32" s="38">
        <f t="shared" ref="Z32" si="172">TRUNC($M32 * Y32,2)</f>
        <v>0</v>
      </c>
      <c r="AA32" s="38"/>
      <c r="AB32" s="38">
        <f t="shared" ref="AB32" si="173">TRUNC($M32 * AA32,2)</f>
        <v>0</v>
      </c>
      <c r="AC32" s="38"/>
      <c r="AD32" s="38">
        <f t="shared" ref="AD32" si="174">TRUNC($M32 * AC32,2)</f>
        <v>0</v>
      </c>
      <c r="AE32" s="55">
        <v>33.92</v>
      </c>
      <c r="AF32" s="55">
        <f t="shared" ref="AF32" si="175">TRUNC($M32 * AE32,2)</f>
        <v>14539.8</v>
      </c>
      <c r="AG32" s="38"/>
      <c r="AH32" s="38">
        <f t="shared" ref="AH32" si="176">TRUNC($M32 * AG32,2)</f>
        <v>0</v>
      </c>
      <c r="AI32" s="38"/>
      <c r="AJ32" s="38">
        <f t="shared" ref="AJ32" si="177">TRUNC($M32 * AI32,2)</f>
        <v>0</v>
      </c>
      <c r="AK32" s="38"/>
      <c r="AL32" s="38">
        <f t="shared" ref="AL32" si="178">TRUNC($M32 * AK32,2)</f>
        <v>0</v>
      </c>
      <c r="AM32" s="38"/>
      <c r="AN32" s="38">
        <f t="shared" ref="AN32" si="179">TRUNC($M32 * AM32,2)</f>
        <v>0</v>
      </c>
      <c r="AO32" s="38"/>
      <c r="AP32" s="38">
        <f t="shared" ref="AP32" si="180">TRUNC($M32 * AO32,2)</f>
        <v>0</v>
      </c>
      <c r="AQ32" s="38"/>
      <c r="AR32" s="38">
        <f t="shared" ref="AR32" si="181">TRUNC($M32 * AQ32,2)</f>
        <v>0</v>
      </c>
      <c r="AS32" s="38"/>
      <c r="AT32" s="38">
        <f t="shared" ref="AT32" si="182">TRUNC($M32 * AS32,2)</f>
        <v>0</v>
      </c>
      <c r="AU32" s="38"/>
      <c r="AV32" s="38">
        <f t="shared" ref="AV32" si="183">TRUNC($M32 * AU32,2)</f>
        <v>0</v>
      </c>
      <c r="AW32" s="38"/>
      <c r="AX32" s="37">
        <f t="shared" ref="AX32" si="184">TRUNC($M32 * AW32,2)</f>
        <v>0</v>
      </c>
      <c r="AY32" s="36">
        <f t="shared" si="132"/>
        <v>33.92</v>
      </c>
      <c r="AZ32" s="38">
        <f t="shared" ref="AZ32" si="185">TRUNC($M32 * AY32,2)</f>
        <v>14539.8</v>
      </c>
      <c r="BA32" s="38">
        <f t="shared" si="134"/>
        <v>0</v>
      </c>
      <c r="BB32" s="37">
        <f t="shared" ref="BB32" si="186">TRUNC($M32 * BA32,2)</f>
        <v>0</v>
      </c>
    </row>
    <row r="33" spans="1:54" ht="26.1" customHeight="1" x14ac:dyDescent="0.25">
      <c r="A33" s="31" t="s">
        <v>73</v>
      </c>
      <c r="B33" s="31" t="s">
        <v>74</v>
      </c>
      <c r="C33" s="31" t="s">
        <v>34</v>
      </c>
      <c r="D33" s="31" t="s">
        <v>75</v>
      </c>
      <c r="E33" s="32" t="s">
        <v>76</v>
      </c>
      <c r="F33" s="33">
        <v>288.60000000000002</v>
      </c>
      <c r="G33" s="34">
        <v>20.85</v>
      </c>
      <c r="H33" s="34">
        <f t="shared" si="111"/>
        <v>19.190000000000001</v>
      </c>
      <c r="I33" s="34">
        <f t="shared" si="112"/>
        <v>5538.23</v>
      </c>
      <c r="J33" s="34">
        <f>(TRUNC(H33 * L14,2) + H33)</f>
        <v>23.09</v>
      </c>
      <c r="K33" s="34">
        <f t="shared" si="113"/>
        <v>6663.77</v>
      </c>
      <c r="L33" s="35">
        <f>K33 / L13</f>
        <v>2.2978517241379307E-3</v>
      </c>
      <c r="M33" s="36">
        <v>18.95</v>
      </c>
      <c r="N33" s="37">
        <f t="shared" si="114"/>
        <v>5468.97</v>
      </c>
      <c r="O33" s="36"/>
      <c r="P33" s="38">
        <f t="shared" si="115"/>
        <v>0</v>
      </c>
      <c r="Q33" s="38"/>
      <c r="R33" s="38">
        <f t="shared" si="115"/>
        <v>0</v>
      </c>
      <c r="S33" s="38">
        <f t="shared" si="116"/>
        <v>288.60000000000002</v>
      </c>
      <c r="T33" s="37">
        <f t="shared" ref="T33:V33" si="187">TRUNC($M33 * S33,2)</f>
        <v>5468.97</v>
      </c>
      <c r="U33" s="36"/>
      <c r="V33" s="38">
        <f t="shared" si="187"/>
        <v>0</v>
      </c>
      <c r="W33" s="38"/>
      <c r="X33" s="38">
        <f t="shared" ref="X33" si="188">TRUNC($M33 * W33,2)</f>
        <v>0</v>
      </c>
      <c r="Y33" s="38"/>
      <c r="Z33" s="38">
        <f t="shared" ref="Z33" si="189">TRUNC($M33 * Y33,2)</f>
        <v>0</v>
      </c>
      <c r="AA33" s="38"/>
      <c r="AB33" s="38">
        <f t="shared" ref="AB33" si="190">TRUNC($M33 * AA33,2)</f>
        <v>0</v>
      </c>
      <c r="AC33" s="55">
        <v>288.60000000000002</v>
      </c>
      <c r="AD33" s="55">
        <f t="shared" ref="AD33" si="191">TRUNC($M33 * AC33,2)</f>
        <v>5468.97</v>
      </c>
      <c r="AE33" s="38"/>
      <c r="AF33" s="38">
        <f t="shared" ref="AF33" si="192">TRUNC($M33 * AE33,2)</f>
        <v>0</v>
      </c>
      <c r="AG33" s="38"/>
      <c r="AH33" s="38">
        <f t="shared" ref="AH33" si="193">TRUNC($M33 * AG33,2)</f>
        <v>0</v>
      </c>
      <c r="AI33" s="38"/>
      <c r="AJ33" s="38">
        <f t="shared" ref="AJ33" si="194">TRUNC($M33 * AI33,2)</f>
        <v>0</v>
      </c>
      <c r="AK33" s="38"/>
      <c r="AL33" s="38">
        <f t="shared" ref="AL33" si="195">TRUNC($M33 * AK33,2)</f>
        <v>0</v>
      </c>
      <c r="AM33" s="38"/>
      <c r="AN33" s="38">
        <f t="shared" ref="AN33" si="196">TRUNC($M33 * AM33,2)</f>
        <v>0</v>
      </c>
      <c r="AO33" s="38"/>
      <c r="AP33" s="38">
        <f t="shared" ref="AP33" si="197">TRUNC($M33 * AO33,2)</f>
        <v>0</v>
      </c>
      <c r="AQ33" s="38"/>
      <c r="AR33" s="38">
        <f t="shared" ref="AR33" si="198">TRUNC($M33 * AQ33,2)</f>
        <v>0</v>
      </c>
      <c r="AS33" s="38"/>
      <c r="AT33" s="38">
        <f t="shared" ref="AT33" si="199">TRUNC($M33 * AS33,2)</f>
        <v>0</v>
      </c>
      <c r="AU33" s="38"/>
      <c r="AV33" s="38">
        <f t="shared" ref="AV33" si="200">TRUNC($M33 * AU33,2)</f>
        <v>0</v>
      </c>
      <c r="AW33" s="38"/>
      <c r="AX33" s="37">
        <f t="shared" ref="AX33" si="201">TRUNC($M33 * AW33,2)</f>
        <v>0</v>
      </c>
      <c r="AY33" s="36">
        <f t="shared" si="132"/>
        <v>288.60000000000002</v>
      </c>
      <c r="AZ33" s="38">
        <f t="shared" ref="AZ33" si="202">TRUNC($M33 * AY33,2)</f>
        <v>5468.97</v>
      </c>
      <c r="BA33" s="38">
        <f t="shared" si="134"/>
        <v>0</v>
      </c>
      <c r="BB33" s="37">
        <f t="shared" ref="BB33" si="203">TRUNC($M33 * BA33,2)</f>
        <v>0</v>
      </c>
    </row>
    <row r="34" spans="1:54" ht="26.1" customHeight="1" x14ac:dyDescent="0.25">
      <c r="A34" s="31" t="s">
        <v>77</v>
      </c>
      <c r="B34" s="31" t="s">
        <v>78</v>
      </c>
      <c r="C34" s="31" t="s">
        <v>34</v>
      </c>
      <c r="D34" s="31" t="s">
        <v>79</v>
      </c>
      <c r="E34" s="32" t="s">
        <v>76</v>
      </c>
      <c r="F34" s="33">
        <v>778.7</v>
      </c>
      <c r="G34" s="34">
        <v>14.15</v>
      </c>
      <c r="H34" s="34">
        <f t="shared" si="111"/>
        <v>13.02</v>
      </c>
      <c r="I34" s="34">
        <f t="shared" si="112"/>
        <v>10138.67</v>
      </c>
      <c r="J34" s="34">
        <f>(TRUNC(H34 * L14,2) + H34)</f>
        <v>15.66</v>
      </c>
      <c r="K34" s="34">
        <f t="shared" si="113"/>
        <v>12194.44</v>
      </c>
      <c r="L34" s="35">
        <f>K34 / L13</f>
        <v>4.2049793103448273E-3</v>
      </c>
      <c r="M34" s="36">
        <v>11.76</v>
      </c>
      <c r="N34" s="37">
        <f t="shared" si="114"/>
        <v>9157.51</v>
      </c>
      <c r="O34" s="36"/>
      <c r="P34" s="38">
        <f t="shared" si="115"/>
        <v>0</v>
      </c>
      <c r="Q34" s="38"/>
      <c r="R34" s="38">
        <f t="shared" si="115"/>
        <v>0</v>
      </c>
      <c r="S34" s="38">
        <f t="shared" si="116"/>
        <v>778.7</v>
      </c>
      <c r="T34" s="37">
        <f t="shared" ref="T34:V34" si="204">TRUNC($M34 * S34,2)</f>
        <v>9157.51</v>
      </c>
      <c r="U34" s="36"/>
      <c r="V34" s="38">
        <f t="shared" si="204"/>
        <v>0</v>
      </c>
      <c r="W34" s="38"/>
      <c r="X34" s="38">
        <f t="shared" ref="X34" si="205">TRUNC($M34 * W34,2)</f>
        <v>0</v>
      </c>
      <c r="Y34" s="38"/>
      <c r="Z34" s="38">
        <f t="shared" ref="Z34" si="206">TRUNC($M34 * Y34,2)</f>
        <v>0</v>
      </c>
      <c r="AA34" s="38"/>
      <c r="AB34" s="38">
        <f t="shared" ref="AB34" si="207">TRUNC($M34 * AA34,2)</f>
        <v>0</v>
      </c>
      <c r="AC34" s="55">
        <v>778.7</v>
      </c>
      <c r="AD34" s="55">
        <f t="shared" ref="AD34" si="208">TRUNC($M34 * AC34,2)</f>
        <v>9157.51</v>
      </c>
      <c r="AE34" s="38"/>
      <c r="AF34" s="38">
        <f t="shared" ref="AF34" si="209">TRUNC($M34 * AE34,2)</f>
        <v>0</v>
      </c>
      <c r="AG34" s="38"/>
      <c r="AH34" s="38">
        <f t="shared" ref="AH34" si="210">TRUNC($M34 * AG34,2)</f>
        <v>0</v>
      </c>
      <c r="AI34" s="38"/>
      <c r="AJ34" s="38">
        <f t="shared" ref="AJ34" si="211">TRUNC($M34 * AI34,2)</f>
        <v>0</v>
      </c>
      <c r="AK34" s="38"/>
      <c r="AL34" s="38">
        <f t="shared" ref="AL34" si="212">TRUNC($M34 * AK34,2)</f>
        <v>0</v>
      </c>
      <c r="AM34" s="38"/>
      <c r="AN34" s="38">
        <f t="shared" ref="AN34" si="213">TRUNC($M34 * AM34,2)</f>
        <v>0</v>
      </c>
      <c r="AO34" s="38"/>
      <c r="AP34" s="38">
        <f t="shared" ref="AP34" si="214">TRUNC($M34 * AO34,2)</f>
        <v>0</v>
      </c>
      <c r="AQ34" s="38"/>
      <c r="AR34" s="38">
        <f t="shared" ref="AR34" si="215">TRUNC($M34 * AQ34,2)</f>
        <v>0</v>
      </c>
      <c r="AS34" s="38"/>
      <c r="AT34" s="38">
        <f t="shared" ref="AT34" si="216">TRUNC($M34 * AS34,2)</f>
        <v>0</v>
      </c>
      <c r="AU34" s="38"/>
      <c r="AV34" s="38">
        <f t="shared" ref="AV34" si="217">TRUNC($M34 * AU34,2)</f>
        <v>0</v>
      </c>
      <c r="AW34" s="38"/>
      <c r="AX34" s="37">
        <f t="shared" ref="AX34" si="218">TRUNC($M34 * AW34,2)</f>
        <v>0</v>
      </c>
      <c r="AY34" s="36">
        <f t="shared" si="132"/>
        <v>778.7</v>
      </c>
      <c r="AZ34" s="38">
        <f t="shared" ref="AZ34" si="219">TRUNC($M34 * AY34,2)</f>
        <v>9157.51</v>
      </c>
      <c r="BA34" s="38">
        <f t="shared" si="134"/>
        <v>0</v>
      </c>
      <c r="BB34" s="37">
        <f t="shared" ref="BB34" si="220">TRUNC($M34 * BA34,2)</f>
        <v>0</v>
      </c>
    </row>
    <row r="35" spans="1:54" ht="24" customHeight="1" x14ac:dyDescent="0.25">
      <c r="A35" s="4" t="s">
        <v>80</v>
      </c>
      <c r="B35" s="4" t="s">
        <v>12</v>
      </c>
      <c r="C35" s="4"/>
      <c r="D35" s="4" t="s">
        <v>81</v>
      </c>
      <c r="E35" s="5"/>
      <c r="F35" s="14"/>
      <c r="G35" s="6"/>
      <c r="H35" s="6"/>
      <c r="I35" s="7">
        <f>SUM(I36:I45)</f>
        <v>31769.119999999999</v>
      </c>
      <c r="J35" s="7"/>
      <c r="K35" s="7">
        <f>SUM(K36:K45)</f>
        <v>38216.1</v>
      </c>
      <c r="L35" s="22">
        <f>K35 / L13</f>
        <v>1.3177965517241376E-2</v>
      </c>
      <c r="M35" s="25"/>
      <c r="N35" s="26">
        <f>SUM(N36:N45)</f>
        <v>29133.21</v>
      </c>
      <c r="O35" s="25"/>
      <c r="P35" s="30">
        <f>SUM(P36:P45)</f>
        <v>0</v>
      </c>
      <c r="Q35" s="30"/>
      <c r="R35" s="30">
        <f>SUM(R36:R45)</f>
        <v>0</v>
      </c>
      <c r="S35" s="30"/>
      <c r="T35" s="26">
        <f>SUM(T36:T45)</f>
        <v>29133.21</v>
      </c>
      <c r="U35" s="25"/>
      <c r="V35" s="30">
        <f>SUM(V36:V45)</f>
        <v>0</v>
      </c>
      <c r="W35" s="30"/>
      <c r="X35" s="30">
        <f>SUM(X36:X45)</f>
        <v>0</v>
      </c>
      <c r="Y35" s="30"/>
      <c r="Z35" s="30">
        <f>SUM(Z36:Z45)</f>
        <v>0</v>
      </c>
      <c r="AA35" s="30"/>
      <c r="AB35" s="30">
        <f>SUM(AB36:AB45)</f>
        <v>0</v>
      </c>
      <c r="AC35" s="30"/>
      <c r="AD35" s="30">
        <f>SUM(AD36:AD45)</f>
        <v>0</v>
      </c>
      <c r="AE35" s="30"/>
      <c r="AF35" s="30">
        <f>SUM(AF36:AF45)</f>
        <v>19137.079999999998</v>
      </c>
      <c r="AG35" s="30"/>
      <c r="AH35" s="30">
        <f>SUM(AH36:AH45)</f>
        <v>0</v>
      </c>
      <c r="AI35" s="30"/>
      <c r="AJ35" s="30">
        <f>SUM(AJ36:AJ45)</f>
        <v>0</v>
      </c>
      <c r="AK35" s="30"/>
      <c r="AL35" s="30">
        <f>SUM(AL36:AL45)</f>
        <v>0</v>
      </c>
      <c r="AM35" s="30"/>
      <c r="AN35" s="30">
        <f>SUM(AN36:AN45)</f>
        <v>0</v>
      </c>
      <c r="AO35" s="30"/>
      <c r="AP35" s="30">
        <f>SUM(AP36:AP45)</f>
        <v>0</v>
      </c>
      <c r="AQ35" s="30"/>
      <c r="AR35" s="30">
        <f>SUM(AR36:AR45)</f>
        <v>0</v>
      </c>
      <c r="AS35" s="30"/>
      <c r="AT35" s="30">
        <f>SUM(AT36:AT45)</f>
        <v>0</v>
      </c>
      <c r="AU35" s="30"/>
      <c r="AV35" s="30">
        <f>SUM(AV36:AV45)</f>
        <v>0</v>
      </c>
      <c r="AW35" s="30"/>
      <c r="AX35" s="26">
        <f>SUM(AX36:AX45)</f>
        <v>0</v>
      </c>
      <c r="AY35" s="25"/>
      <c r="AZ35" s="30">
        <f>SUM(AZ36:AZ45)</f>
        <v>19137.079999999998</v>
      </c>
      <c r="BA35" s="30"/>
      <c r="BB35" s="26">
        <f>SUM(BB36:BB45)</f>
        <v>9996.1299999999992</v>
      </c>
    </row>
    <row r="36" spans="1:54" ht="65.099999999999994" customHeight="1" x14ac:dyDescent="0.25">
      <c r="A36" s="31" t="s">
        <v>82</v>
      </c>
      <c r="B36" s="31" t="s">
        <v>83</v>
      </c>
      <c r="C36" s="31" t="s">
        <v>34</v>
      </c>
      <c r="D36" s="31" t="s">
        <v>84</v>
      </c>
      <c r="E36" s="32" t="s">
        <v>51</v>
      </c>
      <c r="F36" s="33">
        <v>7.15</v>
      </c>
      <c r="G36" s="34">
        <v>6.21</v>
      </c>
      <c r="H36" s="34">
        <f t="shared" si="111"/>
        <v>5.71</v>
      </c>
      <c r="I36" s="34">
        <f t="shared" si="112"/>
        <v>40.82</v>
      </c>
      <c r="J36" s="34">
        <f>(TRUNC(H36 * L14,2) + H36)</f>
        <v>6.87</v>
      </c>
      <c r="K36" s="34">
        <f t="shared" ref="K36:K45" si="221">TRUNC(F36 * J36,2)</f>
        <v>49.12</v>
      </c>
      <c r="L36" s="35">
        <f>K36 / L13</f>
        <v>1.6937931034482756E-5</v>
      </c>
      <c r="M36" s="36">
        <v>5.05</v>
      </c>
      <c r="N36" s="37">
        <f t="shared" si="114"/>
        <v>36.1</v>
      </c>
      <c r="O36" s="36"/>
      <c r="P36" s="38">
        <f t="shared" si="115"/>
        <v>0</v>
      </c>
      <c r="Q36" s="38"/>
      <c r="R36" s="38">
        <f t="shared" si="115"/>
        <v>0</v>
      </c>
      <c r="S36" s="38">
        <f t="shared" si="116"/>
        <v>7.15</v>
      </c>
      <c r="T36" s="37">
        <f t="shared" ref="T36:V36" si="222">TRUNC($M36 * S36,2)</f>
        <v>36.1</v>
      </c>
      <c r="U36" s="36"/>
      <c r="V36" s="38">
        <f t="shared" si="222"/>
        <v>0</v>
      </c>
      <c r="W36" s="38"/>
      <c r="X36" s="38">
        <f t="shared" ref="X36" si="223">TRUNC($M36 * W36,2)</f>
        <v>0</v>
      </c>
      <c r="Y36" s="38"/>
      <c r="Z36" s="38">
        <f t="shared" ref="Z36" si="224">TRUNC($M36 * Y36,2)</f>
        <v>0</v>
      </c>
      <c r="AA36" s="38"/>
      <c r="AB36" s="38">
        <f t="shared" ref="AB36" si="225">TRUNC($M36 * AA36,2)</f>
        <v>0</v>
      </c>
      <c r="AC36" s="38"/>
      <c r="AD36" s="38">
        <f t="shared" ref="AD36" si="226">TRUNC($M36 * AC36,2)</f>
        <v>0</v>
      </c>
      <c r="AE36" s="38"/>
      <c r="AF36" s="38">
        <f t="shared" ref="AF36" si="227">TRUNC($M36 * AE36,2)</f>
        <v>0</v>
      </c>
      <c r="AG36" s="38"/>
      <c r="AH36" s="38">
        <f t="shared" ref="AH36" si="228">TRUNC($M36 * AG36,2)</f>
        <v>0</v>
      </c>
      <c r="AI36" s="38"/>
      <c r="AJ36" s="38">
        <f t="shared" ref="AJ36" si="229">TRUNC($M36 * AI36,2)</f>
        <v>0</v>
      </c>
      <c r="AK36" s="38"/>
      <c r="AL36" s="38">
        <f t="shared" ref="AL36" si="230">TRUNC($M36 * AK36,2)</f>
        <v>0</v>
      </c>
      <c r="AM36" s="38"/>
      <c r="AN36" s="38">
        <f t="shared" ref="AN36" si="231">TRUNC($M36 * AM36,2)</f>
        <v>0</v>
      </c>
      <c r="AO36" s="38"/>
      <c r="AP36" s="38">
        <f t="shared" ref="AP36" si="232">TRUNC($M36 * AO36,2)</f>
        <v>0</v>
      </c>
      <c r="AQ36" s="38"/>
      <c r="AR36" s="38">
        <f t="shared" ref="AR36" si="233">TRUNC($M36 * AQ36,2)</f>
        <v>0</v>
      </c>
      <c r="AS36" s="38"/>
      <c r="AT36" s="38">
        <f t="shared" ref="AT36" si="234">TRUNC($M36 * AS36,2)</f>
        <v>0</v>
      </c>
      <c r="AU36" s="38"/>
      <c r="AV36" s="38">
        <f t="shared" ref="AV36" si="235">TRUNC($M36 * AU36,2)</f>
        <v>0</v>
      </c>
      <c r="AW36" s="38"/>
      <c r="AX36" s="37">
        <f t="shared" ref="AX36" si="236">TRUNC($M36 * AW36,2)</f>
        <v>0</v>
      </c>
      <c r="AY36" s="36">
        <f t="shared" si="132"/>
        <v>0</v>
      </c>
      <c r="AZ36" s="38">
        <f t="shared" ref="AZ36" si="237">TRUNC($M36 * AY36,2)</f>
        <v>0</v>
      </c>
      <c r="BA36" s="38">
        <f t="shared" si="134"/>
        <v>7.15</v>
      </c>
      <c r="BB36" s="37">
        <f t="shared" ref="BB36" si="238">TRUNC($M36 * BA36,2)</f>
        <v>36.1</v>
      </c>
    </row>
    <row r="37" spans="1:54" ht="39" customHeight="1" x14ac:dyDescent="0.25">
      <c r="A37" s="31" t="s">
        <v>85</v>
      </c>
      <c r="B37" s="31" t="s">
        <v>86</v>
      </c>
      <c r="C37" s="31" t="s">
        <v>34</v>
      </c>
      <c r="D37" s="31" t="s">
        <v>87</v>
      </c>
      <c r="E37" s="32" t="s">
        <v>26</v>
      </c>
      <c r="F37" s="33">
        <v>24.9</v>
      </c>
      <c r="G37" s="34">
        <v>105.96</v>
      </c>
      <c r="H37" s="34">
        <f t="shared" si="111"/>
        <v>97.56</v>
      </c>
      <c r="I37" s="34">
        <f t="shared" si="112"/>
        <v>2429.2399999999998</v>
      </c>
      <c r="J37" s="34">
        <f>(TRUNC(H37 * L14,2) + H37)</f>
        <v>117.4</v>
      </c>
      <c r="K37" s="34">
        <f t="shared" si="221"/>
        <v>2923.26</v>
      </c>
      <c r="L37" s="35">
        <f>K37 / L13</f>
        <v>1.0080206896551723E-3</v>
      </c>
      <c r="M37" s="36">
        <v>97.66</v>
      </c>
      <c r="N37" s="37">
        <f t="shared" si="114"/>
        <v>2431.73</v>
      </c>
      <c r="O37" s="36"/>
      <c r="P37" s="38">
        <f t="shared" si="115"/>
        <v>0</v>
      </c>
      <c r="Q37" s="38"/>
      <c r="R37" s="38">
        <f t="shared" si="115"/>
        <v>0</v>
      </c>
      <c r="S37" s="38">
        <f t="shared" si="116"/>
        <v>24.9</v>
      </c>
      <c r="T37" s="37">
        <f t="shared" ref="T37:V37" si="239">TRUNC($M37 * S37,2)</f>
        <v>2431.73</v>
      </c>
      <c r="U37" s="36"/>
      <c r="V37" s="38">
        <f t="shared" si="239"/>
        <v>0</v>
      </c>
      <c r="W37" s="38"/>
      <c r="X37" s="38">
        <f t="shared" ref="X37" si="240">TRUNC($M37 * W37,2)</f>
        <v>0</v>
      </c>
      <c r="Y37" s="38"/>
      <c r="Z37" s="38">
        <f t="shared" ref="Z37" si="241">TRUNC($M37 * Y37,2)</f>
        <v>0</v>
      </c>
      <c r="AA37" s="38"/>
      <c r="AB37" s="38">
        <f t="shared" ref="AB37" si="242">TRUNC($M37 * AA37,2)</f>
        <v>0</v>
      </c>
      <c r="AC37" s="38"/>
      <c r="AD37" s="38">
        <f t="shared" ref="AD37" si="243">TRUNC($M37 * AC37,2)</f>
        <v>0</v>
      </c>
      <c r="AE37" s="38"/>
      <c r="AF37" s="38">
        <f t="shared" ref="AF37" si="244">TRUNC($M37 * AE37,2)</f>
        <v>0</v>
      </c>
      <c r="AG37" s="38"/>
      <c r="AH37" s="38">
        <f t="shared" ref="AH37" si="245">TRUNC($M37 * AG37,2)</f>
        <v>0</v>
      </c>
      <c r="AI37" s="38"/>
      <c r="AJ37" s="38">
        <f t="shared" ref="AJ37" si="246">TRUNC($M37 * AI37,2)</f>
        <v>0</v>
      </c>
      <c r="AK37" s="38"/>
      <c r="AL37" s="38">
        <f t="shared" ref="AL37" si="247">TRUNC($M37 * AK37,2)</f>
        <v>0</v>
      </c>
      <c r="AM37" s="38"/>
      <c r="AN37" s="38">
        <f t="shared" ref="AN37" si="248">TRUNC($M37 * AM37,2)</f>
        <v>0</v>
      </c>
      <c r="AO37" s="38"/>
      <c r="AP37" s="38">
        <f t="shared" ref="AP37" si="249">TRUNC($M37 * AO37,2)</f>
        <v>0</v>
      </c>
      <c r="AQ37" s="38"/>
      <c r="AR37" s="38">
        <f t="shared" ref="AR37" si="250">TRUNC($M37 * AQ37,2)</f>
        <v>0</v>
      </c>
      <c r="AS37" s="38"/>
      <c r="AT37" s="38">
        <f t="shared" ref="AT37" si="251">TRUNC($M37 * AS37,2)</f>
        <v>0</v>
      </c>
      <c r="AU37" s="38"/>
      <c r="AV37" s="38">
        <f t="shared" ref="AV37" si="252">TRUNC($M37 * AU37,2)</f>
        <v>0</v>
      </c>
      <c r="AW37" s="38"/>
      <c r="AX37" s="37">
        <f t="shared" ref="AX37" si="253">TRUNC($M37 * AW37,2)</f>
        <v>0</v>
      </c>
      <c r="AY37" s="36">
        <f t="shared" si="132"/>
        <v>0</v>
      </c>
      <c r="AZ37" s="38">
        <f t="shared" ref="AZ37" si="254">TRUNC($M37 * AY37,2)</f>
        <v>0</v>
      </c>
      <c r="BA37" s="38">
        <f t="shared" si="134"/>
        <v>24.9</v>
      </c>
      <c r="BB37" s="37">
        <f t="shared" ref="BB37" si="255">TRUNC($M37 * BA37,2)</f>
        <v>2431.73</v>
      </c>
    </row>
    <row r="38" spans="1:54" ht="26.1" customHeight="1" x14ac:dyDescent="0.25">
      <c r="A38" s="31" t="s">
        <v>88</v>
      </c>
      <c r="B38" s="31" t="s">
        <v>89</v>
      </c>
      <c r="C38" s="31" t="s">
        <v>34</v>
      </c>
      <c r="D38" s="31" t="s">
        <v>90</v>
      </c>
      <c r="E38" s="32" t="s">
        <v>51</v>
      </c>
      <c r="F38" s="33">
        <v>0.7</v>
      </c>
      <c r="G38" s="34">
        <v>203.38</v>
      </c>
      <c r="H38" s="34">
        <f t="shared" si="111"/>
        <v>187.26</v>
      </c>
      <c r="I38" s="34">
        <f t="shared" si="112"/>
        <v>131.08000000000001</v>
      </c>
      <c r="J38" s="34">
        <f>(TRUNC(H38 * L14,2) + H38)</f>
        <v>225.33999999999997</v>
      </c>
      <c r="K38" s="34">
        <f t="shared" si="221"/>
        <v>157.72999999999999</v>
      </c>
      <c r="L38" s="35">
        <f>K38 / L13</f>
        <v>5.4389655172413782E-5</v>
      </c>
      <c r="M38" s="36">
        <v>178.48</v>
      </c>
      <c r="N38" s="37">
        <f t="shared" si="114"/>
        <v>124.93</v>
      </c>
      <c r="O38" s="36"/>
      <c r="P38" s="38">
        <f t="shared" si="115"/>
        <v>0</v>
      </c>
      <c r="Q38" s="38"/>
      <c r="R38" s="38">
        <f t="shared" si="115"/>
        <v>0</v>
      </c>
      <c r="S38" s="38">
        <f t="shared" si="116"/>
        <v>0.7</v>
      </c>
      <c r="T38" s="37">
        <f t="shared" ref="T38:V38" si="256">TRUNC($M38 * S38,2)</f>
        <v>124.93</v>
      </c>
      <c r="U38" s="36"/>
      <c r="V38" s="38">
        <f t="shared" si="256"/>
        <v>0</v>
      </c>
      <c r="W38" s="38"/>
      <c r="X38" s="38">
        <f t="shared" ref="X38" si="257">TRUNC($M38 * W38,2)</f>
        <v>0</v>
      </c>
      <c r="Y38" s="38"/>
      <c r="Z38" s="38">
        <f t="shared" ref="Z38" si="258">TRUNC($M38 * Y38,2)</f>
        <v>0</v>
      </c>
      <c r="AA38" s="38"/>
      <c r="AB38" s="38">
        <f t="shared" ref="AB38" si="259">TRUNC($M38 * AA38,2)</f>
        <v>0</v>
      </c>
      <c r="AC38" s="38"/>
      <c r="AD38" s="38">
        <f t="shared" ref="AD38" si="260">TRUNC($M38 * AC38,2)</f>
        <v>0</v>
      </c>
      <c r="AE38" s="38"/>
      <c r="AF38" s="38">
        <f t="shared" ref="AF38" si="261">TRUNC($M38 * AE38,2)</f>
        <v>0</v>
      </c>
      <c r="AG38" s="38"/>
      <c r="AH38" s="38">
        <f t="shared" ref="AH38" si="262">TRUNC($M38 * AG38,2)</f>
        <v>0</v>
      </c>
      <c r="AI38" s="38"/>
      <c r="AJ38" s="38">
        <f t="shared" ref="AJ38" si="263">TRUNC($M38 * AI38,2)</f>
        <v>0</v>
      </c>
      <c r="AK38" s="38"/>
      <c r="AL38" s="38">
        <f t="shared" ref="AL38" si="264">TRUNC($M38 * AK38,2)</f>
        <v>0</v>
      </c>
      <c r="AM38" s="38"/>
      <c r="AN38" s="38">
        <f t="shared" ref="AN38" si="265">TRUNC($M38 * AM38,2)</f>
        <v>0</v>
      </c>
      <c r="AO38" s="38"/>
      <c r="AP38" s="38">
        <f t="shared" ref="AP38" si="266">TRUNC($M38 * AO38,2)</f>
        <v>0</v>
      </c>
      <c r="AQ38" s="38"/>
      <c r="AR38" s="38">
        <f t="shared" ref="AR38" si="267">TRUNC($M38 * AQ38,2)</f>
        <v>0</v>
      </c>
      <c r="AS38" s="38"/>
      <c r="AT38" s="38">
        <f t="shared" ref="AT38" si="268">TRUNC($M38 * AS38,2)</f>
        <v>0</v>
      </c>
      <c r="AU38" s="38"/>
      <c r="AV38" s="38">
        <f t="shared" ref="AV38" si="269">TRUNC($M38 * AU38,2)</f>
        <v>0</v>
      </c>
      <c r="AW38" s="38"/>
      <c r="AX38" s="37">
        <f t="shared" ref="AX38" si="270">TRUNC($M38 * AW38,2)</f>
        <v>0</v>
      </c>
      <c r="AY38" s="36">
        <f t="shared" si="132"/>
        <v>0</v>
      </c>
      <c r="AZ38" s="38">
        <f t="shared" ref="AZ38" si="271">TRUNC($M38 * AY38,2)</f>
        <v>0</v>
      </c>
      <c r="BA38" s="38">
        <f t="shared" si="134"/>
        <v>0.7</v>
      </c>
      <c r="BB38" s="37">
        <f t="shared" ref="BB38" si="272">TRUNC($M38 * BA38,2)</f>
        <v>124.93</v>
      </c>
    </row>
    <row r="39" spans="1:54" ht="39" customHeight="1" x14ac:dyDescent="0.25">
      <c r="A39" s="31" t="s">
        <v>91</v>
      </c>
      <c r="B39" s="31" t="s">
        <v>92</v>
      </c>
      <c r="C39" s="31" t="s">
        <v>34</v>
      </c>
      <c r="D39" s="31" t="s">
        <v>93</v>
      </c>
      <c r="E39" s="32" t="s">
        <v>51</v>
      </c>
      <c r="F39" s="33">
        <v>4.18</v>
      </c>
      <c r="G39" s="34">
        <v>616.55999999999995</v>
      </c>
      <c r="H39" s="34">
        <f t="shared" si="111"/>
        <v>567.69000000000005</v>
      </c>
      <c r="I39" s="34">
        <f t="shared" si="112"/>
        <v>2372.94</v>
      </c>
      <c r="J39" s="34">
        <f>(TRUNC(H39 * L14,2) + H39)</f>
        <v>683.15000000000009</v>
      </c>
      <c r="K39" s="34">
        <f t="shared" si="221"/>
        <v>2855.56</v>
      </c>
      <c r="L39" s="35">
        <f>K39 / L13</f>
        <v>9.8467586206896543E-4</v>
      </c>
      <c r="M39" s="36">
        <v>445.41</v>
      </c>
      <c r="N39" s="37">
        <f t="shared" si="114"/>
        <v>1861.81</v>
      </c>
      <c r="O39" s="36"/>
      <c r="P39" s="38">
        <f t="shared" si="115"/>
        <v>0</v>
      </c>
      <c r="Q39" s="38"/>
      <c r="R39" s="38">
        <f t="shared" si="115"/>
        <v>0</v>
      </c>
      <c r="S39" s="38">
        <f t="shared" si="116"/>
        <v>4.18</v>
      </c>
      <c r="T39" s="37">
        <f t="shared" ref="T39:V39" si="273">TRUNC($M39 * S39,2)</f>
        <v>1861.81</v>
      </c>
      <c r="U39" s="36"/>
      <c r="V39" s="38">
        <f t="shared" si="273"/>
        <v>0</v>
      </c>
      <c r="W39" s="38"/>
      <c r="X39" s="38">
        <f t="shared" ref="X39" si="274">TRUNC($M39 * W39,2)</f>
        <v>0</v>
      </c>
      <c r="Y39" s="38"/>
      <c r="Z39" s="38">
        <f t="shared" ref="Z39" si="275">TRUNC($M39 * Y39,2)</f>
        <v>0</v>
      </c>
      <c r="AA39" s="38"/>
      <c r="AB39" s="38">
        <f t="shared" ref="AB39" si="276">TRUNC($M39 * AA39,2)</f>
        <v>0</v>
      </c>
      <c r="AC39" s="38"/>
      <c r="AD39" s="38">
        <f t="shared" ref="AD39" si="277">TRUNC($M39 * AC39,2)</f>
        <v>0</v>
      </c>
      <c r="AE39" s="38"/>
      <c r="AF39" s="38">
        <f t="shared" ref="AF39" si="278">TRUNC($M39 * AE39,2)</f>
        <v>0</v>
      </c>
      <c r="AG39" s="38"/>
      <c r="AH39" s="38">
        <f t="shared" ref="AH39" si="279">TRUNC($M39 * AG39,2)</f>
        <v>0</v>
      </c>
      <c r="AI39" s="38"/>
      <c r="AJ39" s="38">
        <f t="shared" ref="AJ39" si="280">TRUNC($M39 * AI39,2)</f>
        <v>0</v>
      </c>
      <c r="AK39" s="38"/>
      <c r="AL39" s="38">
        <f t="shared" ref="AL39" si="281">TRUNC($M39 * AK39,2)</f>
        <v>0</v>
      </c>
      <c r="AM39" s="38"/>
      <c r="AN39" s="38">
        <f t="shared" ref="AN39" si="282">TRUNC($M39 * AM39,2)</f>
        <v>0</v>
      </c>
      <c r="AO39" s="38"/>
      <c r="AP39" s="38">
        <f t="shared" ref="AP39" si="283">TRUNC($M39 * AO39,2)</f>
        <v>0</v>
      </c>
      <c r="AQ39" s="38"/>
      <c r="AR39" s="38">
        <f t="shared" ref="AR39" si="284">TRUNC($M39 * AQ39,2)</f>
        <v>0</v>
      </c>
      <c r="AS39" s="38"/>
      <c r="AT39" s="38">
        <f t="shared" ref="AT39" si="285">TRUNC($M39 * AS39,2)</f>
        <v>0</v>
      </c>
      <c r="AU39" s="38"/>
      <c r="AV39" s="38">
        <f t="shared" ref="AV39" si="286">TRUNC($M39 * AU39,2)</f>
        <v>0</v>
      </c>
      <c r="AW39" s="38"/>
      <c r="AX39" s="37">
        <f t="shared" ref="AX39" si="287">TRUNC($M39 * AW39,2)</f>
        <v>0</v>
      </c>
      <c r="AY39" s="36">
        <f t="shared" si="132"/>
        <v>0</v>
      </c>
      <c r="AZ39" s="38">
        <f t="shared" ref="AZ39" si="288">TRUNC($M39 * AY39,2)</f>
        <v>0</v>
      </c>
      <c r="BA39" s="38">
        <f t="shared" si="134"/>
        <v>4.18</v>
      </c>
      <c r="BB39" s="37">
        <f t="shared" ref="BB39" si="289">TRUNC($M39 * BA39,2)</f>
        <v>1861.81</v>
      </c>
    </row>
    <row r="40" spans="1:54" ht="26.1" customHeight="1" x14ac:dyDescent="0.25">
      <c r="A40" s="31" t="s">
        <v>94</v>
      </c>
      <c r="B40" s="31" t="s">
        <v>74</v>
      </c>
      <c r="C40" s="31" t="s">
        <v>34</v>
      </c>
      <c r="D40" s="31" t="s">
        <v>75</v>
      </c>
      <c r="E40" s="32" t="s">
        <v>76</v>
      </c>
      <c r="F40" s="33">
        <v>288.60000000000002</v>
      </c>
      <c r="G40" s="34">
        <v>20.85</v>
      </c>
      <c r="H40" s="34">
        <f t="shared" si="111"/>
        <v>19.190000000000001</v>
      </c>
      <c r="I40" s="34">
        <f t="shared" si="112"/>
        <v>5538.23</v>
      </c>
      <c r="J40" s="34">
        <f>(TRUNC(H40 * L14,2) + H40)</f>
        <v>23.09</v>
      </c>
      <c r="K40" s="34">
        <f t="shared" si="221"/>
        <v>6663.77</v>
      </c>
      <c r="L40" s="35">
        <f>K40 / L13</f>
        <v>2.2978517241379307E-3</v>
      </c>
      <c r="M40" s="36">
        <v>18.95</v>
      </c>
      <c r="N40" s="37">
        <f t="shared" si="114"/>
        <v>5468.97</v>
      </c>
      <c r="O40" s="36"/>
      <c r="P40" s="38">
        <f t="shared" si="115"/>
        <v>0</v>
      </c>
      <c r="Q40" s="38"/>
      <c r="R40" s="38">
        <f t="shared" si="115"/>
        <v>0</v>
      </c>
      <c r="S40" s="38">
        <f t="shared" si="116"/>
        <v>288.60000000000002</v>
      </c>
      <c r="T40" s="37">
        <f t="shared" ref="T40:V40" si="290">TRUNC($M40 * S40,2)</f>
        <v>5468.97</v>
      </c>
      <c r="U40" s="36"/>
      <c r="V40" s="38">
        <f t="shared" si="290"/>
        <v>0</v>
      </c>
      <c r="W40" s="38"/>
      <c r="X40" s="38">
        <f t="shared" ref="X40" si="291">TRUNC($M40 * W40,2)</f>
        <v>0</v>
      </c>
      <c r="Y40" s="38"/>
      <c r="Z40" s="38">
        <f t="shared" ref="Z40" si="292">TRUNC($M40 * Y40,2)</f>
        <v>0</v>
      </c>
      <c r="AA40" s="38"/>
      <c r="AB40" s="38">
        <f t="shared" ref="AB40" si="293">TRUNC($M40 * AA40,2)</f>
        <v>0</v>
      </c>
      <c r="AC40" s="38"/>
      <c r="AD40" s="38">
        <f t="shared" ref="AD40" si="294">TRUNC($M40 * AC40,2)</f>
        <v>0</v>
      </c>
      <c r="AE40" s="55">
        <v>235</v>
      </c>
      <c r="AF40" s="55">
        <f t="shared" ref="AF40" si="295">TRUNC($M40 * AE40,2)</f>
        <v>4453.25</v>
      </c>
      <c r="AG40" s="38"/>
      <c r="AH40" s="38">
        <f t="shared" ref="AH40" si="296">TRUNC($M40 * AG40,2)</f>
        <v>0</v>
      </c>
      <c r="AI40" s="38"/>
      <c r="AJ40" s="38">
        <f t="shared" ref="AJ40" si="297">TRUNC($M40 * AI40,2)</f>
        <v>0</v>
      </c>
      <c r="AK40" s="38"/>
      <c r="AL40" s="38">
        <f t="shared" ref="AL40" si="298">TRUNC($M40 * AK40,2)</f>
        <v>0</v>
      </c>
      <c r="AM40" s="38"/>
      <c r="AN40" s="38">
        <f t="shared" ref="AN40" si="299">TRUNC($M40 * AM40,2)</f>
        <v>0</v>
      </c>
      <c r="AO40" s="38"/>
      <c r="AP40" s="38">
        <f t="shared" ref="AP40" si="300">TRUNC($M40 * AO40,2)</f>
        <v>0</v>
      </c>
      <c r="AQ40" s="38"/>
      <c r="AR40" s="38">
        <f t="shared" ref="AR40" si="301">TRUNC($M40 * AQ40,2)</f>
        <v>0</v>
      </c>
      <c r="AS40" s="38"/>
      <c r="AT40" s="38">
        <f t="shared" ref="AT40" si="302">TRUNC($M40 * AS40,2)</f>
        <v>0</v>
      </c>
      <c r="AU40" s="38"/>
      <c r="AV40" s="38">
        <f t="shared" ref="AV40" si="303">TRUNC($M40 * AU40,2)</f>
        <v>0</v>
      </c>
      <c r="AW40" s="38"/>
      <c r="AX40" s="37">
        <f t="shared" ref="AX40" si="304">TRUNC($M40 * AW40,2)</f>
        <v>0</v>
      </c>
      <c r="AY40" s="36">
        <f t="shared" si="132"/>
        <v>235</v>
      </c>
      <c r="AZ40" s="38">
        <f t="shared" ref="AZ40" si="305">TRUNC($M40 * AY40,2)</f>
        <v>4453.25</v>
      </c>
      <c r="BA40" s="38">
        <f t="shared" si="134"/>
        <v>53.600000000000023</v>
      </c>
      <c r="BB40" s="37">
        <f t="shared" ref="BB40" si="306">TRUNC($M40 * BA40,2)</f>
        <v>1015.72</v>
      </c>
    </row>
    <row r="41" spans="1:54" ht="26.1" customHeight="1" x14ac:dyDescent="0.25">
      <c r="A41" s="31" t="s">
        <v>95</v>
      </c>
      <c r="B41" s="31" t="s">
        <v>96</v>
      </c>
      <c r="C41" s="31" t="s">
        <v>34</v>
      </c>
      <c r="D41" s="31" t="s">
        <v>97</v>
      </c>
      <c r="E41" s="32" t="s">
        <v>76</v>
      </c>
      <c r="F41" s="33">
        <v>60.3</v>
      </c>
      <c r="G41" s="34">
        <v>18.420000000000002</v>
      </c>
      <c r="H41" s="34">
        <f t="shared" si="111"/>
        <v>16.96</v>
      </c>
      <c r="I41" s="34">
        <f t="shared" si="112"/>
        <v>1022.68</v>
      </c>
      <c r="J41" s="34">
        <f>(TRUNC(H41 * L14,2) + H41)</f>
        <v>20.400000000000002</v>
      </c>
      <c r="K41" s="34">
        <f t="shared" si="221"/>
        <v>1230.1199999999999</v>
      </c>
      <c r="L41" s="35">
        <f>K41 / L13</f>
        <v>4.2417931034482748E-4</v>
      </c>
      <c r="M41" s="36">
        <v>16.2</v>
      </c>
      <c r="N41" s="37">
        <f t="shared" si="114"/>
        <v>976.86</v>
      </c>
      <c r="O41" s="36"/>
      <c r="P41" s="38">
        <f t="shared" si="115"/>
        <v>0</v>
      </c>
      <c r="Q41" s="38"/>
      <c r="R41" s="38">
        <f t="shared" si="115"/>
        <v>0</v>
      </c>
      <c r="S41" s="38">
        <f t="shared" si="116"/>
        <v>60.3</v>
      </c>
      <c r="T41" s="37">
        <f t="shared" ref="T41:V41" si="307">TRUNC($M41 * S41,2)</f>
        <v>976.86</v>
      </c>
      <c r="U41" s="36"/>
      <c r="V41" s="38">
        <f t="shared" si="307"/>
        <v>0</v>
      </c>
      <c r="W41" s="38"/>
      <c r="X41" s="38">
        <f t="shared" ref="X41" si="308">TRUNC($M41 * W41,2)</f>
        <v>0</v>
      </c>
      <c r="Y41" s="38"/>
      <c r="Z41" s="38">
        <f t="shared" ref="Z41" si="309">TRUNC($M41 * Y41,2)</f>
        <v>0</v>
      </c>
      <c r="AA41" s="38"/>
      <c r="AB41" s="38">
        <f t="shared" ref="AB41" si="310">TRUNC($M41 * AA41,2)</f>
        <v>0</v>
      </c>
      <c r="AC41" s="38"/>
      <c r="AD41" s="38">
        <f t="shared" ref="AD41" si="311">TRUNC($M41 * AC41,2)</f>
        <v>0</v>
      </c>
      <c r="AE41" s="55">
        <v>60.3</v>
      </c>
      <c r="AF41" s="55">
        <f t="shared" ref="AF41" si="312">TRUNC($M41 * AE41,2)</f>
        <v>976.86</v>
      </c>
      <c r="AG41" s="38"/>
      <c r="AH41" s="38">
        <f t="shared" ref="AH41" si="313">TRUNC($M41 * AG41,2)</f>
        <v>0</v>
      </c>
      <c r="AI41" s="38"/>
      <c r="AJ41" s="38">
        <f t="shared" ref="AJ41" si="314">TRUNC($M41 * AI41,2)</f>
        <v>0</v>
      </c>
      <c r="AK41" s="38"/>
      <c r="AL41" s="38">
        <f t="shared" ref="AL41" si="315">TRUNC($M41 * AK41,2)</f>
        <v>0</v>
      </c>
      <c r="AM41" s="38"/>
      <c r="AN41" s="38">
        <f t="shared" ref="AN41" si="316">TRUNC($M41 * AM41,2)</f>
        <v>0</v>
      </c>
      <c r="AO41" s="38"/>
      <c r="AP41" s="38">
        <f t="shared" ref="AP41" si="317">TRUNC($M41 * AO41,2)</f>
        <v>0</v>
      </c>
      <c r="AQ41" s="38"/>
      <c r="AR41" s="38">
        <f t="shared" ref="AR41" si="318">TRUNC($M41 * AQ41,2)</f>
        <v>0</v>
      </c>
      <c r="AS41" s="38"/>
      <c r="AT41" s="38">
        <f t="shared" ref="AT41" si="319">TRUNC($M41 * AS41,2)</f>
        <v>0</v>
      </c>
      <c r="AU41" s="38"/>
      <c r="AV41" s="38">
        <f t="shared" ref="AV41" si="320">TRUNC($M41 * AU41,2)</f>
        <v>0</v>
      </c>
      <c r="AW41" s="38"/>
      <c r="AX41" s="37">
        <f t="shared" ref="AX41" si="321">TRUNC($M41 * AW41,2)</f>
        <v>0</v>
      </c>
      <c r="AY41" s="36">
        <f t="shared" si="132"/>
        <v>60.3</v>
      </c>
      <c r="AZ41" s="38">
        <f t="shared" ref="AZ41" si="322">TRUNC($M41 * AY41,2)</f>
        <v>976.86</v>
      </c>
      <c r="BA41" s="38">
        <f t="shared" si="134"/>
        <v>0</v>
      </c>
      <c r="BB41" s="37">
        <f t="shared" ref="BB41" si="323">TRUNC($M41 * BA41,2)</f>
        <v>0</v>
      </c>
    </row>
    <row r="42" spans="1:54" ht="26.1" customHeight="1" x14ac:dyDescent="0.25">
      <c r="A42" s="31" t="s">
        <v>98</v>
      </c>
      <c r="B42" s="31" t="s">
        <v>78</v>
      </c>
      <c r="C42" s="31" t="s">
        <v>34</v>
      </c>
      <c r="D42" s="31" t="s">
        <v>79</v>
      </c>
      <c r="E42" s="32" t="s">
        <v>76</v>
      </c>
      <c r="F42" s="33">
        <v>1282.8</v>
      </c>
      <c r="G42" s="34">
        <v>14.15</v>
      </c>
      <c r="H42" s="34">
        <f t="shared" si="111"/>
        <v>13.02</v>
      </c>
      <c r="I42" s="34">
        <f t="shared" si="112"/>
        <v>16702.05</v>
      </c>
      <c r="J42" s="34">
        <f>(TRUNC(H42 * L14,2) + H42)</f>
        <v>15.66</v>
      </c>
      <c r="K42" s="34">
        <f t="shared" si="221"/>
        <v>20088.64</v>
      </c>
      <c r="L42" s="35">
        <f>K42 / L13</f>
        <v>6.9271172413793089E-3</v>
      </c>
      <c r="M42" s="36">
        <v>11.76</v>
      </c>
      <c r="N42" s="37">
        <f t="shared" si="114"/>
        <v>15085.72</v>
      </c>
      <c r="O42" s="36"/>
      <c r="P42" s="38">
        <f t="shared" si="115"/>
        <v>0</v>
      </c>
      <c r="Q42" s="38"/>
      <c r="R42" s="38">
        <f t="shared" si="115"/>
        <v>0</v>
      </c>
      <c r="S42" s="38">
        <f t="shared" si="116"/>
        <v>1282.8</v>
      </c>
      <c r="T42" s="37">
        <f t="shared" ref="T42:V42" si="324">TRUNC($M42 * S42,2)</f>
        <v>15085.72</v>
      </c>
      <c r="U42" s="36"/>
      <c r="V42" s="38">
        <f t="shared" si="324"/>
        <v>0</v>
      </c>
      <c r="W42" s="38"/>
      <c r="X42" s="38">
        <f t="shared" ref="X42" si="325">TRUNC($M42 * W42,2)</f>
        <v>0</v>
      </c>
      <c r="Y42" s="38"/>
      <c r="Z42" s="38">
        <f t="shared" ref="Z42" si="326">TRUNC($M42 * Y42,2)</f>
        <v>0</v>
      </c>
      <c r="AA42" s="38"/>
      <c r="AB42" s="38">
        <f t="shared" ref="AB42" si="327">TRUNC($M42 * AA42,2)</f>
        <v>0</v>
      </c>
      <c r="AC42" s="38"/>
      <c r="AD42" s="38">
        <f t="shared" ref="AD42" si="328">TRUNC($M42 * AC42,2)</f>
        <v>0</v>
      </c>
      <c r="AE42" s="55">
        <v>1010</v>
      </c>
      <c r="AF42" s="55">
        <f t="shared" ref="AF42" si="329">TRUNC($M42 * AE42,2)</f>
        <v>11877.6</v>
      </c>
      <c r="AG42" s="38"/>
      <c r="AH42" s="38">
        <f t="shared" ref="AH42" si="330">TRUNC($M42 * AG42,2)</f>
        <v>0</v>
      </c>
      <c r="AI42" s="38"/>
      <c r="AJ42" s="38">
        <f t="shared" ref="AJ42" si="331">TRUNC($M42 * AI42,2)</f>
        <v>0</v>
      </c>
      <c r="AK42" s="38"/>
      <c r="AL42" s="38">
        <f t="shared" ref="AL42" si="332">TRUNC($M42 * AK42,2)</f>
        <v>0</v>
      </c>
      <c r="AM42" s="38"/>
      <c r="AN42" s="38">
        <f t="shared" ref="AN42" si="333">TRUNC($M42 * AM42,2)</f>
        <v>0</v>
      </c>
      <c r="AO42" s="38"/>
      <c r="AP42" s="38">
        <f t="shared" ref="AP42" si="334">TRUNC($M42 * AO42,2)</f>
        <v>0</v>
      </c>
      <c r="AQ42" s="38"/>
      <c r="AR42" s="38">
        <f t="shared" ref="AR42" si="335">TRUNC($M42 * AQ42,2)</f>
        <v>0</v>
      </c>
      <c r="AS42" s="38"/>
      <c r="AT42" s="38">
        <f t="shared" ref="AT42" si="336">TRUNC($M42 * AS42,2)</f>
        <v>0</v>
      </c>
      <c r="AU42" s="38"/>
      <c r="AV42" s="38">
        <f t="shared" ref="AV42" si="337">TRUNC($M42 * AU42,2)</f>
        <v>0</v>
      </c>
      <c r="AW42" s="38"/>
      <c r="AX42" s="37">
        <f t="shared" ref="AX42" si="338">TRUNC($M42 * AW42,2)</f>
        <v>0</v>
      </c>
      <c r="AY42" s="36">
        <f t="shared" si="132"/>
        <v>1010</v>
      </c>
      <c r="AZ42" s="38">
        <f t="shared" ref="AZ42" si="339">TRUNC($M42 * AY42,2)</f>
        <v>11877.6</v>
      </c>
      <c r="BA42" s="38">
        <f t="shared" si="134"/>
        <v>272.79999999999995</v>
      </c>
      <c r="BB42" s="37">
        <f t="shared" ref="BB42" si="340">TRUNC($M42 * BA42,2)</f>
        <v>3208.12</v>
      </c>
    </row>
    <row r="43" spans="1:54" ht="39" customHeight="1" x14ac:dyDescent="0.25">
      <c r="A43" s="31" t="s">
        <v>99</v>
      </c>
      <c r="B43" s="31" t="s">
        <v>100</v>
      </c>
      <c r="C43" s="31" t="s">
        <v>34</v>
      </c>
      <c r="D43" s="31" t="s">
        <v>101</v>
      </c>
      <c r="E43" s="32" t="s">
        <v>76</v>
      </c>
      <c r="F43" s="33">
        <v>262.7</v>
      </c>
      <c r="G43" s="34">
        <v>10.74</v>
      </c>
      <c r="H43" s="34">
        <f t="shared" si="111"/>
        <v>9.8800000000000008</v>
      </c>
      <c r="I43" s="34">
        <f t="shared" si="112"/>
        <v>2595.4699999999998</v>
      </c>
      <c r="J43" s="34">
        <f>(TRUNC(H43 * L14,2) + H43)</f>
        <v>11.88</v>
      </c>
      <c r="K43" s="34">
        <f t="shared" si="221"/>
        <v>3120.87</v>
      </c>
      <c r="L43" s="35">
        <f>K43 / L13</f>
        <v>1.076162068965517E-3</v>
      </c>
      <c r="M43" s="36">
        <v>8.67</v>
      </c>
      <c r="N43" s="37">
        <f t="shared" si="114"/>
        <v>2277.6</v>
      </c>
      <c r="O43" s="36"/>
      <c r="P43" s="38">
        <f t="shared" si="115"/>
        <v>0</v>
      </c>
      <c r="Q43" s="38"/>
      <c r="R43" s="38">
        <f t="shared" si="115"/>
        <v>0</v>
      </c>
      <c r="S43" s="38">
        <f t="shared" si="116"/>
        <v>262.7</v>
      </c>
      <c r="T43" s="37">
        <f t="shared" ref="T43:V43" si="341">TRUNC($M43 * S43,2)</f>
        <v>2277.6</v>
      </c>
      <c r="U43" s="36"/>
      <c r="V43" s="38">
        <f t="shared" si="341"/>
        <v>0</v>
      </c>
      <c r="W43" s="38"/>
      <c r="X43" s="38">
        <f t="shared" ref="X43" si="342">TRUNC($M43 * W43,2)</f>
        <v>0</v>
      </c>
      <c r="Y43" s="38"/>
      <c r="Z43" s="38">
        <f t="shared" ref="Z43" si="343">TRUNC($M43 * Y43,2)</f>
        <v>0</v>
      </c>
      <c r="AA43" s="38"/>
      <c r="AB43" s="38">
        <f t="shared" ref="AB43" si="344">TRUNC($M43 * AA43,2)</f>
        <v>0</v>
      </c>
      <c r="AC43" s="38"/>
      <c r="AD43" s="38">
        <f t="shared" ref="AD43" si="345">TRUNC($M43 * AC43,2)</f>
        <v>0</v>
      </c>
      <c r="AE43" s="55">
        <v>211</v>
      </c>
      <c r="AF43" s="55">
        <f t="shared" ref="AF43" si="346">TRUNC($M43 * AE43,2)</f>
        <v>1829.37</v>
      </c>
      <c r="AG43" s="38"/>
      <c r="AH43" s="38">
        <f t="shared" ref="AH43" si="347">TRUNC($M43 * AG43,2)</f>
        <v>0</v>
      </c>
      <c r="AI43" s="38"/>
      <c r="AJ43" s="38">
        <f t="shared" ref="AJ43" si="348">TRUNC($M43 * AI43,2)</f>
        <v>0</v>
      </c>
      <c r="AK43" s="38"/>
      <c r="AL43" s="38">
        <f t="shared" ref="AL43" si="349">TRUNC($M43 * AK43,2)</f>
        <v>0</v>
      </c>
      <c r="AM43" s="38"/>
      <c r="AN43" s="38">
        <f t="shared" ref="AN43" si="350">TRUNC($M43 * AM43,2)</f>
        <v>0</v>
      </c>
      <c r="AO43" s="38"/>
      <c r="AP43" s="38">
        <f t="shared" ref="AP43" si="351">TRUNC($M43 * AO43,2)</f>
        <v>0</v>
      </c>
      <c r="AQ43" s="38"/>
      <c r="AR43" s="38">
        <f t="shared" ref="AR43" si="352">TRUNC($M43 * AQ43,2)</f>
        <v>0</v>
      </c>
      <c r="AS43" s="38"/>
      <c r="AT43" s="38">
        <f t="shared" ref="AT43" si="353">TRUNC($M43 * AS43,2)</f>
        <v>0</v>
      </c>
      <c r="AU43" s="38"/>
      <c r="AV43" s="38">
        <f t="shared" ref="AV43" si="354">TRUNC($M43 * AU43,2)</f>
        <v>0</v>
      </c>
      <c r="AW43" s="38"/>
      <c r="AX43" s="37">
        <f t="shared" ref="AX43" si="355">TRUNC($M43 * AW43,2)</f>
        <v>0</v>
      </c>
      <c r="AY43" s="36">
        <f t="shared" si="132"/>
        <v>211</v>
      </c>
      <c r="AZ43" s="38">
        <f t="shared" ref="AZ43" si="356">TRUNC($M43 * AY43,2)</f>
        <v>1829.37</v>
      </c>
      <c r="BA43" s="38">
        <f t="shared" si="134"/>
        <v>51.699999999999989</v>
      </c>
      <c r="BB43" s="37">
        <f t="shared" ref="BB43" si="357">TRUNC($M43 * BA43,2)</f>
        <v>448.23</v>
      </c>
    </row>
    <row r="44" spans="1:54" ht="26.1" customHeight="1" x14ac:dyDescent="0.25">
      <c r="A44" s="31" t="s">
        <v>102</v>
      </c>
      <c r="B44" s="31" t="s">
        <v>103</v>
      </c>
      <c r="C44" s="31" t="s">
        <v>34</v>
      </c>
      <c r="D44" s="31" t="s">
        <v>104</v>
      </c>
      <c r="E44" s="32" t="s">
        <v>51</v>
      </c>
      <c r="F44" s="33">
        <v>4.16</v>
      </c>
      <c r="G44" s="34">
        <v>29.8</v>
      </c>
      <c r="H44" s="34">
        <f t="shared" si="111"/>
        <v>27.43</v>
      </c>
      <c r="I44" s="34">
        <f t="shared" si="112"/>
        <v>114.1</v>
      </c>
      <c r="J44" s="34">
        <f>(TRUNC(H44 * L14,2) + H44)</f>
        <v>33</v>
      </c>
      <c r="K44" s="34">
        <f t="shared" si="221"/>
        <v>137.28</v>
      </c>
      <c r="L44" s="35">
        <f>K44 / L13</f>
        <v>4.733793103448275E-5</v>
      </c>
      <c r="M44" s="36">
        <v>29.21</v>
      </c>
      <c r="N44" s="37">
        <f t="shared" si="114"/>
        <v>121.51</v>
      </c>
      <c r="O44" s="36"/>
      <c r="P44" s="38">
        <f t="shared" si="115"/>
        <v>0</v>
      </c>
      <c r="Q44" s="38"/>
      <c r="R44" s="38">
        <f t="shared" si="115"/>
        <v>0</v>
      </c>
      <c r="S44" s="38">
        <f t="shared" si="116"/>
        <v>4.16</v>
      </c>
      <c r="T44" s="37">
        <f t="shared" ref="T44:V44" si="358">TRUNC($M44 * S44,2)</f>
        <v>121.51</v>
      </c>
      <c r="U44" s="36"/>
      <c r="V44" s="38">
        <f t="shared" si="358"/>
        <v>0</v>
      </c>
      <c r="W44" s="38"/>
      <c r="X44" s="38">
        <f t="shared" ref="X44" si="359">TRUNC($M44 * W44,2)</f>
        <v>0</v>
      </c>
      <c r="Y44" s="38"/>
      <c r="Z44" s="38">
        <f t="shared" ref="Z44" si="360">TRUNC($M44 * Y44,2)</f>
        <v>0</v>
      </c>
      <c r="AA44" s="38"/>
      <c r="AB44" s="38">
        <f t="shared" ref="AB44" si="361">TRUNC($M44 * AA44,2)</f>
        <v>0</v>
      </c>
      <c r="AC44" s="38"/>
      <c r="AD44" s="38">
        <f t="shared" ref="AD44" si="362">TRUNC($M44 * AC44,2)</f>
        <v>0</v>
      </c>
      <c r="AE44" s="38"/>
      <c r="AF44" s="38">
        <f t="shared" ref="AF44" si="363">TRUNC($M44 * AE44,2)</f>
        <v>0</v>
      </c>
      <c r="AG44" s="38"/>
      <c r="AH44" s="38">
        <f t="shared" ref="AH44" si="364">TRUNC($M44 * AG44,2)</f>
        <v>0</v>
      </c>
      <c r="AI44" s="38"/>
      <c r="AJ44" s="38">
        <f t="shared" ref="AJ44" si="365">TRUNC($M44 * AI44,2)</f>
        <v>0</v>
      </c>
      <c r="AK44" s="38"/>
      <c r="AL44" s="38">
        <f t="shared" ref="AL44" si="366">TRUNC($M44 * AK44,2)</f>
        <v>0</v>
      </c>
      <c r="AM44" s="38"/>
      <c r="AN44" s="38">
        <f t="shared" ref="AN44" si="367">TRUNC($M44 * AM44,2)</f>
        <v>0</v>
      </c>
      <c r="AO44" s="38"/>
      <c r="AP44" s="38">
        <f t="shared" ref="AP44" si="368">TRUNC($M44 * AO44,2)</f>
        <v>0</v>
      </c>
      <c r="AQ44" s="38"/>
      <c r="AR44" s="38">
        <f t="shared" ref="AR44" si="369">TRUNC($M44 * AQ44,2)</f>
        <v>0</v>
      </c>
      <c r="AS44" s="38"/>
      <c r="AT44" s="38">
        <f t="shared" ref="AT44" si="370">TRUNC($M44 * AS44,2)</f>
        <v>0</v>
      </c>
      <c r="AU44" s="38"/>
      <c r="AV44" s="38">
        <f t="shared" ref="AV44" si="371">TRUNC($M44 * AU44,2)</f>
        <v>0</v>
      </c>
      <c r="AW44" s="38"/>
      <c r="AX44" s="37">
        <f t="shared" ref="AX44" si="372">TRUNC($M44 * AW44,2)</f>
        <v>0</v>
      </c>
      <c r="AY44" s="36">
        <f t="shared" si="132"/>
        <v>0</v>
      </c>
      <c r="AZ44" s="38">
        <f t="shared" ref="AZ44" si="373">TRUNC($M44 * AY44,2)</f>
        <v>0</v>
      </c>
      <c r="BA44" s="38">
        <f t="shared" si="134"/>
        <v>4.16</v>
      </c>
      <c r="BB44" s="37">
        <f t="shared" ref="BB44" si="374">TRUNC($M44 * BA44,2)</f>
        <v>121.51</v>
      </c>
    </row>
    <row r="45" spans="1:54" ht="26.1" customHeight="1" x14ac:dyDescent="0.25">
      <c r="A45" s="31" t="s">
        <v>105</v>
      </c>
      <c r="B45" s="31" t="s">
        <v>106</v>
      </c>
      <c r="C45" s="31" t="s">
        <v>34</v>
      </c>
      <c r="D45" s="31" t="s">
        <v>107</v>
      </c>
      <c r="E45" s="32" t="s">
        <v>26</v>
      </c>
      <c r="F45" s="33">
        <v>20.420000000000002</v>
      </c>
      <c r="G45" s="34">
        <v>43.75</v>
      </c>
      <c r="H45" s="34">
        <f t="shared" si="111"/>
        <v>40.28</v>
      </c>
      <c r="I45" s="34">
        <f t="shared" si="112"/>
        <v>822.51</v>
      </c>
      <c r="J45" s="34">
        <f>(TRUNC(H45 * L14,2) + H45)</f>
        <v>48.47</v>
      </c>
      <c r="K45" s="34">
        <f t="shared" si="221"/>
        <v>989.75</v>
      </c>
      <c r="L45" s="35">
        <f>K45 / L13</f>
        <v>3.4129310344827582E-4</v>
      </c>
      <c r="M45" s="36">
        <v>36.630000000000003</v>
      </c>
      <c r="N45" s="37">
        <f t="shared" si="114"/>
        <v>747.98</v>
      </c>
      <c r="O45" s="36"/>
      <c r="P45" s="38">
        <f t="shared" si="115"/>
        <v>0</v>
      </c>
      <c r="Q45" s="38"/>
      <c r="R45" s="38">
        <f t="shared" si="115"/>
        <v>0</v>
      </c>
      <c r="S45" s="38">
        <f t="shared" si="116"/>
        <v>20.420000000000002</v>
      </c>
      <c r="T45" s="37">
        <f t="shared" ref="T45:V45" si="375">TRUNC($M45 * S45,2)</f>
        <v>747.98</v>
      </c>
      <c r="U45" s="36"/>
      <c r="V45" s="38">
        <f t="shared" si="375"/>
        <v>0</v>
      </c>
      <c r="W45" s="38"/>
      <c r="X45" s="38">
        <f t="shared" ref="X45" si="376">TRUNC($M45 * W45,2)</f>
        <v>0</v>
      </c>
      <c r="Y45" s="38"/>
      <c r="Z45" s="38">
        <f t="shared" ref="Z45" si="377">TRUNC($M45 * Y45,2)</f>
        <v>0</v>
      </c>
      <c r="AA45" s="38"/>
      <c r="AB45" s="38">
        <f t="shared" ref="AB45" si="378">TRUNC($M45 * AA45,2)</f>
        <v>0</v>
      </c>
      <c r="AC45" s="38"/>
      <c r="AD45" s="38">
        <f t="shared" ref="AD45" si="379">TRUNC($M45 * AC45,2)</f>
        <v>0</v>
      </c>
      <c r="AE45" s="38"/>
      <c r="AF45" s="38">
        <f t="shared" ref="AF45" si="380">TRUNC($M45 * AE45,2)</f>
        <v>0</v>
      </c>
      <c r="AG45" s="38"/>
      <c r="AH45" s="38">
        <f t="shared" ref="AH45" si="381">TRUNC($M45 * AG45,2)</f>
        <v>0</v>
      </c>
      <c r="AI45" s="38"/>
      <c r="AJ45" s="38">
        <f t="shared" ref="AJ45" si="382">TRUNC($M45 * AI45,2)</f>
        <v>0</v>
      </c>
      <c r="AK45" s="38"/>
      <c r="AL45" s="38">
        <f t="shared" ref="AL45" si="383">TRUNC($M45 * AK45,2)</f>
        <v>0</v>
      </c>
      <c r="AM45" s="38"/>
      <c r="AN45" s="38">
        <f t="shared" ref="AN45" si="384">TRUNC($M45 * AM45,2)</f>
        <v>0</v>
      </c>
      <c r="AO45" s="38"/>
      <c r="AP45" s="38">
        <f t="shared" ref="AP45" si="385">TRUNC($M45 * AO45,2)</f>
        <v>0</v>
      </c>
      <c r="AQ45" s="38"/>
      <c r="AR45" s="38">
        <f t="shared" ref="AR45" si="386">TRUNC($M45 * AQ45,2)</f>
        <v>0</v>
      </c>
      <c r="AS45" s="38"/>
      <c r="AT45" s="38">
        <f t="shared" ref="AT45" si="387">TRUNC($M45 * AS45,2)</f>
        <v>0</v>
      </c>
      <c r="AU45" s="38"/>
      <c r="AV45" s="38">
        <f t="shared" ref="AV45" si="388">TRUNC($M45 * AU45,2)</f>
        <v>0</v>
      </c>
      <c r="AW45" s="38"/>
      <c r="AX45" s="37">
        <f t="shared" ref="AX45" si="389">TRUNC($M45 * AW45,2)</f>
        <v>0</v>
      </c>
      <c r="AY45" s="36">
        <f t="shared" si="132"/>
        <v>0</v>
      </c>
      <c r="AZ45" s="38">
        <f t="shared" ref="AZ45" si="390">TRUNC($M45 * AY45,2)</f>
        <v>0</v>
      </c>
      <c r="BA45" s="38">
        <f t="shared" si="134"/>
        <v>20.420000000000002</v>
      </c>
      <c r="BB45" s="37">
        <f t="shared" ref="BB45" si="391">TRUNC($M45 * BA45,2)</f>
        <v>747.98</v>
      </c>
    </row>
    <row r="46" spans="1:54" ht="24" customHeight="1" x14ac:dyDescent="0.25">
      <c r="A46" s="4" t="s">
        <v>108</v>
      </c>
      <c r="B46" s="4" t="s">
        <v>12</v>
      </c>
      <c r="C46" s="4"/>
      <c r="D46" s="4" t="s">
        <v>109</v>
      </c>
      <c r="E46" s="5"/>
      <c r="F46" s="14"/>
      <c r="G46" s="6"/>
      <c r="H46" s="6"/>
      <c r="I46" s="7">
        <f>SUM(I47:I58)</f>
        <v>43539.520000000011</v>
      </c>
      <c r="J46" s="7"/>
      <c r="K46" s="7">
        <f>SUM(K47:K58)</f>
        <v>52386.820000000007</v>
      </c>
      <c r="L46" s="22">
        <f>K46 / L13</f>
        <v>1.8064420689655171E-2</v>
      </c>
      <c r="M46" s="25"/>
      <c r="N46" s="26">
        <f>SUM(N47:N58)</f>
        <v>39478.82</v>
      </c>
      <c r="O46" s="25"/>
      <c r="P46" s="30">
        <f>SUM(P47:P58)</f>
        <v>0</v>
      </c>
      <c r="Q46" s="30"/>
      <c r="R46" s="30">
        <f>SUM(R47:R58)</f>
        <v>0</v>
      </c>
      <c r="S46" s="30"/>
      <c r="T46" s="26">
        <f>SUM(T47:T58)</f>
        <v>39478.82</v>
      </c>
      <c r="U46" s="25"/>
      <c r="V46" s="30">
        <f>SUM(V47:V58)</f>
        <v>0</v>
      </c>
      <c r="W46" s="30"/>
      <c r="X46" s="30">
        <f>SUM(X47:X58)</f>
        <v>0</v>
      </c>
      <c r="Y46" s="30"/>
      <c r="Z46" s="30">
        <f>SUM(Z47:Z58)</f>
        <v>0</v>
      </c>
      <c r="AA46" s="30"/>
      <c r="AB46" s="30">
        <f>SUM(AB47:AB58)</f>
        <v>0</v>
      </c>
      <c r="AC46" s="30"/>
      <c r="AD46" s="30">
        <f>SUM(AD47:AD58)</f>
        <v>0</v>
      </c>
      <c r="AE46" s="30"/>
      <c r="AF46" s="30">
        <f>SUM(AF47:AF58)</f>
        <v>0</v>
      </c>
      <c r="AG46" s="30"/>
      <c r="AH46" s="30">
        <f>SUM(AH47:AH58)</f>
        <v>0</v>
      </c>
      <c r="AI46" s="30"/>
      <c r="AJ46" s="30">
        <f>SUM(AJ47:AJ58)</f>
        <v>0</v>
      </c>
      <c r="AK46" s="30"/>
      <c r="AL46" s="30">
        <f>SUM(AL47:AL58)</f>
        <v>0</v>
      </c>
      <c r="AM46" s="30"/>
      <c r="AN46" s="30">
        <f>SUM(AN47:AN58)</f>
        <v>0</v>
      </c>
      <c r="AO46" s="30"/>
      <c r="AP46" s="30">
        <f>SUM(AP47:AP58)</f>
        <v>0</v>
      </c>
      <c r="AQ46" s="30"/>
      <c r="AR46" s="30">
        <f>SUM(AR47:AR58)</f>
        <v>0</v>
      </c>
      <c r="AS46" s="30"/>
      <c r="AT46" s="30">
        <f>SUM(AT47:AT58)</f>
        <v>0</v>
      </c>
      <c r="AU46" s="30"/>
      <c r="AV46" s="30">
        <f>SUM(AV47:AV58)</f>
        <v>0</v>
      </c>
      <c r="AW46" s="30"/>
      <c r="AX46" s="26">
        <f>SUM(AX47:AX58)</f>
        <v>0</v>
      </c>
      <c r="AY46" s="25"/>
      <c r="AZ46" s="30">
        <f>SUM(AZ47:AZ58)</f>
        <v>0</v>
      </c>
      <c r="BA46" s="30"/>
      <c r="BB46" s="26">
        <f>SUM(BB47:BB58)</f>
        <v>39478.82</v>
      </c>
    </row>
    <row r="47" spans="1:54" ht="65.099999999999994" customHeight="1" x14ac:dyDescent="0.25">
      <c r="A47" s="31" t="s">
        <v>110</v>
      </c>
      <c r="B47" s="31" t="s">
        <v>83</v>
      </c>
      <c r="C47" s="31" t="s">
        <v>34</v>
      </c>
      <c r="D47" s="31" t="s">
        <v>84</v>
      </c>
      <c r="E47" s="32" t="s">
        <v>51</v>
      </c>
      <c r="F47" s="33">
        <v>33.380000000000003</v>
      </c>
      <c r="G47" s="34">
        <v>6.21</v>
      </c>
      <c r="H47" s="34">
        <f t="shared" si="111"/>
        <v>5.71</v>
      </c>
      <c r="I47" s="34">
        <f t="shared" si="112"/>
        <v>190.59</v>
      </c>
      <c r="J47" s="34">
        <f>(TRUNC(H47 * L14,2) + H47)</f>
        <v>6.87</v>
      </c>
      <c r="K47" s="34">
        <f t="shared" ref="K47:K58" si="392">TRUNC(F47 * J47,2)</f>
        <v>229.32</v>
      </c>
      <c r="L47" s="35">
        <f>K47 / L13</f>
        <v>7.9075862068965499E-5</v>
      </c>
      <c r="M47" s="36">
        <v>5.05</v>
      </c>
      <c r="N47" s="37">
        <f t="shared" si="114"/>
        <v>168.56</v>
      </c>
      <c r="O47" s="36"/>
      <c r="P47" s="38">
        <f t="shared" si="115"/>
        <v>0</v>
      </c>
      <c r="Q47" s="38"/>
      <c r="R47" s="38">
        <f t="shared" si="115"/>
        <v>0</v>
      </c>
      <c r="S47" s="38">
        <f t="shared" si="116"/>
        <v>33.380000000000003</v>
      </c>
      <c r="T47" s="37">
        <f t="shared" ref="T47:V47" si="393">TRUNC($M47 * S47,2)</f>
        <v>168.56</v>
      </c>
      <c r="U47" s="36"/>
      <c r="V47" s="38">
        <f t="shared" si="393"/>
        <v>0</v>
      </c>
      <c r="W47" s="38"/>
      <c r="X47" s="38">
        <f t="shared" ref="X47" si="394">TRUNC($M47 * W47,2)</f>
        <v>0</v>
      </c>
      <c r="Y47" s="38"/>
      <c r="Z47" s="38">
        <f t="shared" ref="Z47" si="395">TRUNC($M47 * Y47,2)</f>
        <v>0</v>
      </c>
      <c r="AA47" s="38"/>
      <c r="AB47" s="38">
        <f t="shared" ref="AB47" si="396">TRUNC($M47 * AA47,2)</f>
        <v>0</v>
      </c>
      <c r="AC47" s="38"/>
      <c r="AD47" s="38">
        <f t="shared" ref="AD47" si="397">TRUNC($M47 * AC47,2)</f>
        <v>0</v>
      </c>
      <c r="AE47" s="38"/>
      <c r="AF47" s="38">
        <f t="shared" ref="AF47" si="398">TRUNC($M47 * AE47,2)</f>
        <v>0</v>
      </c>
      <c r="AG47" s="38"/>
      <c r="AH47" s="38">
        <f t="shared" ref="AH47" si="399">TRUNC($M47 * AG47,2)</f>
        <v>0</v>
      </c>
      <c r="AI47" s="38"/>
      <c r="AJ47" s="38">
        <f t="shared" ref="AJ47" si="400">TRUNC($M47 * AI47,2)</f>
        <v>0</v>
      </c>
      <c r="AK47" s="38"/>
      <c r="AL47" s="38">
        <f t="shared" ref="AL47" si="401">TRUNC($M47 * AK47,2)</f>
        <v>0</v>
      </c>
      <c r="AM47" s="38"/>
      <c r="AN47" s="38">
        <f t="shared" ref="AN47" si="402">TRUNC($M47 * AM47,2)</f>
        <v>0</v>
      </c>
      <c r="AO47" s="38"/>
      <c r="AP47" s="38">
        <f t="shared" ref="AP47" si="403">TRUNC($M47 * AO47,2)</f>
        <v>0</v>
      </c>
      <c r="AQ47" s="38"/>
      <c r="AR47" s="38">
        <f t="shared" ref="AR47" si="404">TRUNC($M47 * AQ47,2)</f>
        <v>0</v>
      </c>
      <c r="AS47" s="38"/>
      <c r="AT47" s="38">
        <f t="shared" ref="AT47" si="405">TRUNC($M47 * AS47,2)</f>
        <v>0</v>
      </c>
      <c r="AU47" s="38"/>
      <c r="AV47" s="38">
        <f t="shared" ref="AV47" si="406">TRUNC($M47 * AU47,2)</f>
        <v>0</v>
      </c>
      <c r="AW47" s="38"/>
      <c r="AX47" s="37">
        <f t="shared" ref="AX47" si="407">TRUNC($M47 * AW47,2)</f>
        <v>0</v>
      </c>
      <c r="AY47" s="36">
        <f t="shared" si="132"/>
        <v>0</v>
      </c>
      <c r="AZ47" s="38">
        <f t="shared" ref="AZ47" si="408">TRUNC($M47 * AY47,2)</f>
        <v>0</v>
      </c>
      <c r="BA47" s="38">
        <f t="shared" si="134"/>
        <v>33.380000000000003</v>
      </c>
      <c r="BB47" s="37">
        <f t="shared" ref="BB47" si="409">TRUNC($M47 * BA47,2)</f>
        <v>168.56</v>
      </c>
    </row>
    <row r="48" spans="1:54" ht="39" customHeight="1" x14ac:dyDescent="0.25">
      <c r="A48" s="31" t="s">
        <v>111</v>
      </c>
      <c r="B48" s="31" t="s">
        <v>112</v>
      </c>
      <c r="C48" s="31" t="s">
        <v>34</v>
      </c>
      <c r="D48" s="31" t="s">
        <v>113</v>
      </c>
      <c r="E48" s="32" t="s">
        <v>26</v>
      </c>
      <c r="F48" s="33">
        <v>95.06</v>
      </c>
      <c r="G48" s="34">
        <v>93.49</v>
      </c>
      <c r="H48" s="34">
        <f t="shared" si="111"/>
        <v>86.08</v>
      </c>
      <c r="I48" s="34">
        <f t="shared" si="112"/>
        <v>8182.76</v>
      </c>
      <c r="J48" s="34">
        <f>(TRUNC(H48 * L14,2) + H48)</f>
        <v>103.58</v>
      </c>
      <c r="K48" s="34">
        <f t="shared" si="392"/>
        <v>9846.31</v>
      </c>
      <c r="L48" s="35">
        <f>K48 / L13</f>
        <v>3.3952793103448268E-3</v>
      </c>
      <c r="M48" s="36">
        <v>84.8</v>
      </c>
      <c r="N48" s="37">
        <f t="shared" si="114"/>
        <v>8061.08</v>
      </c>
      <c r="O48" s="36"/>
      <c r="P48" s="38">
        <f t="shared" si="115"/>
        <v>0</v>
      </c>
      <c r="Q48" s="38"/>
      <c r="R48" s="38">
        <f t="shared" si="115"/>
        <v>0</v>
      </c>
      <c r="S48" s="38">
        <f t="shared" si="116"/>
        <v>95.06</v>
      </c>
      <c r="T48" s="37">
        <f t="shared" ref="T48:V48" si="410">TRUNC($M48 * S48,2)</f>
        <v>8061.08</v>
      </c>
      <c r="U48" s="36"/>
      <c r="V48" s="38">
        <f t="shared" si="410"/>
        <v>0</v>
      </c>
      <c r="W48" s="38"/>
      <c r="X48" s="38">
        <f t="shared" ref="X48" si="411">TRUNC($M48 * W48,2)</f>
        <v>0</v>
      </c>
      <c r="Y48" s="38"/>
      <c r="Z48" s="38">
        <f t="shared" ref="Z48" si="412">TRUNC($M48 * Y48,2)</f>
        <v>0</v>
      </c>
      <c r="AA48" s="38"/>
      <c r="AB48" s="38">
        <f t="shared" ref="AB48" si="413">TRUNC($M48 * AA48,2)</f>
        <v>0</v>
      </c>
      <c r="AC48" s="38"/>
      <c r="AD48" s="38">
        <f t="shared" ref="AD48" si="414">TRUNC($M48 * AC48,2)</f>
        <v>0</v>
      </c>
      <c r="AE48" s="38"/>
      <c r="AF48" s="38">
        <f t="shared" ref="AF48" si="415">TRUNC($M48 * AE48,2)</f>
        <v>0</v>
      </c>
      <c r="AG48" s="38"/>
      <c r="AH48" s="38">
        <f t="shared" ref="AH48" si="416">TRUNC($M48 * AG48,2)</f>
        <v>0</v>
      </c>
      <c r="AI48" s="38"/>
      <c r="AJ48" s="38">
        <f t="shared" ref="AJ48" si="417">TRUNC($M48 * AI48,2)</f>
        <v>0</v>
      </c>
      <c r="AK48" s="38"/>
      <c r="AL48" s="38">
        <f t="shared" ref="AL48" si="418">TRUNC($M48 * AK48,2)</f>
        <v>0</v>
      </c>
      <c r="AM48" s="38"/>
      <c r="AN48" s="38">
        <f t="shared" ref="AN48" si="419">TRUNC($M48 * AM48,2)</f>
        <v>0</v>
      </c>
      <c r="AO48" s="38"/>
      <c r="AP48" s="38">
        <f t="shared" ref="AP48" si="420">TRUNC($M48 * AO48,2)</f>
        <v>0</v>
      </c>
      <c r="AQ48" s="38"/>
      <c r="AR48" s="38">
        <f t="shared" ref="AR48" si="421">TRUNC($M48 * AQ48,2)</f>
        <v>0</v>
      </c>
      <c r="AS48" s="38"/>
      <c r="AT48" s="38">
        <f t="shared" ref="AT48" si="422">TRUNC($M48 * AS48,2)</f>
        <v>0</v>
      </c>
      <c r="AU48" s="38"/>
      <c r="AV48" s="38">
        <f t="shared" ref="AV48" si="423">TRUNC($M48 * AU48,2)</f>
        <v>0</v>
      </c>
      <c r="AW48" s="38"/>
      <c r="AX48" s="37">
        <f t="shared" ref="AX48" si="424">TRUNC($M48 * AW48,2)</f>
        <v>0</v>
      </c>
      <c r="AY48" s="36">
        <f t="shared" si="132"/>
        <v>0</v>
      </c>
      <c r="AZ48" s="38">
        <f t="shared" ref="AZ48" si="425">TRUNC($M48 * AY48,2)</f>
        <v>0</v>
      </c>
      <c r="BA48" s="38">
        <f t="shared" si="134"/>
        <v>95.06</v>
      </c>
      <c r="BB48" s="37">
        <f t="shared" ref="BB48" si="426">TRUNC($M48 * BA48,2)</f>
        <v>8061.08</v>
      </c>
    </row>
    <row r="49" spans="1:54" ht="26.1" customHeight="1" x14ac:dyDescent="0.25">
      <c r="A49" s="31" t="s">
        <v>114</v>
      </c>
      <c r="B49" s="31" t="s">
        <v>89</v>
      </c>
      <c r="C49" s="31" t="s">
        <v>34</v>
      </c>
      <c r="D49" s="31" t="s">
        <v>90</v>
      </c>
      <c r="E49" s="32" t="s">
        <v>51</v>
      </c>
      <c r="F49" s="33">
        <v>3.18</v>
      </c>
      <c r="G49" s="34">
        <v>203.38</v>
      </c>
      <c r="H49" s="34">
        <f t="shared" si="111"/>
        <v>187.26</v>
      </c>
      <c r="I49" s="34">
        <f t="shared" si="112"/>
        <v>595.48</v>
      </c>
      <c r="J49" s="34">
        <f>(TRUNC(H49 * L14,2) + H49)</f>
        <v>225.33999999999997</v>
      </c>
      <c r="K49" s="34">
        <f t="shared" si="392"/>
        <v>716.58</v>
      </c>
      <c r="L49" s="35">
        <f>K49 / L13</f>
        <v>2.4709655172413793E-4</v>
      </c>
      <c r="M49" s="36">
        <v>178.48</v>
      </c>
      <c r="N49" s="37">
        <f t="shared" si="114"/>
        <v>567.55999999999995</v>
      </c>
      <c r="O49" s="36"/>
      <c r="P49" s="38">
        <f t="shared" si="115"/>
        <v>0</v>
      </c>
      <c r="Q49" s="38"/>
      <c r="R49" s="38">
        <f t="shared" si="115"/>
        <v>0</v>
      </c>
      <c r="S49" s="38">
        <f t="shared" si="116"/>
        <v>3.18</v>
      </c>
      <c r="T49" s="37">
        <f t="shared" ref="T49:V49" si="427">TRUNC($M49 * S49,2)</f>
        <v>567.55999999999995</v>
      </c>
      <c r="U49" s="36"/>
      <c r="V49" s="38">
        <f t="shared" si="427"/>
        <v>0</v>
      </c>
      <c r="W49" s="38"/>
      <c r="X49" s="38">
        <f t="shared" ref="X49" si="428">TRUNC($M49 * W49,2)</f>
        <v>0</v>
      </c>
      <c r="Y49" s="38"/>
      <c r="Z49" s="38">
        <f t="shared" ref="Z49" si="429">TRUNC($M49 * Y49,2)</f>
        <v>0</v>
      </c>
      <c r="AA49" s="38"/>
      <c r="AB49" s="38">
        <f t="shared" ref="AB49" si="430">TRUNC($M49 * AA49,2)</f>
        <v>0</v>
      </c>
      <c r="AC49" s="38"/>
      <c r="AD49" s="38">
        <f t="shared" ref="AD49" si="431">TRUNC($M49 * AC49,2)</f>
        <v>0</v>
      </c>
      <c r="AE49" s="38"/>
      <c r="AF49" s="38">
        <f t="shared" ref="AF49" si="432">TRUNC($M49 * AE49,2)</f>
        <v>0</v>
      </c>
      <c r="AG49" s="38"/>
      <c r="AH49" s="38">
        <f t="shared" ref="AH49" si="433">TRUNC($M49 * AG49,2)</f>
        <v>0</v>
      </c>
      <c r="AI49" s="38"/>
      <c r="AJ49" s="38">
        <f t="shared" ref="AJ49" si="434">TRUNC($M49 * AI49,2)</f>
        <v>0</v>
      </c>
      <c r="AK49" s="38"/>
      <c r="AL49" s="38">
        <f t="shared" ref="AL49" si="435">TRUNC($M49 * AK49,2)</f>
        <v>0</v>
      </c>
      <c r="AM49" s="38"/>
      <c r="AN49" s="38">
        <f t="shared" ref="AN49" si="436">TRUNC($M49 * AM49,2)</f>
        <v>0</v>
      </c>
      <c r="AO49" s="38"/>
      <c r="AP49" s="38">
        <f t="shared" ref="AP49" si="437">TRUNC($M49 * AO49,2)</f>
        <v>0</v>
      </c>
      <c r="AQ49" s="38"/>
      <c r="AR49" s="38">
        <f t="shared" ref="AR49" si="438">TRUNC($M49 * AQ49,2)</f>
        <v>0</v>
      </c>
      <c r="AS49" s="38"/>
      <c r="AT49" s="38">
        <f t="shared" ref="AT49" si="439">TRUNC($M49 * AS49,2)</f>
        <v>0</v>
      </c>
      <c r="AU49" s="38"/>
      <c r="AV49" s="38">
        <f t="shared" ref="AV49" si="440">TRUNC($M49 * AU49,2)</f>
        <v>0</v>
      </c>
      <c r="AW49" s="38"/>
      <c r="AX49" s="37">
        <f t="shared" ref="AX49" si="441">TRUNC($M49 * AW49,2)</f>
        <v>0</v>
      </c>
      <c r="AY49" s="36">
        <f t="shared" si="132"/>
        <v>0</v>
      </c>
      <c r="AZ49" s="38">
        <f t="shared" ref="AZ49" si="442">TRUNC($M49 * AY49,2)</f>
        <v>0</v>
      </c>
      <c r="BA49" s="38">
        <f t="shared" si="134"/>
        <v>3.18</v>
      </c>
      <c r="BB49" s="37">
        <f t="shared" ref="BB49" si="443">TRUNC($M49 * BA49,2)</f>
        <v>567.55999999999995</v>
      </c>
    </row>
    <row r="50" spans="1:54" ht="39" customHeight="1" x14ac:dyDescent="0.25">
      <c r="A50" s="31" t="s">
        <v>115</v>
      </c>
      <c r="B50" s="31" t="s">
        <v>92</v>
      </c>
      <c r="C50" s="31" t="s">
        <v>34</v>
      </c>
      <c r="D50" s="31" t="s">
        <v>93</v>
      </c>
      <c r="E50" s="32" t="s">
        <v>51</v>
      </c>
      <c r="F50" s="33">
        <v>19.100000000000001</v>
      </c>
      <c r="G50" s="34">
        <v>616.55999999999995</v>
      </c>
      <c r="H50" s="34">
        <f t="shared" si="111"/>
        <v>567.69000000000005</v>
      </c>
      <c r="I50" s="34">
        <f t="shared" si="112"/>
        <v>10842.87</v>
      </c>
      <c r="J50" s="34">
        <f>(TRUNC(H50 * L14,2) + H50)</f>
        <v>683.15000000000009</v>
      </c>
      <c r="K50" s="34">
        <f t="shared" si="392"/>
        <v>13048.16</v>
      </c>
      <c r="L50" s="35">
        <f>K50 / L13</f>
        <v>4.4993655172413782E-3</v>
      </c>
      <c r="M50" s="36">
        <v>445.41</v>
      </c>
      <c r="N50" s="37">
        <f t="shared" si="114"/>
        <v>8507.33</v>
      </c>
      <c r="O50" s="36"/>
      <c r="P50" s="38">
        <f t="shared" si="115"/>
        <v>0</v>
      </c>
      <c r="Q50" s="38"/>
      <c r="R50" s="38">
        <f t="shared" si="115"/>
        <v>0</v>
      </c>
      <c r="S50" s="38">
        <f t="shared" si="116"/>
        <v>19.100000000000001</v>
      </c>
      <c r="T50" s="37">
        <f t="shared" ref="T50:V50" si="444">TRUNC($M50 * S50,2)</f>
        <v>8507.33</v>
      </c>
      <c r="U50" s="36"/>
      <c r="V50" s="38">
        <f t="shared" si="444"/>
        <v>0</v>
      </c>
      <c r="W50" s="38"/>
      <c r="X50" s="38">
        <f t="shared" ref="X50" si="445">TRUNC($M50 * W50,2)</f>
        <v>0</v>
      </c>
      <c r="Y50" s="38"/>
      <c r="Z50" s="38">
        <f t="shared" ref="Z50" si="446">TRUNC($M50 * Y50,2)</f>
        <v>0</v>
      </c>
      <c r="AA50" s="38"/>
      <c r="AB50" s="38">
        <f t="shared" ref="AB50" si="447">TRUNC($M50 * AA50,2)</f>
        <v>0</v>
      </c>
      <c r="AC50" s="38"/>
      <c r="AD50" s="38">
        <f t="shared" ref="AD50" si="448">TRUNC($M50 * AC50,2)</f>
        <v>0</v>
      </c>
      <c r="AE50" s="38"/>
      <c r="AF50" s="38">
        <f t="shared" ref="AF50" si="449">TRUNC($M50 * AE50,2)</f>
        <v>0</v>
      </c>
      <c r="AG50" s="38"/>
      <c r="AH50" s="38">
        <f t="shared" ref="AH50" si="450">TRUNC($M50 * AG50,2)</f>
        <v>0</v>
      </c>
      <c r="AI50" s="38"/>
      <c r="AJ50" s="38">
        <f t="shared" ref="AJ50" si="451">TRUNC($M50 * AI50,2)</f>
        <v>0</v>
      </c>
      <c r="AK50" s="38"/>
      <c r="AL50" s="38">
        <f t="shared" ref="AL50" si="452">TRUNC($M50 * AK50,2)</f>
        <v>0</v>
      </c>
      <c r="AM50" s="38"/>
      <c r="AN50" s="38">
        <f t="shared" ref="AN50" si="453">TRUNC($M50 * AM50,2)</f>
        <v>0</v>
      </c>
      <c r="AO50" s="38"/>
      <c r="AP50" s="38">
        <f t="shared" ref="AP50" si="454">TRUNC($M50 * AO50,2)</f>
        <v>0</v>
      </c>
      <c r="AQ50" s="38"/>
      <c r="AR50" s="38">
        <f t="shared" ref="AR50" si="455">TRUNC($M50 * AQ50,2)</f>
        <v>0</v>
      </c>
      <c r="AS50" s="38"/>
      <c r="AT50" s="38">
        <f t="shared" ref="AT50" si="456">TRUNC($M50 * AS50,2)</f>
        <v>0</v>
      </c>
      <c r="AU50" s="38"/>
      <c r="AV50" s="38">
        <f t="shared" ref="AV50" si="457">TRUNC($M50 * AU50,2)</f>
        <v>0</v>
      </c>
      <c r="AW50" s="38"/>
      <c r="AX50" s="37">
        <f t="shared" ref="AX50" si="458">TRUNC($M50 * AW50,2)</f>
        <v>0</v>
      </c>
      <c r="AY50" s="36">
        <f t="shared" si="132"/>
        <v>0</v>
      </c>
      <c r="AZ50" s="38">
        <f t="shared" ref="AZ50" si="459">TRUNC($M50 * AY50,2)</f>
        <v>0</v>
      </c>
      <c r="BA50" s="38">
        <f t="shared" si="134"/>
        <v>19.100000000000001</v>
      </c>
      <c r="BB50" s="37">
        <f t="shared" ref="BB50" si="460">TRUNC($M50 * BA50,2)</f>
        <v>8507.33</v>
      </c>
    </row>
    <row r="51" spans="1:54" ht="26.1" customHeight="1" x14ac:dyDescent="0.25">
      <c r="A51" s="31" t="s">
        <v>116</v>
      </c>
      <c r="B51" s="31" t="s">
        <v>74</v>
      </c>
      <c r="C51" s="31" t="s">
        <v>34</v>
      </c>
      <c r="D51" s="31" t="s">
        <v>75</v>
      </c>
      <c r="E51" s="32" t="s">
        <v>76</v>
      </c>
      <c r="F51" s="33">
        <v>350.8</v>
      </c>
      <c r="G51" s="34">
        <v>20.85</v>
      </c>
      <c r="H51" s="34">
        <f t="shared" si="111"/>
        <v>19.190000000000001</v>
      </c>
      <c r="I51" s="34">
        <f t="shared" si="112"/>
        <v>6731.85</v>
      </c>
      <c r="J51" s="34">
        <f>(TRUNC(H51 * L14,2) + H51)</f>
        <v>23.09</v>
      </c>
      <c r="K51" s="34">
        <f t="shared" si="392"/>
        <v>8099.97</v>
      </c>
      <c r="L51" s="35">
        <f>K51 / L13</f>
        <v>2.7930931034482755E-3</v>
      </c>
      <c r="M51" s="36">
        <v>18.95</v>
      </c>
      <c r="N51" s="37">
        <f t="shared" si="114"/>
        <v>6647.66</v>
      </c>
      <c r="O51" s="36"/>
      <c r="P51" s="38">
        <f t="shared" si="115"/>
        <v>0</v>
      </c>
      <c r="Q51" s="38"/>
      <c r="R51" s="38">
        <f t="shared" si="115"/>
        <v>0</v>
      </c>
      <c r="S51" s="38">
        <f t="shared" si="116"/>
        <v>350.8</v>
      </c>
      <c r="T51" s="37">
        <f t="shared" ref="T51:V51" si="461">TRUNC($M51 * S51,2)</f>
        <v>6647.66</v>
      </c>
      <c r="U51" s="36"/>
      <c r="V51" s="38">
        <f t="shared" si="461"/>
        <v>0</v>
      </c>
      <c r="W51" s="38"/>
      <c r="X51" s="38">
        <f t="shared" ref="X51" si="462">TRUNC($M51 * W51,2)</f>
        <v>0</v>
      </c>
      <c r="Y51" s="38"/>
      <c r="Z51" s="38">
        <f t="shared" ref="Z51" si="463">TRUNC($M51 * Y51,2)</f>
        <v>0</v>
      </c>
      <c r="AA51" s="38"/>
      <c r="AB51" s="38">
        <f t="shared" ref="AB51" si="464">TRUNC($M51 * AA51,2)</f>
        <v>0</v>
      </c>
      <c r="AC51" s="38"/>
      <c r="AD51" s="38">
        <f t="shared" ref="AD51" si="465">TRUNC($M51 * AC51,2)</f>
        <v>0</v>
      </c>
      <c r="AE51" s="38"/>
      <c r="AF51" s="38">
        <f t="shared" ref="AF51" si="466">TRUNC($M51 * AE51,2)</f>
        <v>0</v>
      </c>
      <c r="AG51" s="38"/>
      <c r="AH51" s="38">
        <f t="shared" ref="AH51" si="467">TRUNC($M51 * AG51,2)</f>
        <v>0</v>
      </c>
      <c r="AI51" s="38"/>
      <c r="AJ51" s="38">
        <f t="shared" ref="AJ51" si="468">TRUNC($M51 * AI51,2)</f>
        <v>0</v>
      </c>
      <c r="AK51" s="38"/>
      <c r="AL51" s="38">
        <f t="shared" ref="AL51" si="469">TRUNC($M51 * AK51,2)</f>
        <v>0</v>
      </c>
      <c r="AM51" s="38"/>
      <c r="AN51" s="38">
        <f t="shared" ref="AN51" si="470">TRUNC($M51 * AM51,2)</f>
        <v>0</v>
      </c>
      <c r="AO51" s="38"/>
      <c r="AP51" s="38">
        <f t="shared" ref="AP51" si="471">TRUNC($M51 * AO51,2)</f>
        <v>0</v>
      </c>
      <c r="AQ51" s="38"/>
      <c r="AR51" s="38">
        <f t="shared" ref="AR51" si="472">TRUNC($M51 * AQ51,2)</f>
        <v>0</v>
      </c>
      <c r="AS51" s="38"/>
      <c r="AT51" s="38">
        <f t="shared" ref="AT51" si="473">TRUNC($M51 * AS51,2)</f>
        <v>0</v>
      </c>
      <c r="AU51" s="38"/>
      <c r="AV51" s="38">
        <f t="shared" ref="AV51" si="474">TRUNC($M51 * AU51,2)</f>
        <v>0</v>
      </c>
      <c r="AW51" s="38"/>
      <c r="AX51" s="37">
        <f t="shared" ref="AX51" si="475">TRUNC($M51 * AW51,2)</f>
        <v>0</v>
      </c>
      <c r="AY51" s="36">
        <f t="shared" si="132"/>
        <v>0</v>
      </c>
      <c r="AZ51" s="38">
        <f t="shared" ref="AZ51" si="476">TRUNC($M51 * AY51,2)</f>
        <v>0</v>
      </c>
      <c r="BA51" s="38">
        <f t="shared" si="134"/>
        <v>350.8</v>
      </c>
      <c r="BB51" s="37">
        <f t="shared" ref="BB51" si="477">TRUNC($M51 * BA51,2)</f>
        <v>6647.66</v>
      </c>
    </row>
    <row r="52" spans="1:54" ht="26.1" customHeight="1" x14ac:dyDescent="0.25">
      <c r="A52" s="31" t="s">
        <v>117</v>
      </c>
      <c r="B52" s="31" t="s">
        <v>96</v>
      </c>
      <c r="C52" s="31" t="s">
        <v>34</v>
      </c>
      <c r="D52" s="31" t="s">
        <v>97</v>
      </c>
      <c r="E52" s="32" t="s">
        <v>76</v>
      </c>
      <c r="F52" s="33">
        <v>2.6</v>
      </c>
      <c r="G52" s="34">
        <v>18.420000000000002</v>
      </c>
      <c r="H52" s="34">
        <f t="shared" si="111"/>
        <v>16.96</v>
      </c>
      <c r="I52" s="34">
        <f t="shared" si="112"/>
        <v>44.09</v>
      </c>
      <c r="J52" s="34">
        <f>(TRUNC(H52 * L14,2) + H52)</f>
        <v>20.400000000000002</v>
      </c>
      <c r="K52" s="34">
        <f t="shared" si="392"/>
        <v>53.04</v>
      </c>
      <c r="L52" s="35">
        <f>K52 / L13</f>
        <v>1.8289655172413789E-5</v>
      </c>
      <c r="M52" s="36">
        <v>16.2</v>
      </c>
      <c r="N52" s="37">
        <f t="shared" si="114"/>
        <v>42.12</v>
      </c>
      <c r="O52" s="36"/>
      <c r="P52" s="38">
        <f t="shared" si="115"/>
        <v>0</v>
      </c>
      <c r="Q52" s="38"/>
      <c r="R52" s="38">
        <f t="shared" si="115"/>
        <v>0</v>
      </c>
      <c r="S52" s="38">
        <f t="shared" si="116"/>
        <v>2.6</v>
      </c>
      <c r="T52" s="37">
        <f t="shared" ref="T52:V52" si="478">TRUNC($M52 * S52,2)</f>
        <v>42.12</v>
      </c>
      <c r="U52" s="36"/>
      <c r="V52" s="38">
        <f t="shared" si="478"/>
        <v>0</v>
      </c>
      <c r="W52" s="38"/>
      <c r="X52" s="38">
        <f t="shared" ref="X52" si="479">TRUNC($M52 * W52,2)</f>
        <v>0</v>
      </c>
      <c r="Y52" s="38"/>
      <c r="Z52" s="38">
        <f t="shared" ref="Z52" si="480">TRUNC($M52 * Y52,2)</f>
        <v>0</v>
      </c>
      <c r="AA52" s="38"/>
      <c r="AB52" s="38">
        <f t="shared" ref="AB52" si="481">TRUNC($M52 * AA52,2)</f>
        <v>0</v>
      </c>
      <c r="AC52" s="38"/>
      <c r="AD52" s="38">
        <f t="shared" ref="AD52" si="482">TRUNC($M52 * AC52,2)</f>
        <v>0</v>
      </c>
      <c r="AE52" s="38"/>
      <c r="AF52" s="38">
        <f t="shared" ref="AF52" si="483">TRUNC($M52 * AE52,2)</f>
        <v>0</v>
      </c>
      <c r="AG52" s="38"/>
      <c r="AH52" s="38">
        <f t="shared" ref="AH52" si="484">TRUNC($M52 * AG52,2)</f>
        <v>0</v>
      </c>
      <c r="AI52" s="38"/>
      <c r="AJ52" s="38">
        <f t="shared" ref="AJ52" si="485">TRUNC($M52 * AI52,2)</f>
        <v>0</v>
      </c>
      <c r="AK52" s="38"/>
      <c r="AL52" s="38">
        <f t="shared" ref="AL52" si="486">TRUNC($M52 * AK52,2)</f>
        <v>0</v>
      </c>
      <c r="AM52" s="38"/>
      <c r="AN52" s="38">
        <f t="shared" ref="AN52" si="487">TRUNC($M52 * AM52,2)</f>
        <v>0</v>
      </c>
      <c r="AO52" s="38"/>
      <c r="AP52" s="38">
        <f t="shared" ref="AP52" si="488">TRUNC($M52 * AO52,2)</f>
        <v>0</v>
      </c>
      <c r="AQ52" s="38"/>
      <c r="AR52" s="38">
        <f t="shared" ref="AR52" si="489">TRUNC($M52 * AQ52,2)</f>
        <v>0</v>
      </c>
      <c r="AS52" s="38"/>
      <c r="AT52" s="38">
        <f t="shared" ref="AT52" si="490">TRUNC($M52 * AS52,2)</f>
        <v>0</v>
      </c>
      <c r="AU52" s="38"/>
      <c r="AV52" s="38">
        <f t="shared" ref="AV52" si="491">TRUNC($M52 * AU52,2)</f>
        <v>0</v>
      </c>
      <c r="AW52" s="38"/>
      <c r="AX52" s="37">
        <f t="shared" ref="AX52" si="492">TRUNC($M52 * AW52,2)</f>
        <v>0</v>
      </c>
      <c r="AY52" s="36">
        <f t="shared" si="132"/>
        <v>0</v>
      </c>
      <c r="AZ52" s="38">
        <f t="shared" ref="AZ52" si="493">TRUNC($M52 * AY52,2)</f>
        <v>0</v>
      </c>
      <c r="BA52" s="38">
        <f t="shared" si="134"/>
        <v>2.6</v>
      </c>
      <c r="BB52" s="37">
        <f t="shared" ref="BB52" si="494">TRUNC($M52 * BA52,2)</f>
        <v>42.12</v>
      </c>
    </row>
    <row r="53" spans="1:54" ht="26.1" customHeight="1" x14ac:dyDescent="0.25">
      <c r="A53" s="31" t="s">
        <v>118</v>
      </c>
      <c r="B53" s="31" t="s">
        <v>119</v>
      </c>
      <c r="C53" s="31" t="s">
        <v>34</v>
      </c>
      <c r="D53" s="31" t="s">
        <v>120</v>
      </c>
      <c r="E53" s="32" t="s">
        <v>76</v>
      </c>
      <c r="F53" s="33">
        <v>337.1</v>
      </c>
      <c r="G53" s="34">
        <v>16.350000000000001</v>
      </c>
      <c r="H53" s="34">
        <f t="shared" si="111"/>
        <v>15.05</v>
      </c>
      <c r="I53" s="34">
        <f t="shared" si="112"/>
        <v>5073.3500000000004</v>
      </c>
      <c r="J53" s="34">
        <f>(TRUNC(H53 * L14,2) + H53)</f>
        <v>18.11</v>
      </c>
      <c r="K53" s="34">
        <f t="shared" si="392"/>
        <v>6104.88</v>
      </c>
      <c r="L53" s="35">
        <f>K53 / L13</f>
        <v>2.1051310344827583E-3</v>
      </c>
      <c r="M53" s="36">
        <v>13.93</v>
      </c>
      <c r="N53" s="37">
        <f t="shared" si="114"/>
        <v>4695.8</v>
      </c>
      <c r="O53" s="36"/>
      <c r="P53" s="38">
        <f t="shared" si="115"/>
        <v>0</v>
      </c>
      <c r="Q53" s="38"/>
      <c r="R53" s="38">
        <f t="shared" si="115"/>
        <v>0</v>
      </c>
      <c r="S53" s="38">
        <f t="shared" si="116"/>
        <v>337.1</v>
      </c>
      <c r="T53" s="37">
        <f t="shared" ref="T53:V53" si="495">TRUNC($M53 * S53,2)</f>
        <v>4695.8</v>
      </c>
      <c r="U53" s="36"/>
      <c r="V53" s="38">
        <f t="shared" si="495"/>
        <v>0</v>
      </c>
      <c r="W53" s="38"/>
      <c r="X53" s="38">
        <f t="shared" ref="X53" si="496">TRUNC($M53 * W53,2)</f>
        <v>0</v>
      </c>
      <c r="Y53" s="38"/>
      <c r="Z53" s="38">
        <f t="shared" ref="Z53" si="497">TRUNC($M53 * Y53,2)</f>
        <v>0</v>
      </c>
      <c r="AA53" s="38"/>
      <c r="AB53" s="38">
        <f t="shared" ref="AB53" si="498">TRUNC($M53 * AA53,2)</f>
        <v>0</v>
      </c>
      <c r="AC53" s="38"/>
      <c r="AD53" s="38">
        <f t="shared" ref="AD53" si="499">TRUNC($M53 * AC53,2)</f>
        <v>0</v>
      </c>
      <c r="AE53" s="38"/>
      <c r="AF53" s="38">
        <f t="shared" ref="AF53" si="500">TRUNC($M53 * AE53,2)</f>
        <v>0</v>
      </c>
      <c r="AG53" s="38"/>
      <c r="AH53" s="38">
        <f t="shared" ref="AH53" si="501">TRUNC($M53 * AG53,2)</f>
        <v>0</v>
      </c>
      <c r="AI53" s="38"/>
      <c r="AJ53" s="38">
        <f t="shared" ref="AJ53" si="502">TRUNC($M53 * AI53,2)</f>
        <v>0</v>
      </c>
      <c r="AK53" s="38"/>
      <c r="AL53" s="38">
        <f t="shared" ref="AL53" si="503">TRUNC($M53 * AK53,2)</f>
        <v>0</v>
      </c>
      <c r="AM53" s="38"/>
      <c r="AN53" s="38">
        <f t="shared" ref="AN53" si="504">TRUNC($M53 * AM53,2)</f>
        <v>0</v>
      </c>
      <c r="AO53" s="38"/>
      <c r="AP53" s="38">
        <f t="shared" ref="AP53" si="505">TRUNC($M53 * AO53,2)</f>
        <v>0</v>
      </c>
      <c r="AQ53" s="38"/>
      <c r="AR53" s="38">
        <f t="shared" ref="AR53" si="506">TRUNC($M53 * AQ53,2)</f>
        <v>0</v>
      </c>
      <c r="AS53" s="38"/>
      <c r="AT53" s="38">
        <f t="shared" ref="AT53" si="507">TRUNC($M53 * AS53,2)</f>
        <v>0</v>
      </c>
      <c r="AU53" s="38"/>
      <c r="AV53" s="38">
        <f t="shared" ref="AV53" si="508">TRUNC($M53 * AU53,2)</f>
        <v>0</v>
      </c>
      <c r="AW53" s="38"/>
      <c r="AX53" s="37">
        <f t="shared" ref="AX53" si="509">TRUNC($M53 * AW53,2)</f>
        <v>0</v>
      </c>
      <c r="AY53" s="36">
        <f t="shared" si="132"/>
        <v>0</v>
      </c>
      <c r="AZ53" s="38">
        <f t="shared" ref="AZ53" si="510">TRUNC($M53 * AY53,2)</f>
        <v>0</v>
      </c>
      <c r="BA53" s="38">
        <f t="shared" si="134"/>
        <v>337.1</v>
      </c>
      <c r="BB53" s="37">
        <f t="shared" ref="BB53" si="511">TRUNC($M53 * BA53,2)</f>
        <v>4695.8</v>
      </c>
    </row>
    <row r="54" spans="1:54" ht="26.1" customHeight="1" x14ac:dyDescent="0.25">
      <c r="A54" s="31" t="s">
        <v>121</v>
      </c>
      <c r="B54" s="31" t="s">
        <v>78</v>
      </c>
      <c r="C54" s="31" t="s">
        <v>34</v>
      </c>
      <c r="D54" s="31" t="s">
        <v>79</v>
      </c>
      <c r="E54" s="32" t="s">
        <v>76</v>
      </c>
      <c r="F54" s="33">
        <v>478.2</v>
      </c>
      <c r="G54" s="34">
        <v>14.15</v>
      </c>
      <c r="H54" s="34">
        <f t="shared" si="111"/>
        <v>13.02</v>
      </c>
      <c r="I54" s="34">
        <f t="shared" si="112"/>
        <v>6226.16</v>
      </c>
      <c r="J54" s="34">
        <f>(TRUNC(H54 * L14,2) + H54)</f>
        <v>15.66</v>
      </c>
      <c r="K54" s="34">
        <f t="shared" si="392"/>
        <v>7488.61</v>
      </c>
      <c r="L54" s="35">
        <f>K54 / L13</f>
        <v>2.5822793103448269E-3</v>
      </c>
      <c r="M54" s="36">
        <v>11.76</v>
      </c>
      <c r="N54" s="37">
        <f t="shared" si="114"/>
        <v>5623.63</v>
      </c>
      <c r="O54" s="36"/>
      <c r="P54" s="38">
        <f t="shared" si="115"/>
        <v>0</v>
      </c>
      <c r="Q54" s="38"/>
      <c r="R54" s="38">
        <f t="shared" si="115"/>
        <v>0</v>
      </c>
      <c r="S54" s="38">
        <f t="shared" si="116"/>
        <v>478.2</v>
      </c>
      <c r="T54" s="37">
        <f t="shared" ref="T54:V54" si="512">TRUNC($M54 * S54,2)</f>
        <v>5623.63</v>
      </c>
      <c r="U54" s="36"/>
      <c r="V54" s="38">
        <f t="shared" si="512"/>
        <v>0</v>
      </c>
      <c r="W54" s="38"/>
      <c r="X54" s="38">
        <f t="shared" ref="X54" si="513">TRUNC($M54 * W54,2)</f>
        <v>0</v>
      </c>
      <c r="Y54" s="38"/>
      <c r="Z54" s="38">
        <f t="shared" ref="Z54" si="514">TRUNC($M54 * Y54,2)</f>
        <v>0</v>
      </c>
      <c r="AA54" s="38"/>
      <c r="AB54" s="38">
        <f t="shared" ref="AB54" si="515">TRUNC($M54 * AA54,2)</f>
        <v>0</v>
      </c>
      <c r="AC54" s="38"/>
      <c r="AD54" s="38">
        <f t="shared" ref="AD54" si="516">TRUNC($M54 * AC54,2)</f>
        <v>0</v>
      </c>
      <c r="AE54" s="38"/>
      <c r="AF54" s="38">
        <f t="shared" ref="AF54" si="517">TRUNC($M54 * AE54,2)</f>
        <v>0</v>
      </c>
      <c r="AG54" s="38"/>
      <c r="AH54" s="38">
        <f t="shared" ref="AH54" si="518">TRUNC($M54 * AG54,2)</f>
        <v>0</v>
      </c>
      <c r="AI54" s="38"/>
      <c r="AJ54" s="38">
        <f t="shared" ref="AJ54" si="519">TRUNC($M54 * AI54,2)</f>
        <v>0</v>
      </c>
      <c r="AK54" s="38"/>
      <c r="AL54" s="38">
        <f t="shared" ref="AL54" si="520">TRUNC($M54 * AK54,2)</f>
        <v>0</v>
      </c>
      <c r="AM54" s="38"/>
      <c r="AN54" s="38">
        <f t="shared" ref="AN54" si="521">TRUNC($M54 * AM54,2)</f>
        <v>0</v>
      </c>
      <c r="AO54" s="38"/>
      <c r="AP54" s="38">
        <f t="shared" ref="AP54" si="522">TRUNC($M54 * AO54,2)</f>
        <v>0</v>
      </c>
      <c r="AQ54" s="38"/>
      <c r="AR54" s="38">
        <f t="shared" ref="AR54" si="523">TRUNC($M54 * AQ54,2)</f>
        <v>0</v>
      </c>
      <c r="AS54" s="38"/>
      <c r="AT54" s="38">
        <f t="shared" ref="AT54" si="524">TRUNC($M54 * AS54,2)</f>
        <v>0</v>
      </c>
      <c r="AU54" s="38"/>
      <c r="AV54" s="38">
        <f t="shared" ref="AV54" si="525">TRUNC($M54 * AU54,2)</f>
        <v>0</v>
      </c>
      <c r="AW54" s="38"/>
      <c r="AX54" s="37">
        <f t="shared" ref="AX54" si="526">TRUNC($M54 * AW54,2)</f>
        <v>0</v>
      </c>
      <c r="AY54" s="36">
        <f t="shared" si="132"/>
        <v>0</v>
      </c>
      <c r="AZ54" s="38">
        <f t="shared" ref="AZ54" si="527">TRUNC($M54 * AY54,2)</f>
        <v>0</v>
      </c>
      <c r="BA54" s="38">
        <f t="shared" si="134"/>
        <v>478.2</v>
      </c>
      <c r="BB54" s="37">
        <f t="shared" ref="BB54" si="528">TRUNC($M54 * BA54,2)</f>
        <v>5623.63</v>
      </c>
    </row>
    <row r="55" spans="1:54" ht="39" customHeight="1" x14ac:dyDescent="0.25">
      <c r="A55" s="31" t="s">
        <v>122</v>
      </c>
      <c r="B55" s="31" t="s">
        <v>100</v>
      </c>
      <c r="C55" s="31" t="s">
        <v>34</v>
      </c>
      <c r="D55" s="31" t="s">
        <v>101</v>
      </c>
      <c r="E55" s="32" t="s">
        <v>76</v>
      </c>
      <c r="F55" s="33">
        <v>169.9</v>
      </c>
      <c r="G55" s="34">
        <v>10.74</v>
      </c>
      <c r="H55" s="34">
        <f t="shared" si="111"/>
        <v>9.8800000000000008</v>
      </c>
      <c r="I55" s="34">
        <f t="shared" si="112"/>
        <v>1678.61</v>
      </c>
      <c r="J55" s="34">
        <f>(TRUNC(H55 * L14,2) + H55)</f>
        <v>11.88</v>
      </c>
      <c r="K55" s="34">
        <f t="shared" si="392"/>
        <v>2018.41</v>
      </c>
      <c r="L55" s="35">
        <f>K55 / L13</f>
        <v>6.9600344827586201E-4</v>
      </c>
      <c r="M55" s="36">
        <v>8.67</v>
      </c>
      <c r="N55" s="37">
        <f t="shared" si="114"/>
        <v>1473.03</v>
      </c>
      <c r="O55" s="36"/>
      <c r="P55" s="38">
        <f t="shared" si="115"/>
        <v>0</v>
      </c>
      <c r="Q55" s="38"/>
      <c r="R55" s="38">
        <f t="shared" si="115"/>
        <v>0</v>
      </c>
      <c r="S55" s="38">
        <f t="shared" si="116"/>
        <v>169.9</v>
      </c>
      <c r="T55" s="37">
        <f t="shared" ref="T55:V55" si="529">TRUNC($M55 * S55,2)</f>
        <v>1473.03</v>
      </c>
      <c r="U55" s="36"/>
      <c r="V55" s="38">
        <f t="shared" si="529"/>
        <v>0</v>
      </c>
      <c r="W55" s="38"/>
      <c r="X55" s="38">
        <f t="shared" ref="X55" si="530">TRUNC($M55 * W55,2)</f>
        <v>0</v>
      </c>
      <c r="Y55" s="38"/>
      <c r="Z55" s="38">
        <f t="shared" ref="Z55" si="531">TRUNC($M55 * Y55,2)</f>
        <v>0</v>
      </c>
      <c r="AA55" s="38"/>
      <c r="AB55" s="38">
        <f t="shared" ref="AB55" si="532">TRUNC($M55 * AA55,2)</f>
        <v>0</v>
      </c>
      <c r="AC55" s="38"/>
      <c r="AD55" s="38">
        <f t="shared" ref="AD55" si="533">TRUNC($M55 * AC55,2)</f>
        <v>0</v>
      </c>
      <c r="AE55" s="38"/>
      <c r="AF55" s="38">
        <f t="shared" ref="AF55" si="534">TRUNC($M55 * AE55,2)</f>
        <v>0</v>
      </c>
      <c r="AG55" s="38"/>
      <c r="AH55" s="38">
        <f t="shared" ref="AH55" si="535">TRUNC($M55 * AG55,2)</f>
        <v>0</v>
      </c>
      <c r="AI55" s="38"/>
      <c r="AJ55" s="38">
        <f t="shared" ref="AJ55" si="536">TRUNC($M55 * AI55,2)</f>
        <v>0</v>
      </c>
      <c r="AK55" s="38"/>
      <c r="AL55" s="38">
        <f t="shared" ref="AL55" si="537">TRUNC($M55 * AK55,2)</f>
        <v>0</v>
      </c>
      <c r="AM55" s="38"/>
      <c r="AN55" s="38">
        <f t="shared" ref="AN55" si="538">TRUNC($M55 * AM55,2)</f>
        <v>0</v>
      </c>
      <c r="AO55" s="38"/>
      <c r="AP55" s="38">
        <f t="shared" ref="AP55" si="539">TRUNC($M55 * AO55,2)</f>
        <v>0</v>
      </c>
      <c r="AQ55" s="38"/>
      <c r="AR55" s="38">
        <f t="shared" ref="AR55" si="540">TRUNC($M55 * AQ55,2)</f>
        <v>0</v>
      </c>
      <c r="AS55" s="38"/>
      <c r="AT55" s="38">
        <f t="shared" ref="AT55" si="541">TRUNC($M55 * AS55,2)</f>
        <v>0</v>
      </c>
      <c r="AU55" s="38"/>
      <c r="AV55" s="38">
        <f t="shared" ref="AV55" si="542">TRUNC($M55 * AU55,2)</f>
        <v>0</v>
      </c>
      <c r="AW55" s="38"/>
      <c r="AX55" s="37">
        <f t="shared" ref="AX55" si="543">TRUNC($M55 * AW55,2)</f>
        <v>0</v>
      </c>
      <c r="AY55" s="36">
        <f t="shared" si="132"/>
        <v>0</v>
      </c>
      <c r="AZ55" s="38">
        <f t="shared" ref="AZ55" si="544">TRUNC($M55 * AY55,2)</f>
        <v>0</v>
      </c>
      <c r="BA55" s="38">
        <f t="shared" si="134"/>
        <v>169.9</v>
      </c>
      <c r="BB55" s="37">
        <f t="shared" ref="BB55" si="545">TRUNC($M55 * BA55,2)</f>
        <v>1473.03</v>
      </c>
    </row>
    <row r="56" spans="1:54" ht="39" customHeight="1" x14ac:dyDescent="0.25">
      <c r="A56" s="31" t="s">
        <v>123</v>
      </c>
      <c r="B56" s="31" t="s">
        <v>124</v>
      </c>
      <c r="C56" s="31" t="s">
        <v>34</v>
      </c>
      <c r="D56" s="31" t="s">
        <v>125</v>
      </c>
      <c r="E56" s="32" t="s">
        <v>76</v>
      </c>
      <c r="F56" s="33">
        <v>10.3</v>
      </c>
      <c r="G56" s="34">
        <v>10.02</v>
      </c>
      <c r="H56" s="34">
        <f t="shared" si="111"/>
        <v>9.2200000000000006</v>
      </c>
      <c r="I56" s="34">
        <f t="shared" si="112"/>
        <v>94.96</v>
      </c>
      <c r="J56" s="34">
        <f>(TRUNC(H56 * L14,2) + H56)</f>
        <v>11.09</v>
      </c>
      <c r="K56" s="34">
        <f t="shared" si="392"/>
        <v>114.22</v>
      </c>
      <c r="L56" s="35">
        <f>K56 / L13</f>
        <v>3.9386206896551715E-5</v>
      </c>
      <c r="M56" s="36">
        <v>7.72</v>
      </c>
      <c r="N56" s="37">
        <f t="shared" si="114"/>
        <v>79.510000000000005</v>
      </c>
      <c r="O56" s="36"/>
      <c r="P56" s="38">
        <f t="shared" si="115"/>
        <v>0</v>
      </c>
      <c r="Q56" s="38"/>
      <c r="R56" s="38">
        <f t="shared" si="115"/>
        <v>0</v>
      </c>
      <c r="S56" s="38">
        <f t="shared" si="116"/>
        <v>10.3</v>
      </c>
      <c r="T56" s="37">
        <f t="shared" ref="T56:V56" si="546">TRUNC($M56 * S56,2)</f>
        <v>79.510000000000005</v>
      </c>
      <c r="U56" s="36"/>
      <c r="V56" s="38">
        <f t="shared" si="546"/>
        <v>0</v>
      </c>
      <c r="W56" s="38"/>
      <c r="X56" s="38">
        <f t="shared" ref="X56" si="547">TRUNC($M56 * W56,2)</f>
        <v>0</v>
      </c>
      <c r="Y56" s="38"/>
      <c r="Z56" s="38">
        <f t="shared" ref="Z56" si="548">TRUNC($M56 * Y56,2)</f>
        <v>0</v>
      </c>
      <c r="AA56" s="38"/>
      <c r="AB56" s="38">
        <f t="shared" ref="AB56" si="549">TRUNC($M56 * AA56,2)</f>
        <v>0</v>
      </c>
      <c r="AC56" s="38"/>
      <c r="AD56" s="38">
        <f t="shared" ref="AD56" si="550">TRUNC($M56 * AC56,2)</f>
        <v>0</v>
      </c>
      <c r="AE56" s="38"/>
      <c r="AF56" s="38">
        <f t="shared" ref="AF56" si="551">TRUNC($M56 * AE56,2)</f>
        <v>0</v>
      </c>
      <c r="AG56" s="38"/>
      <c r="AH56" s="38">
        <f t="shared" ref="AH56" si="552">TRUNC($M56 * AG56,2)</f>
        <v>0</v>
      </c>
      <c r="AI56" s="38"/>
      <c r="AJ56" s="38">
        <f t="shared" ref="AJ56" si="553">TRUNC($M56 * AI56,2)</f>
        <v>0</v>
      </c>
      <c r="AK56" s="38"/>
      <c r="AL56" s="38">
        <f t="shared" ref="AL56" si="554">TRUNC($M56 * AK56,2)</f>
        <v>0</v>
      </c>
      <c r="AM56" s="38"/>
      <c r="AN56" s="38">
        <f t="shared" ref="AN56" si="555">TRUNC($M56 * AM56,2)</f>
        <v>0</v>
      </c>
      <c r="AO56" s="38"/>
      <c r="AP56" s="38">
        <f t="shared" ref="AP56" si="556">TRUNC($M56 * AO56,2)</f>
        <v>0</v>
      </c>
      <c r="AQ56" s="38"/>
      <c r="AR56" s="38">
        <f t="shared" ref="AR56" si="557">TRUNC($M56 * AQ56,2)</f>
        <v>0</v>
      </c>
      <c r="AS56" s="38"/>
      <c r="AT56" s="38">
        <f t="shared" ref="AT56" si="558">TRUNC($M56 * AS56,2)</f>
        <v>0</v>
      </c>
      <c r="AU56" s="38"/>
      <c r="AV56" s="38">
        <f t="shared" ref="AV56" si="559">TRUNC($M56 * AU56,2)</f>
        <v>0</v>
      </c>
      <c r="AW56" s="38"/>
      <c r="AX56" s="37">
        <f t="shared" ref="AX56" si="560">TRUNC($M56 * AW56,2)</f>
        <v>0</v>
      </c>
      <c r="AY56" s="36">
        <f t="shared" si="132"/>
        <v>0</v>
      </c>
      <c r="AZ56" s="38">
        <f t="shared" ref="AZ56" si="561">TRUNC($M56 * AY56,2)</f>
        <v>0</v>
      </c>
      <c r="BA56" s="38">
        <f t="shared" si="134"/>
        <v>10.3</v>
      </c>
      <c r="BB56" s="37">
        <f t="shared" ref="BB56" si="562">TRUNC($M56 * BA56,2)</f>
        <v>79.510000000000005</v>
      </c>
    </row>
    <row r="57" spans="1:54" ht="26.1" customHeight="1" x14ac:dyDescent="0.25">
      <c r="A57" s="31" t="s">
        <v>126</v>
      </c>
      <c r="B57" s="31" t="s">
        <v>103</v>
      </c>
      <c r="C57" s="31" t="s">
        <v>34</v>
      </c>
      <c r="D57" s="31" t="s">
        <v>104</v>
      </c>
      <c r="E57" s="32" t="s">
        <v>51</v>
      </c>
      <c r="F57" s="33">
        <v>19.98</v>
      </c>
      <c r="G57" s="34">
        <v>29.8</v>
      </c>
      <c r="H57" s="34">
        <f t="shared" si="111"/>
        <v>27.43</v>
      </c>
      <c r="I57" s="34">
        <f t="shared" si="112"/>
        <v>548.04999999999995</v>
      </c>
      <c r="J57" s="34">
        <f>(TRUNC(H57 * L14,2) + H57)</f>
        <v>33</v>
      </c>
      <c r="K57" s="34">
        <f t="shared" si="392"/>
        <v>659.34</v>
      </c>
      <c r="L57" s="35">
        <f>K57 / L13</f>
        <v>2.2735862068965515E-4</v>
      </c>
      <c r="M57" s="36">
        <v>29.21</v>
      </c>
      <c r="N57" s="37">
        <f t="shared" si="114"/>
        <v>583.61</v>
      </c>
      <c r="O57" s="36"/>
      <c r="P57" s="38">
        <f t="shared" si="115"/>
        <v>0</v>
      </c>
      <c r="Q57" s="38"/>
      <c r="R57" s="38">
        <f t="shared" si="115"/>
        <v>0</v>
      </c>
      <c r="S57" s="38">
        <f t="shared" si="116"/>
        <v>19.98</v>
      </c>
      <c r="T57" s="37">
        <f t="shared" ref="T57:V57" si="563">TRUNC($M57 * S57,2)</f>
        <v>583.61</v>
      </c>
      <c r="U57" s="36"/>
      <c r="V57" s="38">
        <f t="shared" si="563"/>
        <v>0</v>
      </c>
      <c r="W57" s="38"/>
      <c r="X57" s="38">
        <f t="shared" ref="X57" si="564">TRUNC($M57 * W57,2)</f>
        <v>0</v>
      </c>
      <c r="Y57" s="38"/>
      <c r="Z57" s="38">
        <f t="shared" ref="Z57" si="565">TRUNC($M57 * Y57,2)</f>
        <v>0</v>
      </c>
      <c r="AA57" s="38"/>
      <c r="AB57" s="38">
        <f t="shared" ref="AB57" si="566">TRUNC($M57 * AA57,2)</f>
        <v>0</v>
      </c>
      <c r="AC57" s="38"/>
      <c r="AD57" s="38">
        <f t="shared" ref="AD57" si="567">TRUNC($M57 * AC57,2)</f>
        <v>0</v>
      </c>
      <c r="AE57" s="38"/>
      <c r="AF57" s="38">
        <f t="shared" ref="AF57" si="568">TRUNC($M57 * AE57,2)</f>
        <v>0</v>
      </c>
      <c r="AG57" s="38"/>
      <c r="AH57" s="38">
        <f t="shared" ref="AH57" si="569">TRUNC($M57 * AG57,2)</f>
        <v>0</v>
      </c>
      <c r="AI57" s="38"/>
      <c r="AJ57" s="38">
        <f t="shared" ref="AJ57" si="570">TRUNC($M57 * AI57,2)</f>
        <v>0</v>
      </c>
      <c r="AK57" s="38"/>
      <c r="AL57" s="38">
        <f t="shared" ref="AL57" si="571">TRUNC($M57 * AK57,2)</f>
        <v>0</v>
      </c>
      <c r="AM57" s="38"/>
      <c r="AN57" s="38">
        <f t="shared" ref="AN57" si="572">TRUNC($M57 * AM57,2)</f>
        <v>0</v>
      </c>
      <c r="AO57" s="38"/>
      <c r="AP57" s="38">
        <f t="shared" ref="AP57" si="573">TRUNC($M57 * AO57,2)</f>
        <v>0</v>
      </c>
      <c r="AQ57" s="38"/>
      <c r="AR57" s="38">
        <f t="shared" ref="AR57" si="574">TRUNC($M57 * AQ57,2)</f>
        <v>0</v>
      </c>
      <c r="AS57" s="38"/>
      <c r="AT57" s="38">
        <f t="shared" ref="AT57" si="575">TRUNC($M57 * AS57,2)</f>
        <v>0</v>
      </c>
      <c r="AU57" s="38"/>
      <c r="AV57" s="38">
        <f t="shared" ref="AV57" si="576">TRUNC($M57 * AU57,2)</f>
        <v>0</v>
      </c>
      <c r="AW57" s="38"/>
      <c r="AX57" s="37">
        <f t="shared" ref="AX57" si="577">TRUNC($M57 * AW57,2)</f>
        <v>0</v>
      </c>
      <c r="AY57" s="36">
        <f t="shared" si="132"/>
        <v>0</v>
      </c>
      <c r="AZ57" s="38">
        <f t="shared" ref="AZ57" si="578">TRUNC($M57 * AY57,2)</f>
        <v>0</v>
      </c>
      <c r="BA57" s="38">
        <f t="shared" si="134"/>
        <v>19.98</v>
      </c>
      <c r="BB57" s="37">
        <f t="shared" ref="BB57" si="579">TRUNC($M57 * BA57,2)</f>
        <v>583.61</v>
      </c>
    </row>
    <row r="58" spans="1:54" ht="26.1" customHeight="1" x14ac:dyDescent="0.25">
      <c r="A58" s="31" t="s">
        <v>127</v>
      </c>
      <c r="B58" s="31" t="s">
        <v>106</v>
      </c>
      <c r="C58" s="31" t="s">
        <v>34</v>
      </c>
      <c r="D58" s="31" t="s">
        <v>107</v>
      </c>
      <c r="E58" s="32" t="s">
        <v>26</v>
      </c>
      <c r="F58" s="33">
        <v>82.69</v>
      </c>
      <c r="G58" s="34">
        <v>43.75</v>
      </c>
      <c r="H58" s="34">
        <f t="shared" si="111"/>
        <v>40.28</v>
      </c>
      <c r="I58" s="34">
        <f t="shared" si="112"/>
        <v>3330.75</v>
      </c>
      <c r="J58" s="34">
        <f>(TRUNC(H58 * L14,2) + H58)</f>
        <v>48.47</v>
      </c>
      <c r="K58" s="34">
        <f t="shared" si="392"/>
        <v>4007.98</v>
      </c>
      <c r="L58" s="35">
        <f>K58 / L13</f>
        <v>1.382062068965517E-3</v>
      </c>
      <c r="M58" s="36">
        <v>36.630000000000003</v>
      </c>
      <c r="N58" s="37">
        <f t="shared" si="114"/>
        <v>3028.93</v>
      </c>
      <c r="O58" s="36"/>
      <c r="P58" s="38">
        <f t="shared" si="115"/>
        <v>0</v>
      </c>
      <c r="Q58" s="38"/>
      <c r="R58" s="38">
        <f t="shared" si="115"/>
        <v>0</v>
      </c>
      <c r="S58" s="38">
        <f t="shared" si="116"/>
        <v>82.69</v>
      </c>
      <c r="T58" s="37">
        <f t="shared" ref="T58:V58" si="580">TRUNC($M58 * S58,2)</f>
        <v>3028.93</v>
      </c>
      <c r="U58" s="36"/>
      <c r="V58" s="38">
        <f t="shared" si="580"/>
        <v>0</v>
      </c>
      <c r="W58" s="38"/>
      <c r="X58" s="38">
        <f t="shared" ref="X58" si="581">TRUNC($M58 * W58,2)</f>
        <v>0</v>
      </c>
      <c r="Y58" s="38"/>
      <c r="Z58" s="38">
        <f t="shared" ref="Z58" si="582">TRUNC($M58 * Y58,2)</f>
        <v>0</v>
      </c>
      <c r="AA58" s="38"/>
      <c r="AB58" s="38">
        <f t="shared" ref="AB58" si="583">TRUNC($M58 * AA58,2)</f>
        <v>0</v>
      </c>
      <c r="AC58" s="38"/>
      <c r="AD58" s="38">
        <f t="shared" ref="AD58" si="584">TRUNC($M58 * AC58,2)</f>
        <v>0</v>
      </c>
      <c r="AE58" s="38"/>
      <c r="AF58" s="38">
        <f t="shared" ref="AF58" si="585">TRUNC($M58 * AE58,2)</f>
        <v>0</v>
      </c>
      <c r="AG58" s="38"/>
      <c r="AH58" s="38">
        <f t="shared" ref="AH58" si="586">TRUNC($M58 * AG58,2)</f>
        <v>0</v>
      </c>
      <c r="AI58" s="38"/>
      <c r="AJ58" s="38">
        <f t="shared" ref="AJ58" si="587">TRUNC($M58 * AI58,2)</f>
        <v>0</v>
      </c>
      <c r="AK58" s="38"/>
      <c r="AL58" s="38">
        <f t="shared" ref="AL58" si="588">TRUNC($M58 * AK58,2)</f>
        <v>0</v>
      </c>
      <c r="AM58" s="38"/>
      <c r="AN58" s="38">
        <f t="shared" ref="AN58" si="589">TRUNC($M58 * AM58,2)</f>
        <v>0</v>
      </c>
      <c r="AO58" s="38"/>
      <c r="AP58" s="38">
        <f t="shared" ref="AP58" si="590">TRUNC($M58 * AO58,2)</f>
        <v>0</v>
      </c>
      <c r="AQ58" s="38"/>
      <c r="AR58" s="38">
        <f t="shared" ref="AR58" si="591">TRUNC($M58 * AQ58,2)</f>
        <v>0</v>
      </c>
      <c r="AS58" s="38"/>
      <c r="AT58" s="38">
        <f t="shared" ref="AT58" si="592">TRUNC($M58 * AS58,2)</f>
        <v>0</v>
      </c>
      <c r="AU58" s="38"/>
      <c r="AV58" s="38">
        <f t="shared" ref="AV58" si="593">TRUNC($M58 * AU58,2)</f>
        <v>0</v>
      </c>
      <c r="AW58" s="38"/>
      <c r="AX58" s="37">
        <f t="shared" ref="AX58" si="594">TRUNC($M58 * AW58,2)</f>
        <v>0</v>
      </c>
      <c r="AY58" s="36">
        <f t="shared" si="132"/>
        <v>0</v>
      </c>
      <c r="AZ58" s="38">
        <f t="shared" ref="AZ58" si="595">TRUNC($M58 * AY58,2)</f>
        <v>0</v>
      </c>
      <c r="BA58" s="38">
        <f t="shared" si="134"/>
        <v>82.69</v>
      </c>
      <c r="BB58" s="37">
        <f t="shared" ref="BB58" si="596">TRUNC($M58 * BA58,2)</f>
        <v>3028.93</v>
      </c>
    </row>
    <row r="59" spans="1:54" ht="24" customHeight="1" x14ac:dyDescent="0.25">
      <c r="A59" s="4" t="s">
        <v>128</v>
      </c>
      <c r="B59" s="4" t="s">
        <v>12</v>
      </c>
      <c r="C59" s="4"/>
      <c r="D59" s="4" t="s">
        <v>129</v>
      </c>
      <c r="E59" s="5"/>
      <c r="F59" s="14"/>
      <c r="G59" s="6"/>
      <c r="H59" s="6"/>
      <c r="I59" s="7">
        <f>SUM(I60,I67,I77,I87)</f>
        <v>225884.22</v>
      </c>
      <c r="J59" s="7"/>
      <c r="K59" s="7">
        <f>SUM(K60,K67,K77,K87)</f>
        <v>271789</v>
      </c>
      <c r="L59" s="22">
        <f>K59 / L13</f>
        <v>9.3720344827586191E-2</v>
      </c>
      <c r="M59" s="25"/>
      <c r="N59" s="26">
        <f>SUM(N60,N67,N77,N87)</f>
        <v>203925.6</v>
      </c>
      <c r="O59" s="25"/>
      <c r="P59" s="30">
        <f>SUM(P60,P67,P77,P87)</f>
        <v>0</v>
      </c>
      <c r="Q59" s="30"/>
      <c r="R59" s="30">
        <f>SUM(R60,R67,R77,R87)</f>
        <v>0</v>
      </c>
      <c r="S59" s="30"/>
      <c r="T59" s="26">
        <f>SUM(T60,T67,T77,T87)</f>
        <v>203925.6</v>
      </c>
      <c r="U59" s="25"/>
      <c r="V59" s="30">
        <f>SUM(V60,V67,V77,V87)</f>
        <v>0</v>
      </c>
      <c r="W59" s="30"/>
      <c r="X59" s="30">
        <f>SUM(X60,X67,X77,X87)</f>
        <v>0</v>
      </c>
      <c r="Y59" s="30"/>
      <c r="Z59" s="30">
        <f>SUM(Z60,Z67,Z77,Z87)</f>
        <v>0</v>
      </c>
      <c r="AA59" s="30"/>
      <c r="AB59" s="30">
        <f>SUM(AB60,AB67,AB77,AB87)</f>
        <v>0</v>
      </c>
      <c r="AC59" s="30"/>
      <c r="AD59" s="30">
        <f>SUM(AD60,AD67,AD77,AD87)</f>
        <v>0</v>
      </c>
      <c r="AE59" s="30"/>
      <c r="AF59" s="30">
        <f>SUM(AF60,AF67,AF77,AF87)</f>
        <v>0</v>
      </c>
      <c r="AG59" s="30"/>
      <c r="AH59" s="30">
        <f>SUM(AH60,AH67,AH77,AH87)</f>
        <v>0</v>
      </c>
      <c r="AI59" s="30"/>
      <c r="AJ59" s="30">
        <f>SUM(AJ60,AJ67,AJ77,AJ87)</f>
        <v>0</v>
      </c>
      <c r="AK59" s="30"/>
      <c r="AL59" s="30">
        <f>SUM(AL60,AL67,AL77,AL87)</f>
        <v>0</v>
      </c>
      <c r="AM59" s="30"/>
      <c r="AN59" s="30">
        <f>SUM(AN60,AN67,AN77,AN87)</f>
        <v>0</v>
      </c>
      <c r="AO59" s="30"/>
      <c r="AP59" s="30">
        <f>SUM(AP60,AP67,AP77,AP87)</f>
        <v>0</v>
      </c>
      <c r="AQ59" s="30"/>
      <c r="AR59" s="30">
        <f>SUM(AR60,AR67,AR77,AR87)</f>
        <v>0</v>
      </c>
      <c r="AS59" s="30"/>
      <c r="AT59" s="30">
        <f>SUM(AT60,AT67,AT77,AT87)</f>
        <v>0</v>
      </c>
      <c r="AU59" s="30"/>
      <c r="AV59" s="30">
        <f>SUM(AV60,AV67,AV77,AV87)</f>
        <v>0</v>
      </c>
      <c r="AW59" s="30"/>
      <c r="AX59" s="26">
        <f>SUM(AX60,AX67,AX77,AX87)</f>
        <v>0</v>
      </c>
      <c r="AY59" s="25"/>
      <c r="AZ59" s="30">
        <f>SUM(AZ60,AZ67,AZ77,AZ87)</f>
        <v>0</v>
      </c>
      <c r="BA59" s="30"/>
      <c r="BB59" s="26">
        <f>SUM(BB60,BB67,BB77,BB87)</f>
        <v>203925.6</v>
      </c>
    </row>
    <row r="60" spans="1:54" ht="24" customHeight="1" x14ac:dyDescent="0.25">
      <c r="A60" s="4" t="s">
        <v>130</v>
      </c>
      <c r="B60" s="4" t="s">
        <v>12</v>
      </c>
      <c r="C60" s="4"/>
      <c r="D60" s="4" t="s">
        <v>131</v>
      </c>
      <c r="E60" s="5"/>
      <c r="F60" s="14"/>
      <c r="G60" s="6"/>
      <c r="H60" s="6"/>
      <c r="I60" s="7">
        <f>SUM(I61:I66)</f>
        <v>41283.620000000003</v>
      </c>
      <c r="J60" s="7"/>
      <c r="K60" s="7">
        <f>SUM(K61:K66)</f>
        <v>49672.78</v>
      </c>
      <c r="L60" s="22">
        <f>K60 / L13</f>
        <v>1.7128544827586203E-2</v>
      </c>
      <c r="M60" s="25"/>
      <c r="N60" s="26">
        <f>SUM(N61:N66)</f>
        <v>36636.959999999999</v>
      </c>
      <c r="O60" s="25"/>
      <c r="P60" s="30">
        <f>SUM(P61:P66)</f>
        <v>0</v>
      </c>
      <c r="Q60" s="30"/>
      <c r="R60" s="30">
        <f>SUM(R61:R66)</f>
        <v>0</v>
      </c>
      <c r="S60" s="30"/>
      <c r="T60" s="26">
        <f>SUM(T61:T66)</f>
        <v>36636.959999999999</v>
      </c>
      <c r="U60" s="25"/>
      <c r="V60" s="30">
        <f>SUM(V61:V66)</f>
        <v>0</v>
      </c>
      <c r="W60" s="30"/>
      <c r="X60" s="30">
        <f>SUM(X61:X66)</f>
        <v>0</v>
      </c>
      <c r="Y60" s="30"/>
      <c r="Z60" s="30">
        <f>SUM(Z61:Z66)</f>
        <v>0</v>
      </c>
      <c r="AA60" s="30"/>
      <c r="AB60" s="30">
        <f>SUM(AB61:AB66)</f>
        <v>0</v>
      </c>
      <c r="AC60" s="30"/>
      <c r="AD60" s="30">
        <f>SUM(AD61:AD66)</f>
        <v>0</v>
      </c>
      <c r="AE60" s="30"/>
      <c r="AF60" s="30">
        <f>SUM(AF61:AF66)</f>
        <v>0</v>
      </c>
      <c r="AG60" s="30"/>
      <c r="AH60" s="30">
        <f>SUM(AH61:AH66)</f>
        <v>0</v>
      </c>
      <c r="AI60" s="30"/>
      <c r="AJ60" s="30">
        <f>SUM(AJ61:AJ66)</f>
        <v>0</v>
      </c>
      <c r="AK60" s="30"/>
      <c r="AL60" s="30">
        <f>SUM(AL61:AL66)</f>
        <v>0</v>
      </c>
      <c r="AM60" s="30"/>
      <c r="AN60" s="30">
        <f>SUM(AN61:AN66)</f>
        <v>0</v>
      </c>
      <c r="AO60" s="30"/>
      <c r="AP60" s="30">
        <f>SUM(AP61:AP66)</f>
        <v>0</v>
      </c>
      <c r="AQ60" s="30"/>
      <c r="AR60" s="30">
        <f>SUM(AR61:AR66)</f>
        <v>0</v>
      </c>
      <c r="AS60" s="30"/>
      <c r="AT60" s="30">
        <f>SUM(AT61:AT66)</f>
        <v>0</v>
      </c>
      <c r="AU60" s="30"/>
      <c r="AV60" s="30">
        <f>SUM(AV61:AV66)</f>
        <v>0</v>
      </c>
      <c r="AW60" s="30"/>
      <c r="AX60" s="26">
        <f>SUM(AX61:AX66)</f>
        <v>0</v>
      </c>
      <c r="AY60" s="25"/>
      <c r="AZ60" s="30">
        <f>SUM(AZ61:AZ66)</f>
        <v>0</v>
      </c>
      <c r="BA60" s="30"/>
      <c r="BB60" s="26">
        <f>SUM(BB61:BB66)</f>
        <v>36636.959999999999</v>
      </c>
    </row>
    <row r="61" spans="1:54" ht="51.9" customHeight="1" x14ac:dyDescent="0.25">
      <c r="A61" s="31" t="s">
        <v>132</v>
      </c>
      <c r="B61" s="31" t="s">
        <v>133</v>
      </c>
      <c r="C61" s="31" t="s">
        <v>34</v>
      </c>
      <c r="D61" s="31" t="s">
        <v>134</v>
      </c>
      <c r="E61" s="32" t="s">
        <v>26</v>
      </c>
      <c r="F61" s="33">
        <v>263.8</v>
      </c>
      <c r="G61" s="34">
        <v>73.650000000000006</v>
      </c>
      <c r="H61" s="34">
        <f t="shared" ref="H61:H91" si="597">TRUNC(G61*$L$1,2)</f>
        <v>67.81</v>
      </c>
      <c r="I61" s="34">
        <f t="shared" ref="I61:I91" si="598">TRUNC(F61 * H61,2)</f>
        <v>17888.27</v>
      </c>
      <c r="J61" s="34">
        <f>(TRUNC(H61 * L14,2) + H61)</f>
        <v>81.599999999999994</v>
      </c>
      <c r="K61" s="34">
        <f t="shared" ref="K61:K66" si="599">TRUNC(F61 * J61,2)</f>
        <v>21526.080000000002</v>
      </c>
      <c r="L61" s="35">
        <f>K61 / L13</f>
        <v>7.4227862068965509E-3</v>
      </c>
      <c r="M61" s="36">
        <v>64.790000000000006</v>
      </c>
      <c r="N61" s="37">
        <f t="shared" ref="N61:N91" si="600">TRUNC(F61 * M61,2)</f>
        <v>17091.599999999999</v>
      </c>
      <c r="O61" s="36"/>
      <c r="P61" s="38">
        <f t="shared" ref="P61:R76" si="601">TRUNC($M61 * O61,2)</f>
        <v>0</v>
      </c>
      <c r="Q61" s="38"/>
      <c r="R61" s="38">
        <f t="shared" si="601"/>
        <v>0</v>
      </c>
      <c r="S61" s="38">
        <f t="shared" ref="S61:S91" si="602">F61+O61-Q61</f>
        <v>263.8</v>
      </c>
      <c r="T61" s="37">
        <f t="shared" ref="T61:V61" si="603">TRUNC($M61 * S61,2)</f>
        <v>17091.599999999999</v>
      </c>
      <c r="U61" s="36"/>
      <c r="V61" s="38">
        <f t="shared" si="603"/>
        <v>0</v>
      </c>
      <c r="W61" s="38"/>
      <c r="X61" s="38">
        <f t="shared" ref="X61" si="604">TRUNC($M61 * W61,2)</f>
        <v>0</v>
      </c>
      <c r="Y61" s="38"/>
      <c r="Z61" s="38">
        <f t="shared" ref="Z61" si="605">TRUNC($M61 * Y61,2)</f>
        <v>0</v>
      </c>
      <c r="AA61" s="38"/>
      <c r="AB61" s="38">
        <f t="shared" ref="AB61" si="606">TRUNC($M61 * AA61,2)</f>
        <v>0</v>
      </c>
      <c r="AC61" s="38"/>
      <c r="AD61" s="38">
        <f t="shared" ref="AD61" si="607">TRUNC($M61 * AC61,2)</f>
        <v>0</v>
      </c>
      <c r="AE61" s="38"/>
      <c r="AF61" s="38">
        <f t="shared" ref="AF61" si="608">TRUNC($M61 * AE61,2)</f>
        <v>0</v>
      </c>
      <c r="AG61" s="38"/>
      <c r="AH61" s="38">
        <f t="shared" ref="AH61" si="609">TRUNC($M61 * AG61,2)</f>
        <v>0</v>
      </c>
      <c r="AI61" s="38"/>
      <c r="AJ61" s="38">
        <f t="shared" ref="AJ61" si="610">TRUNC($M61 * AI61,2)</f>
        <v>0</v>
      </c>
      <c r="AK61" s="38"/>
      <c r="AL61" s="38">
        <f t="shared" ref="AL61" si="611">TRUNC($M61 * AK61,2)</f>
        <v>0</v>
      </c>
      <c r="AM61" s="38"/>
      <c r="AN61" s="38">
        <f t="shared" ref="AN61" si="612">TRUNC($M61 * AM61,2)</f>
        <v>0</v>
      </c>
      <c r="AO61" s="38"/>
      <c r="AP61" s="38">
        <f t="shared" ref="AP61" si="613">TRUNC($M61 * AO61,2)</f>
        <v>0</v>
      </c>
      <c r="AQ61" s="38"/>
      <c r="AR61" s="38">
        <f t="shared" ref="AR61" si="614">TRUNC($M61 * AQ61,2)</f>
        <v>0</v>
      </c>
      <c r="AS61" s="38"/>
      <c r="AT61" s="38">
        <f t="shared" ref="AT61" si="615">TRUNC($M61 * AS61,2)</f>
        <v>0</v>
      </c>
      <c r="AU61" s="38"/>
      <c r="AV61" s="38">
        <f t="shared" ref="AV61" si="616">TRUNC($M61 * AU61,2)</f>
        <v>0</v>
      </c>
      <c r="AW61" s="38"/>
      <c r="AX61" s="37">
        <f t="shared" ref="AX61" si="617">TRUNC($M61 * AW61,2)</f>
        <v>0</v>
      </c>
      <c r="AY61" s="36">
        <f t="shared" ref="AY61:AY91" si="618">SUM(U61,W61,Y61,AA61,AC61,AE61,AG61,AI61,AK61,AM61,AO61,AQ61,AS61,AU61,AW61)</f>
        <v>0</v>
      </c>
      <c r="AZ61" s="38">
        <f t="shared" ref="AZ61" si="619">TRUNC($M61 * AY61,2)</f>
        <v>0</v>
      </c>
      <c r="BA61" s="38">
        <f t="shared" ref="BA61:BA91" si="620">S61-AY61</f>
        <v>263.8</v>
      </c>
      <c r="BB61" s="37">
        <f t="shared" ref="BB61" si="621">TRUNC($M61 * BA61,2)</f>
        <v>17091.599999999999</v>
      </c>
    </row>
    <row r="62" spans="1:54" ht="39" customHeight="1" x14ac:dyDescent="0.25">
      <c r="A62" s="31" t="s">
        <v>135</v>
      </c>
      <c r="B62" s="31" t="s">
        <v>136</v>
      </c>
      <c r="C62" s="31" t="s">
        <v>34</v>
      </c>
      <c r="D62" s="31" t="s">
        <v>137</v>
      </c>
      <c r="E62" s="32" t="s">
        <v>76</v>
      </c>
      <c r="F62" s="33">
        <v>621.1</v>
      </c>
      <c r="G62" s="34">
        <v>10.8</v>
      </c>
      <c r="H62" s="34">
        <f t="shared" si="597"/>
        <v>9.94</v>
      </c>
      <c r="I62" s="34">
        <f t="shared" si="598"/>
        <v>6173.73</v>
      </c>
      <c r="J62" s="34">
        <f>(TRUNC(H62 * L14,2) + H62)</f>
        <v>11.959999999999999</v>
      </c>
      <c r="K62" s="34">
        <f t="shared" si="599"/>
        <v>7428.35</v>
      </c>
      <c r="L62" s="35">
        <f>K62 / L13</f>
        <v>2.5614999999999995E-3</v>
      </c>
      <c r="M62" s="36">
        <v>8.1999999999999993</v>
      </c>
      <c r="N62" s="37">
        <f t="shared" si="600"/>
        <v>5093.0200000000004</v>
      </c>
      <c r="O62" s="36"/>
      <c r="P62" s="38">
        <f t="shared" si="601"/>
        <v>0</v>
      </c>
      <c r="Q62" s="38"/>
      <c r="R62" s="38">
        <f t="shared" si="601"/>
        <v>0</v>
      </c>
      <c r="S62" s="38">
        <f t="shared" si="602"/>
        <v>621.1</v>
      </c>
      <c r="T62" s="37">
        <f t="shared" ref="T62:V62" si="622">TRUNC($M62 * S62,2)</f>
        <v>5093.0200000000004</v>
      </c>
      <c r="U62" s="36"/>
      <c r="V62" s="38">
        <f t="shared" si="622"/>
        <v>0</v>
      </c>
      <c r="W62" s="38"/>
      <c r="X62" s="38">
        <f t="shared" ref="X62" si="623">TRUNC($M62 * W62,2)</f>
        <v>0</v>
      </c>
      <c r="Y62" s="38"/>
      <c r="Z62" s="38">
        <f t="shared" ref="Z62" si="624">TRUNC($M62 * Y62,2)</f>
        <v>0</v>
      </c>
      <c r="AA62" s="38"/>
      <c r="AB62" s="38">
        <f t="shared" ref="AB62" si="625">TRUNC($M62 * AA62,2)</f>
        <v>0</v>
      </c>
      <c r="AC62" s="38"/>
      <c r="AD62" s="38">
        <f t="shared" ref="AD62" si="626">TRUNC($M62 * AC62,2)</f>
        <v>0</v>
      </c>
      <c r="AE62" s="38"/>
      <c r="AF62" s="38">
        <f t="shared" ref="AF62" si="627">TRUNC($M62 * AE62,2)</f>
        <v>0</v>
      </c>
      <c r="AG62" s="38"/>
      <c r="AH62" s="38">
        <f t="shared" ref="AH62" si="628">TRUNC($M62 * AG62,2)</f>
        <v>0</v>
      </c>
      <c r="AI62" s="38"/>
      <c r="AJ62" s="38">
        <f t="shared" ref="AJ62" si="629">TRUNC($M62 * AI62,2)</f>
        <v>0</v>
      </c>
      <c r="AK62" s="38"/>
      <c r="AL62" s="38">
        <f t="shared" ref="AL62" si="630">TRUNC($M62 * AK62,2)</f>
        <v>0</v>
      </c>
      <c r="AM62" s="38"/>
      <c r="AN62" s="38">
        <f t="shared" ref="AN62" si="631">TRUNC($M62 * AM62,2)</f>
        <v>0</v>
      </c>
      <c r="AO62" s="38"/>
      <c r="AP62" s="38">
        <f t="shared" ref="AP62" si="632">TRUNC($M62 * AO62,2)</f>
        <v>0</v>
      </c>
      <c r="AQ62" s="38"/>
      <c r="AR62" s="38">
        <f t="shared" ref="AR62" si="633">TRUNC($M62 * AQ62,2)</f>
        <v>0</v>
      </c>
      <c r="AS62" s="38"/>
      <c r="AT62" s="38">
        <f t="shared" ref="AT62" si="634">TRUNC($M62 * AS62,2)</f>
        <v>0</v>
      </c>
      <c r="AU62" s="38"/>
      <c r="AV62" s="38">
        <f t="shared" ref="AV62" si="635">TRUNC($M62 * AU62,2)</f>
        <v>0</v>
      </c>
      <c r="AW62" s="38"/>
      <c r="AX62" s="37">
        <f t="shared" ref="AX62" si="636">TRUNC($M62 * AW62,2)</f>
        <v>0</v>
      </c>
      <c r="AY62" s="36">
        <f t="shared" si="618"/>
        <v>0</v>
      </c>
      <c r="AZ62" s="38">
        <f t="shared" ref="AZ62" si="637">TRUNC($M62 * AY62,2)</f>
        <v>0</v>
      </c>
      <c r="BA62" s="38">
        <f t="shared" si="620"/>
        <v>621.1</v>
      </c>
      <c r="BB62" s="37">
        <f t="shared" ref="BB62" si="638">TRUNC($M62 * BA62,2)</f>
        <v>5093.0200000000004</v>
      </c>
    </row>
    <row r="63" spans="1:54" ht="39" customHeight="1" x14ac:dyDescent="0.25">
      <c r="A63" s="31" t="s">
        <v>138</v>
      </c>
      <c r="B63" s="31" t="s">
        <v>139</v>
      </c>
      <c r="C63" s="31" t="s">
        <v>34</v>
      </c>
      <c r="D63" s="31" t="s">
        <v>140</v>
      </c>
      <c r="E63" s="32" t="s">
        <v>76</v>
      </c>
      <c r="F63" s="33">
        <v>165.1</v>
      </c>
      <c r="G63" s="34">
        <v>9.02</v>
      </c>
      <c r="H63" s="34">
        <f t="shared" si="597"/>
        <v>8.3000000000000007</v>
      </c>
      <c r="I63" s="34">
        <f t="shared" si="598"/>
        <v>1370.33</v>
      </c>
      <c r="J63" s="34">
        <f>(TRUNC(H63 * L14,2) + H63)</f>
        <v>9.98</v>
      </c>
      <c r="K63" s="34">
        <f t="shared" si="599"/>
        <v>1647.69</v>
      </c>
      <c r="L63" s="35">
        <f>K63 / L13</f>
        <v>5.6816896551724133E-4</v>
      </c>
      <c r="M63" s="36">
        <v>6.72</v>
      </c>
      <c r="N63" s="37">
        <f t="shared" si="600"/>
        <v>1109.47</v>
      </c>
      <c r="O63" s="36"/>
      <c r="P63" s="38">
        <f t="shared" si="601"/>
        <v>0</v>
      </c>
      <c r="Q63" s="38"/>
      <c r="R63" s="38">
        <f t="shared" si="601"/>
        <v>0</v>
      </c>
      <c r="S63" s="38">
        <f t="shared" si="602"/>
        <v>165.1</v>
      </c>
      <c r="T63" s="37">
        <f t="shared" ref="T63:V63" si="639">TRUNC($M63 * S63,2)</f>
        <v>1109.47</v>
      </c>
      <c r="U63" s="36"/>
      <c r="V63" s="38">
        <f t="shared" si="639"/>
        <v>0</v>
      </c>
      <c r="W63" s="38"/>
      <c r="X63" s="38">
        <f t="shared" ref="X63" si="640">TRUNC($M63 * W63,2)</f>
        <v>0</v>
      </c>
      <c r="Y63" s="38"/>
      <c r="Z63" s="38">
        <f t="shared" ref="Z63" si="641">TRUNC($M63 * Y63,2)</f>
        <v>0</v>
      </c>
      <c r="AA63" s="38"/>
      <c r="AB63" s="38">
        <f t="shared" ref="AB63" si="642">TRUNC($M63 * AA63,2)</f>
        <v>0</v>
      </c>
      <c r="AC63" s="38"/>
      <c r="AD63" s="38">
        <f t="shared" ref="AD63" si="643">TRUNC($M63 * AC63,2)</f>
        <v>0</v>
      </c>
      <c r="AE63" s="38"/>
      <c r="AF63" s="38">
        <f t="shared" ref="AF63" si="644">TRUNC($M63 * AE63,2)</f>
        <v>0</v>
      </c>
      <c r="AG63" s="38"/>
      <c r="AH63" s="38">
        <f t="shared" ref="AH63" si="645">TRUNC($M63 * AG63,2)</f>
        <v>0</v>
      </c>
      <c r="AI63" s="38"/>
      <c r="AJ63" s="38">
        <f t="shared" ref="AJ63" si="646">TRUNC($M63 * AI63,2)</f>
        <v>0</v>
      </c>
      <c r="AK63" s="38"/>
      <c r="AL63" s="38">
        <f t="shared" ref="AL63" si="647">TRUNC($M63 * AK63,2)</f>
        <v>0</v>
      </c>
      <c r="AM63" s="38"/>
      <c r="AN63" s="38">
        <f t="shared" ref="AN63" si="648">TRUNC($M63 * AM63,2)</f>
        <v>0</v>
      </c>
      <c r="AO63" s="38"/>
      <c r="AP63" s="38">
        <f t="shared" ref="AP63" si="649">TRUNC($M63 * AO63,2)</f>
        <v>0</v>
      </c>
      <c r="AQ63" s="38"/>
      <c r="AR63" s="38">
        <f t="shared" ref="AR63" si="650">TRUNC($M63 * AQ63,2)</f>
        <v>0</v>
      </c>
      <c r="AS63" s="38"/>
      <c r="AT63" s="38">
        <f t="shared" ref="AT63" si="651">TRUNC($M63 * AS63,2)</f>
        <v>0</v>
      </c>
      <c r="AU63" s="38"/>
      <c r="AV63" s="38">
        <f t="shared" ref="AV63" si="652">TRUNC($M63 * AU63,2)</f>
        <v>0</v>
      </c>
      <c r="AW63" s="38"/>
      <c r="AX63" s="37">
        <f t="shared" ref="AX63" si="653">TRUNC($M63 * AW63,2)</f>
        <v>0</v>
      </c>
      <c r="AY63" s="36">
        <f t="shared" si="618"/>
        <v>0</v>
      </c>
      <c r="AZ63" s="38">
        <f t="shared" ref="AZ63" si="654">TRUNC($M63 * AY63,2)</f>
        <v>0</v>
      </c>
      <c r="BA63" s="38">
        <f t="shared" si="620"/>
        <v>165.1</v>
      </c>
      <c r="BB63" s="37">
        <f t="shared" ref="BB63" si="655">TRUNC($M63 * BA63,2)</f>
        <v>1109.47</v>
      </c>
    </row>
    <row r="64" spans="1:54" ht="39" customHeight="1" x14ac:dyDescent="0.25">
      <c r="A64" s="31" t="s">
        <v>141</v>
      </c>
      <c r="B64" s="31" t="s">
        <v>142</v>
      </c>
      <c r="C64" s="31" t="s">
        <v>34</v>
      </c>
      <c r="D64" s="31" t="s">
        <v>143</v>
      </c>
      <c r="E64" s="32" t="s">
        <v>76</v>
      </c>
      <c r="F64" s="33">
        <v>176</v>
      </c>
      <c r="G64" s="34">
        <v>8.69</v>
      </c>
      <c r="H64" s="34">
        <f t="shared" si="597"/>
        <v>8</v>
      </c>
      <c r="I64" s="34">
        <f t="shared" si="598"/>
        <v>1408</v>
      </c>
      <c r="J64" s="34">
        <f>(TRUNC(H64 * L14,2) + H64)</f>
        <v>9.620000000000001</v>
      </c>
      <c r="K64" s="34">
        <f t="shared" si="599"/>
        <v>1693.12</v>
      </c>
      <c r="L64" s="35">
        <f>K64 / L13</f>
        <v>5.838344827586206E-4</v>
      </c>
      <c r="M64" s="36">
        <v>6.36</v>
      </c>
      <c r="N64" s="37">
        <f t="shared" si="600"/>
        <v>1119.3599999999999</v>
      </c>
      <c r="O64" s="36"/>
      <c r="P64" s="38">
        <f t="shared" si="601"/>
        <v>0</v>
      </c>
      <c r="Q64" s="38"/>
      <c r="R64" s="38">
        <f t="shared" si="601"/>
        <v>0</v>
      </c>
      <c r="S64" s="38">
        <f t="shared" si="602"/>
        <v>176</v>
      </c>
      <c r="T64" s="37">
        <f t="shared" ref="T64:V64" si="656">TRUNC($M64 * S64,2)</f>
        <v>1119.3599999999999</v>
      </c>
      <c r="U64" s="36"/>
      <c r="V64" s="38">
        <f t="shared" si="656"/>
        <v>0</v>
      </c>
      <c r="W64" s="38"/>
      <c r="X64" s="38">
        <f t="shared" ref="X64" si="657">TRUNC($M64 * W64,2)</f>
        <v>0</v>
      </c>
      <c r="Y64" s="38"/>
      <c r="Z64" s="38">
        <f t="shared" ref="Z64" si="658">TRUNC($M64 * Y64,2)</f>
        <v>0</v>
      </c>
      <c r="AA64" s="38"/>
      <c r="AB64" s="38">
        <f t="shared" ref="AB64" si="659">TRUNC($M64 * AA64,2)</f>
        <v>0</v>
      </c>
      <c r="AC64" s="38"/>
      <c r="AD64" s="38">
        <f t="shared" ref="AD64" si="660">TRUNC($M64 * AC64,2)</f>
        <v>0</v>
      </c>
      <c r="AE64" s="38"/>
      <c r="AF64" s="38">
        <f t="shared" ref="AF64" si="661">TRUNC($M64 * AE64,2)</f>
        <v>0</v>
      </c>
      <c r="AG64" s="38"/>
      <c r="AH64" s="38">
        <f t="shared" ref="AH64" si="662">TRUNC($M64 * AG64,2)</f>
        <v>0</v>
      </c>
      <c r="AI64" s="38"/>
      <c r="AJ64" s="38">
        <f t="shared" ref="AJ64" si="663">TRUNC($M64 * AI64,2)</f>
        <v>0</v>
      </c>
      <c r="AK64" s="38"/>
      <c r="AL64" s="38">
        <f t="shared" ref="AL64" si="664">TRUNC($M64 * AK64,2)</f>
        <v>0</v>
      </c>
      <c r="AM64" s="38"/>
      <c r="AN64" s="38">
        <f t="shared" ref="AN64" si="665">TRUNC($M64 * AM64,2)</f>
        <v>0</v>
      </c>
      <c r="AO64" s="38"/>
      <c r="AP64" s="38">
        <f t="shared" ref="AP64" si="666">TRUNC($M64 * AO64,2)</f>
        <v>0</v>
      </c>
      <c r="AQ64" s="38"/>
      <c r="AR64" s="38">
        <f t="shared" ref="AR64" si="667">TRUNC($M64 * AQ64,2)</f>
        <v>0</v>
      </c>
      <c r="AS64" s="38"/>
      <c r="AT64" s="38">
        <f t="shared" ref="AT64" si="668">TRUNC($M64 * AS64,2)</f>
        <v>0</v>
      </c>
      <c r="AU64" s="38"/>
      <c r="AV64" s="38">
        <f t="shared" ref="AV64" si="669">TRUNC($M64 * AU64,2)</f>
        <v>0</v>
      </c>
      <c r="AW64" s="38"/>
      <c r="AX64" s="37">
        <f t="shared" ref="AX64" si="670">TRUNC($M64 * AW64,2)</f>
        <v>0</v>
      </c>
      <c r="AY64" s="36">
        <f t="shared" si="618"/>
        <v>0</v>
      </c>
      <c r="AZ64" s="38">
        <f t="shared" ref="AZ64" si="671">TRUNC($M64 * AY64,2)</f>
        <v>0</v>
      </c>
      <c r="BA64" s="38">
        <f t="shared" si="620"/>
        <v>176</v>
      </c>
      <c r="BB64" s="37">
        <f t="shared" ref="BB64" si="672">TRUNC($M64 * BA64,2)</f>
        <v>1119.3599999999999</v>
      </c>
    </row>
    <row r="65" spans="1:54" ht="39" customHeight="1" x14ac:dyDescent="0.25">
      <c r="A65" s="31" t="s">
        <v>144</v>
      </c>
      <c r="B65" s="31" t="s">
        <v>145</v>
      </c>
      <c r="C65" s="31" t="s">
        <v>34</v>
      </c>
      <c r="D65" s="31" t="s">
        <v>146</v>
      </c>
      <c r="E65" s="32" t="s">
        <v>76</v>
      </c>
      <c r="F65" s="33">
        <v>391.4</v>
      </c>
      <c r="G65" s="34">
        <v>14.26</v>
      </c>
      <c r="H65" s="34">
        <f t="shared" si="597"/>
        <v>13.12</v>
      </c>
      <c r="I65" s="34">
        <f t="shared" si="598"/>
        <v>5135.16</v>
      </c>
      <c r="J65" s="34">
        <f>(TRUNC(H65 * L14,2) + H65)</f>
        <v>15.78</v>
      </c>
      <c r="K65" s="34">
        <f t="shared" si="599"/>
        <v>6176.29</v>
      </c>
      <c r="L65" s="35">
        <f>K65 / L13</f>
        <v>2.1297551724137925E-3</v>
      </c>
      <c r="M65" s="36">
        <v>12</v>
      </c>
      <c r="N65" s="37">
        <f t="shared" si="600"/>
        <v>4696.8</v>
      </c>
      <c r="O65" s="36"/>
      <c r="P65" s="38">
        <f t="shared" si="601"/>
        <v>0</v>
      </c>
      <c r="Q65" s="38"/>
      <c r="R65" s="38">
        <f t="shared" si="601"/>
        <v>0</v>
      </c>
      <c r="S65" s="38">
        <f t="shared" si="602"/>
        <v>391.4</v>
      </c>
      <c r="T65" s="37">
        <f t="shared" ref="T65:V65" si="673">TRUNC($M65 * S65,2)</f>
        <v>4696.8</v>
      </c>
      <c r="U65" s="36"/>
      <c r="V65" s="38">
        <f t="shared" si="673"/>
        <v>0</v>
      </c>
      <c r="W65" s="38"/>
      <c r="X65" s="38">
        <f t="shared" ref="X65" si="674">TRUNC($M65 * W65,2)</f>
        <v>0</v>
      </c>
      <c r="Y65" s="38"/>
      <c r="Z65" s="38">
        <f t="shared" ref="Z65" si="675">TRUNC($M65 * Y65,2)</f>
        <v>0</v>
      </c>
      <c r="AA65" s="38"/>
      <c r="AB65" s="38">
        <f t="shared" ref="AB65" si="676">TRUNC($M65 * AA65,2)</f>
        <v>0</v>
      </c>
      <c r="AC65" s="38"/>
      <c r="AD65" s="38">
        <f t="shared" ref="AD65" si="677">TRUNC($M65 * AC65,2)</f>
        <v>0</v>
      </c>
      <c r="AE65" s="38"/>
      <c r="AF65" s="38">
        <f t="shared" ref="AF65" si="678">TRUNC($M65 * AE65,2)</f>
        <v>0</v>
      </c>
      <c r="AG65" s="38"/>
      <c r="AH65" s="38">
        <f t="shared" ref="AH65" si="679">TRUNC($M65 * AG65,2)</f>
        <v>0</v>
      </c>
      <c r="AI65" s="38"/>
      <c r="AJ65" s="38">
        <f t="shared" ref="AJ65" si="680">TRUNC($M65 * AI65,2)</f>
        <v>0</v>
      </c>
      <c r="AK65" s="38"/>
      <c r="AL65" s="38">
        <f t="shared" ref="AL65" si="681">TRUNC($M65 * AK65,2)</f>
        <v>0</v>
      </c>
      <c r="AM65" s="38"/>
      <c r="AN65" s="38">
        <f t="shared" ref="AN65" si="682">TRUNC($M65 * AM65,2)</f>
        <v>0</v>
      </c>
      <c r="AO65" s="38"/>
      <c r="AP65" s="38">
        <f t="shared" ref="AP65" si="683">TRUNC($M65 * AO65,2)</f>
        <v>0</v>
      </c>
      <c r="AQ65" s="38"/>
      <c r="AR65" s="38">
        <f t="shared" ref="AR65" si="684">TRUNC($M65 * AQ65,2)</f>
        <v>0</v>
      </c>
      <c r="AS65" s="38"/>
      <c r="AT65" s="38">
        <f t="shared" ref="AT65" si="685">TRUNC($M65 * AS65,2)</f>
        <v>0</v>
      </c>
      <c r="AU65" s="38"/>
      <c r="AV65" s="38">
        <f t="shared" ref="AV65" si="686">TRUNC($M65 * AU65,2)</f>
        <v>0</v>
      </c>
      <c r="AW65" s="38"/>
      <c r="AX65" s="37">
        <f t="shared" ref="AX65" si="687">TRUNC($M65 * AW65,2)</f>
        <v>0</v>
      </c>
      <c r="AY65" s="36">
        <f t="shared" si="618"/>
        <v>0</v>
      </c>
      <c r="AZ65" s="38">
        <f t="shared" ref="AZ65" si="688">TRUNC($M65 * AY65,2)</f>
        <v>0</v>
      </c>
      <c r="BA65" s="38">
        <f t="shared" si="620"/>
        <v>391.4</v>
      </c>
      <c r="BB65" s="37">
        <f t="shared" ref="BB65" si="689">TRUNC($M65 * BA65,2)</f>
        <v>4696.8</v>
      </c>
    </row>
    <row r="66" spans="1:54" ht="39" customHeight="1" x14ac:dyDescent="0.25">
      <c r="A66" s="31" t="s">
        <v>147</v>
      </c>
      <c r="B66" s="31" t="s">
        <v>148</v>
      </c>
      <c r="C66" s="31" t="s">
        <v>42</v>
      </c>
      <c r="D66" s="31" t="s">
        <v>149</v>
      </c>
      <c r="E66" s="32" t="s">
        <v>51</v>
      </c>
      <c r="F66" s="33">
        <v>17.399999999999999</v>
      </c>
      <c r="G66" s="34">
        <v>581</v>
      </c>
      <c r="H66" s="34">
        <f t="shared" si="597"/>
        <v>534.95000000000005</v>
      </c>
      <c r="I66" s="34">
        <f t="shared" si="598"/>
        <v>9308.1299999999992</v>
      </c>
      <c r="J66" s="34">
        <f>(TRUNC(H66 * L14,2) + H66)</f>
        <v>643.75</v>
      </c>
      <c r="K66" s="34">
        <f t="shared" si="599"/>
        <v>11201.25</v>
      </c>
      <c r="L66" s="35">
        <f>K66 / L13</f>
        <v>3.8624999999999992E-3</v>
      </c>
      <c r="M66" s="36">
        <v>432.57</v>
      </c>
      <c r="N66" s="37">
        <f t="shared" si="600"/>
        <v>7526.71</v>
      </c>
      <c r="O66" s="36"/>
      <c r="P66" s="38">
        <f t="shared" si="601"/>
        <v>0</v>
      </c>
      <c r="Q66" s="38"/>
      <c r="R66" s="38">
        <f t="shared" si="601"/>
        <v>0</v>
      </c>
      <c r="S66" s="38">
        <f t="shared" si="602"/>
        <v>17.399999999999999</v>
      </c>
      <c r="T66" s="37">
        <f t="shared" ref="T66:V66" si="690">TRUNC($M66 * S66,2)</f>
        <v>7526.71</v>
      </c>
      <c r="U66" s="36"/>
      <c r="V66" s="38">
        <f t="shared" si="690"/>
        <v>0</v>
      </c>
      <c r="W66" s="38"/>
      <c r="X66" s="38">
        <f t="shared" ref="X66" si="691">TRUNC($M66 * W66,2)</f>
        <v>0</v>
      </c>
      <c r="Y66" s="38"/>
      <c r="Z66" s="38">
        <f t="shared" ref="Z66" si="692">TRUNC($M66 * Y66,2)</f>
        <v>0</v>
      </c>
      <c r="AA66" s="38"/>
      <c r="AB66" s="38">
        <f t="shared" ref="AB66" si="693">TRUNC($M66 * AA66,2)</f>
        <v>0</v>
      </c>
      <c r="AC66" s="38"/>
      <c r="AD66" s="38">
        <f t="shared" ref="AD66" si="694">TRUNC($M66 * AC66,2)</f>
        <v>0</v>
      </c>
      <c r="AE66" s="38"/>
      <c r="AF66" s="38">
        <f t="shared" ref="AF66" si="695">TRUNC($M66 * AE66,2)</f>
        <v>0</v>
      </c>
      <c r="AG66" s="38"/>
      <c r="AH66" s="38">
        <f t="shared" ref="AH66" si="696">TRUNC($M66 * AG66,2)</f>
        <v>0</v>
      </c>
      <c r="AI66" s="38"/>
      <c r="AJ66" s="38">
        <f t="shared" ref="AJ66" si="697">TRUNC($M66 * AI66,2)</f>
        <v>0</v>
      </c>
      <c r="AK66" s="38"/>
      <c r="AL66" s="38">
        <f t="shared" ref="AL66" si="698">TRUNC($M66 * AK66,2)</f>
        <v>0</v>
      </c>
      <c r="AM66" s="38"/>
      <c r="AN66" s="38">
        <f t="shared" ref="AN66" si="699">TRUNC($M66 * AM66,2)</f>
        <v>0</v>
      </c>
      <c r="AO66" s="38"/>
      <c r="AP66" s="38">
        <f t="shared" ref="AP66" si="700">TRUNC($M66 * AO66,2)</f>
        <v>0</v>
      </c>
      <c r="AQ66" s="38"/>
      <c r="AR66" s="38">
        <f t="shared" ref="AR66" si="701">TRUNC($M66 * AQ66,2)</f>
        <v>0</v>
      </c>
      <c r="AS66" s="38"/>
      <c r="AT66" s="38">
        <f t="shared" ref="AT66" si="702">TRUNC($M66 * AS66,2)</f>
        <v>0</v>
      </c>
      <c r="AU66" s="38"/>
      <c r="AV66" s="38">
        <f t="shared" ref="AV66" si="703">TRUNC($M66 * AU66,2)</f>
        <v>0</v>
      </c>
      <c r="AW66" s="38"/>
      <c r="AX66" s="37">
        <f t="shared" ref="AX66" si="704">TRUNC($M66 * AW66,2)</f>
        <v>0</v>
      </c>
      <c r="AY66" s="36">
        <f t="shared" si="618"/>
        <v>0</v>
      </c>
      <c r="AZ66" s="38">
        <f t="shared" ref="AZ66" si="705">TRUNC($M66 * AY66,2)</f>
        <v>0</v>
      </c>
      <c r="BA66" s="38">
        <f t="shared" si="620"/>
        <v>17.399999999999999</v>
      </c>
      <c r="BB66" s="37">
        <f t="shared" ref="BB66" si="706">TRUNC($M66 * BA66,2)</f>
        <v>7526.71</v>
      </c>
    </row>
    <row r="67" spans="1:54" ht="24" customHeight="1" x14ac:dyDescent="0.25">
      <c r="A67" s="4" t="s">
        <v>150</v>
      </c>
      <c r="B67" s="4" t="s">
        <v>12</v>
      </c>
      <c r="C67" s="4"/>
      <c r="D67" s="4" t="s">
        <v>151</v>
      </c>
      <c r="E67" s="5"/>
      <c r="F67" s="14"/>
      <c r="G67" s="6"/>
      <c r="H67" s="6"/>
      <c r="I67" s="7">
        <f>SUM(I68:I76)</f>
        <v>89979</v>
      </c>
      <c r="J67" s="7"/>
      <c r="K67" s="7">
        <f>SUM(K68:K76)</f>
        <v>108259.78</v>
      </c>
      <c r="L67" s="22">
        <f>K67 / L13</f>
        <v>3.733095862068965E-2</v>
      </c>
      <c r="M67" s="25"/>
      <c r="N67" s="26">
        <f>SUM(N68:N76)</f>
        <v>79769.119999999995</v>
      </c>
      <c r="O67" s="25"/>
      <c r="P67" s="30">
        <f>SUM(P68:P76)</f>
        <v>0</v>
      </c>
      <c r="Q67" s="30"/>
      <c r="R67" s="30">
        <f>SUM(R68:R76)</f>
        <v>0</v>
      </c>
      <c r="S67" s="30"/>
      <c r="T67" s="26">
        <f>SUM(T68:T76)</f>
        <v>79769.119999999995</v>
      </c>
      <c r="U67" s="25"/>
      <c r="V67" s="30">
        <f>SUM(V68:V76)</f>
        <v>0</v>
      </c>
      <c r="W67" s="30"/>
      <c r="X67" s="30">
        <f>SUM(X68:X76)</f>
        <v>0</v>
      </c>
      <c r="Y67" s="30"/>
      <c r="Z67" s="30">
        <f>SUM(Z68:Z76)</f>
        <v>0</v>
      </c>
      <c r="AA67" s="30"/>
      <c r="AB67" s="30">
        <f>SUM(AB68:AB76)</f>
        <v>0</v>
      </c>
      <c r="AC67" s="30"/>
      <c r="AD67" s="30">
        <f>SUM(AD68:AD76)</f>
        <v>0</v>
      </c>
      <c r="AE67" s="30"/>
      <c r="AF67" s="30">
        <f>SUM(AF68:AF76)</f>
        <v>0</v>
      </c>
      <c r="AG67" s="30"/>
      <c r="AH67" s="30">
        <f>SUM(AH68:AH76)</f>
        <v>0</v>
      </c>
      <c r="AI67" s="30"/>
      <c r="AJ67" s="30">
        <f>SUM(AJ68:AJ76)</f>
        <v>0</v>
      </c>
      <c r="AK67" s="30"/>
      <c r="AL67" s="30">
        <f>SUM(AL68:AL76)</f>
        <v>0</v>
      </c>
      <c r="AM67" s="30"/>
      <c r="AN67" s="30">
        <f>SUM(AN68:AN76)</f>
        <v>0</v>
      </c>
      <c r="AO67" s="30"/>
      <c r="AP67" s="30">
        <f>SUM(AP68:AP76)</f>
        <v>0</v>
      </c>
      <c r="AQ67" s="30"/>
      <c r="AR67" s="30">
        <f>SUM(AR68:AR76)</f>
        <v>0</v>
      </c>
      <c r="AS67" s="30"/>
      <c r="AT67" s="30">
        <f>SUM(AT68:AT76)</f>
        <v>0</v>
      </c>
      <c r="AU67" s="30"/>
      <c r="AV67" s="30">
        <f>SUM(AV68:AV76)</f>
        <v>0</v>
      </c>
      <c r="AW67" s="30"/>
      <c r="AX67" s="26">
        <f>SUM(AX68:AX76)</f>
        <v>0</v>
      </c>
      <c r="AY67" s="25"/>
      <c r="AZ67" s="30">
        <f>SUM(AZ68:AZ76)</f>
        <v>0</v>
      </c>
      <c r="BA67" s="30"/>
      <c r="BB67" s="26">
        <f>SUM(BB68:BB76)</f>
        <v>79769.119999999995</v>
      </c>
    </row>
    <row r="68" spans="1:54" ht="39" customHeight="1" x14ac:dyDescent="0.25">
      <c r="A68" s="31" t="s">
        <v>152</v>
      </c>
      <c r="B68" s="31" t="s">
        <v>153</v>
      </c>
      <c r="C68" s="31" t="s">
        <v>34</v>
      </c>
      <c r="D68" s="31" t="s">
        <v>154</v>
      </c>
      <c r="E68" s="32" t="s">
        <v>26</v>
      </c>
      <c r="F68" s="33">
        <v>325.10000000000002</v>
      </c>
      <c r="G68" s="34">
        <v>132.06</v>
      </c>
      <c r="H68" s="34">
        <f t="shared" si="597"/>
        <v>121.59</v>
      </c>
      <c r="I68" s="34">
        <f t="shared" si="598"/>
        <v>39528.9</v>
      </c>
      <c r="J68" s="34">
        <f>(TRUNC(H68 * L14,2) + H68)</f>
        <v>146.32</v>
      </c>
      <c r="K68" s="34">
        <f t="shared" ref="K68:K76" si="707">TRUNC(F68 * J68,2)</f>
        <v>47568.63</v>
      </c>
      <c r="L68" s="35">
        <f>K68 / L13</f>
        <v>1.6402975862068962E-2</v>
      </c>
      <c r="M68" s="36">
        <v>116.03</v>
      </c>
      <c r="N68" s="37">
        <f t="shared" si="600"/>
        <v>37721.35</v>
      </c>
      <c r="O68" s="36"/>
      <c r="P68" s="38">
        <f t="shared" si="601"/>
        <v>0</v>
      </c>
      <c r="Q68" s="38"/>
      <c r="R68" s="38">
        <f t="shared" si="601"/>
        <v>0</v>
      </c>
      <c r="S68" s="38">
        <f t="shared" si="602"/>
        <v>325.10000000000002</v>
      </c>
      <c r="T68" s="37">
        <f t="shared" ref="T68:V68" si="708">TRUNC($M68 * S68,2)</f>
        <v>37721.35</v>
      </c>
      <c r="U68" s="36"/>
      <c r="V68" s="38">
        <f t="shared" si="708"/>
        <v>0</v>
      </c>
      <c r="W68" s="38"/>
      <c r="X68" s="38">
        <f t="shared" ref="X68" si="709">TRUNC($M68 * W68,2)</f>
        <v>0</v>
      </c>
      <c r="Y68" s="38"/>
      <c r="Z68" s="38">
        <f t="shared" ref="Z68" si="710">TRUNC($M68 * Y68,2)</f>
        <v>0</v>
      </c>
      <c r="AA68" s="38"/>
      <c r="AB68" s="38">
        <f t="shared" ref="AB68" si="711">TRUNC($M68 * AA68,2)</f>
        <v>0</v>
      </c>
      <c r="AC68" s="38"/>
      <c r="AD68" s="38">
        <f t="shared" ref="AD68" si="712">TRUNC($M68 * AC68,2)</f>
        <v>0</v>
      </c>
      <c r="AE68" s="38"/>
      <c r="AF68" s="38">
        <f t="shared" ref="AF68" si="713">TRUNC($M68 * AE68,2)</f>
        <v>0</v>
      </c>
      <c r="AG68" s="38"/>
      <c r="AH68" s="38">
        <f t="shared" ref="AH68" si="714">TRUNC($M68 * AG68,2)</f>
        <v>0</v>
      </c>
      <c r="AI68" s="38"/>
      <c r="AJ68" s="38">
        <f t="shared" ref="AJ68" si="715">TRUNC($M68 * AI68,2)</f>
        <v>0</v>
      </c>
      <c r="AK68" s="38"/>
      <c r="AL68" s="38">
        <f t="shared" ref="AL68" si="716">TRUNC($M68 * AK68,2)</f>
        <v>0</v>
      </c>
      <c r="AM68" s="38"/>
      <c r="AN68" s="38">
        <f t="shared" ref="AN68" si="717">TRUNC($M68 * AM68,2)</f>
        <v>0</v>
      </c>
      <c r="AO68" s="38"/>
      <c r="AP68" s="38">
        <f t="shared" ref="AP68" si="718">TRUNC($M68 * AO68,2)</f>
        <v>0</v>
      </c>
      <c r="AQ68" s="38"/>
      <c r="AR68" s="38">
        <f t="shared" ref="AR68" si="719">TRUNC($M68 * AQ68,2)</f>
        <v>0</v>
      </c>
      <c r="AS68" s="38"/>
      <c r="AT68" s="38">
        <f t="shared" ref="AT68" si="720">TRUNC($M68 * AS68,2)</f>
        <v>0</v>
      </c>
      <c r="AU68" s="38"/>
      <c r="AV68" s="38">
        <f t="shared" ref="AV68" si="721">TRUNC($M68 * AU68,2)</f>
        <v>0</v>
      </c>
      <c r="AW68" s="38"/>
      <c r="AX68" s="37">
        <f t="shared" ref="AX68" si="722">TRUNC($M68 * AW68,2)</f>
        <v>0</v>
      </c>
      <c r="AY68" s="36">
        <f t="shared" si="618"/>
        <v>0</v>
      </c>
      <c r="AZ68" s="38">
        <f t="shared" ref="AZ68" si="723">TRUNC($M68 * AY68,2)</f>
        <v>0</v>
      </c>
      <c r="BA68" s="38">
        <f t="shared" si="620"/>
        <v>325.10000000000002</v>
      </c>
      <c r="BB68" s="37">
        <f t="shared" ref="BB68" si="724">TRUNC($M68 * BA68,2)</f>
        <v>37721.35</v>
      </c>
    </row>
    <row r="69" spans="1:54" ht="39" customHeight="1" x14ac:dyDescent="0.25">
      <c r="A69" s="31" t="s">
        <v>155</v>
      </c>
      <c r="B69" s="31" t="s">
        <v>156</v>
      </c>
      <c r="C69" s="31" t="s">
        <v>34</v>
      </c>
      <c r="D69" s="31" t="s">
        <v>157</v>
      </c>
      <c r="E69" s="32" t="s">
        <v>76</v>
      </c>
      <c r="F69" s="33">
        <v>18.7</v>
      </c>
      <c r="G69" s="34">
        <v>13.18</v>
      </c>
      <c r="H69" s="34">
        <f t="shared" si="597"/>
        <v>12.13</v>
      </c>
      <c r="I69" s="34">
        <f t="shared" si="598"/>
        <v>226.83</v>
      </c>
      <c r="J69" s="34">
        <f>(TRUNC(H69 * L14,2) + H69)</f>
        <v>14.59</v>
      </c>
      <c r="K69" s="34">
        <f t="shared" si="707"/>
        <v>272.83</v>
      </c>
      <c r="L69" s="35">
        <f>K69 / L13</f>
        <v>9.407931034482756E-5</v>
      </c>
      <c r="M69" s="36">
        <v>10.62</v>
      </c>
      <c r="N69" s="37">
        <f t="shared" si="600"/>
        <v>198.59</v>
      </c>
      <c r="O69" s="36"/>
      <c r="P69" s="38">
        <f t="shared" si="601"/>
        <v>0</v>
      </c>
      <c r="Q69" s="38"/>
      <c r="R69" s="38">
        <f t="shared" si="601"/>
        <v>0</v>
      </c>
      <c r="S69" s="38">
        <f t="shared" si="602"/>
        <v>18.7</v>
      </c>
      <c r="T69" s="37">
        <f t="shared" ref="T69:V69" si="725">TRUNC($M69 * S69,2)</f>
        <v>198.59</v>
      </c>
      <c r="U69" s="36"/>
      <c r="V69" s="38">
        <f t="shared" si="725"/>
        <v>0</v>
      </c>
      <c r="W69" s="38"/>
      <c r="X69" s="38">
        <f t="shared" ref="X69" si="726">TRUNC($M69 * W69,2)</f>
        <v>0</v>
      </c>
      <c r="Y69" s="38"/>
      <c r="Z69" s="38">
        <f t="shared" ref="Z69" si="727">TRUNC($M69 * Y69,2)</f>
        <v>0</v>
      </c>
      <c r="AA69" s="38"/>
      <c r="AB69" s="38">
        <f t="shared" ref="AB69" si="728">TRUNC($M69 * AA69,2)</f>
        <v>0</v>
      </c>
      <c r="AC69" s="38"/>
      <c r="AD69" s="38">
        <f t="shared" ref="AD69" si="729">TRUNC($M69 * AC69,2)</f>
        <v>0</v>
      </c>
      <c r="AE69" s="38"/>
      <c r="AF69" s="38">
        <f t="shared" ref="AF69" si="730">TRUNC($M69 * AE69,2)</f>
        <v>0</v>
      </c>
      <c r="AG69" s="38"/>
      <c r="AH69" s="38">
        <f t="shared" ref="AH69" si="731">TRUNC($M69 * AG69,2)</f>
        <v>0</v>
      </c>
      <c r="AI69" s="38"/>
      <c r="AJ69" s="38">
        <f t="shared" ref="AJ69" si="732">TRUNC($M69 * AI69,2)</f>
        <v>0</v>
      </c>
      <c r="AK69" s="38"/>
      <c r="AL69" s="38">
        <f t="shared" ref="AL69" si="733">TRUNC($M69 * AK69,2)</f>
        <v>0</v>
      </c>
      <c r="AM69" s="38"/>
      <c r="AN69" s="38">
        <f t="shared" ref="AN69" si="734">TRUNC($M69 * AM69,2)</f>
        <v>0</v>
      </c>
      <c r="AO69" s="38"/>
      <c r="AP69" s="38">
        <f t="shared" ref="AP69" si="735">TRUNC($M69 * AO69,2)</f>
        <v>0</v>
      </c>
      <c r="AQ69" s="38"/>
      <c r="AR69" s="38">
        <f t="shared" ref="AR69" si="736">TRUNC($M69 * AQ69,2)</f>
        <v>0</v>
      </c>
      <c r="AS69" s="38"/>
      <c r="AT69" s="38">
        <f t="shared" ref="AT69" si="737">TRUNC($M69 * AS69,2)</f>
        <v>0</v>
      </c>
      <c r="AU69" s="38"/>
      <c r="AV69" s="38">
        <f t="shared" ref="AV69" si="738">TRUNC($M69 * AU69,2)</f>
        <v>0</v>
      </c>
      <c r="AW69" s="38"/>
      <c r="AX69" s="37">
        <f t="shared" ref="AX69" si="739">TRUNC($M69 * AW69,2)</f>
        <v>0</v>
      </c>
      <c r="AY69" s="36">
        <f t="shared" si="618"/>
        <v>0</v>
      </c>
      <c r="AZ69" s="38">
        <f t="shared" ref="AZ69" si="740">TRUNC($M69 * AY69,2)</f>
        <v>0</v>
      </c>
      <c r="BA69" s="38">
        <f t="shared" si="620"/>
        <v>18.7</v>
      </c>
      <c r="BB69" s="37">
        <f t="shared" ref="BB69" si="741">TRUNC($M69 * BA69,2)</f>
        <v>198.59</v>
      </c>
    </row>
    <row r="70" spans="1:54" ht="39" customHeight="1" x14ac:dyDescent="0.25">
      <c r="A70" s="31" t="s">
        <v>158</v>
      </c>
      <c r="B70" s="31" t="s">
        <v>159</v>
      </c>
      <c r="C70" s="31" t="s">
        <v>34</v>
      </c>
      <c r="D70" s="31" t="s">
        <v>160</v>
      </c>
      <c r="E70" s="32" t="s">
        <v>76</v>
      </c>
      <c r="F70" s="33">
        <v>518.70000000000005</v>
      </c>
      <c r="G70" s="34">
        <v>12.22</v>
      </c>
      <c r="H70" s="34">
        <f t="shared" si="597"/>
        <v>11.25</v>
      </c>
      <c r="I70" s="34">
        <f t="shared" si="598"/>
        <v>5835.37</v>
      </c>
      <c r="J70" s="34">
        <f>(TRUNC(H70 * L14,2) + H70)</f>
        <v>13.53</v>
      </c>
      <c r="K70" s="34">
        <f t="shared" si="707"/>
        <v>7018.01</v>
      </c>
      <c r="L70" s="35">
        <f>K70 / L13</f>
        <v>2.4200034482758617E-3</v>
      </c>
      <c r="M70" s="36">
        <v>9.43</v>
      </c>
      <c r="N70" s="37">
        <f t="shared" si="600"/>
        <v>4891.34</v>
      </c>
      <c r="O70" s="36"/>
      <c r="P70" s="38">
        <f t="shared" si="601"/>
        <v>0</v>
      </c>
      <c r="Q70" s="38"/>
      <c r="R70" s="38">
        <f t="shared" si="601"/>
        <v>0</v>
      </c>
      <c r="S70" s="38">
        <f t="shared" si="602"/>
        <v>518.70000000000005</v>
      </c>
      <c r="T70" s="37">
        <f t="shared" ref="T70:V70" si="742">TRUNC($M70 * S70,2)</f>
        <v>4891.34</v>
      </c>
      <c r="U70" s="36"/>
      <c r="V70" s="38">
        <f t="shared" si="742"/>
        <v>0</v>
      </c>
      <c r="W70" s="38"/>
      <c r="X70" s="38">
        <f t="shared" ref="X70" si="743">TRUNC($M70 * W70,2)</f>
        <v>0</v>
      </c>
      <c r="Y70" s="38"/>
      <c r="Z70" s="38">
        <f t="shared" ref="Z70" si="744">TRUNC($M70 * Y70,2)</f>
        <v>0</v>
      </c>
      <c r="AA70" s="38"/>
      <c r="AB70" s="38">
        <f t="shared" ref="AB70" si="745">TRUNC($M70 * AA70,2)</f>
        <v>0</v>
      </c>
      <c r="AC70" s="38"/>
      <c r="AD70" s="38">
        <f t="shared" ref="AD70" si="746">TRUNC($M70 * AC70,2)</f>
        <v>0</v>
      </c>
      <c r="AE70" s="38"/>
      <c r="AF70" s="38">
        <f t="shared" ref="AF70" si="747">TRUNC($M70 * AE70,2)</f>
        <v>0</v>
      </c>
      <c r="AG70" s="38"/>
      <c r="AH70" s="38">
        <f t="shared" ref="AH70" si="748">TRUNC($M70 * AG70,2)</f>
        <v>0</v>
      </c>
      <c r="AI70" s="38"/>
      <c r="AJ70" s="38">
        <f t="shared" ref="AJ70" si="749">TRUNC($M70 * AI70,2)</f>
        <v>0</v>
      </c>
      <c r="AK70" s="38"/>
      <c r="AL70" s="38">
        <f t="shared" ref="AL70" si="750">TRUNC($M70 * AK70,2)</f>
        <v>0</v>
      </c>
      <c r="AM70" s="38"/>
      <c r="AN70" s="38">
        <f t="shared" ref="AN70" si="751">TRUNC($M70 * AM70,2)</f>
        <v>0</v>
      </c>
      <c r="AO70" s="38"/>
      <c r="AP70" s="38">
        <f t="shared" ref="AP70" si="752">TRUNC($M70 * AO70,2)</f>
        <v>0</v>
      </c>
      <c r="AQ70" s="38"/>
      <c r="AR70" s="38">
        <f t="shared" ref="AR70" si="753">TRUNC($M70 * AQ70,2)</f>
        <v>0</v>
      </c>
      <c r="AS70" s="38"/>
      <c r="AT70" s="38">
        <f t="shared" ref="AT70" si="754">TRUNC($M70 * AS70,2)</f>
        <v>0</v>
      </c>
      <c r="AU70" s="38"/>
      <c r="AV70" s="38">
        <f t="shared" ref="AV70" si="755">TRUNC($M70 * AU70,2)</f>
        <v>0</v>
      </c>
      <c r="AW70" s="38"/>
      <c r="AX70" s="37">
        <f t="shared" ref="AX70" si="756">TRUNC($M70 * AW70,2)</f>
        <v>0</v>
      </c>
      <c r="AY70" s="36">
        <f t="shared" si="618"/>
        <v>0</v>
      </c>
      <c r="AZ70" s="38">
        <f t="shared" ref="AZ70" si="757">TRUNC($M70 * AY70,2)</f>
        <v>0</v>
      </c>
      <c r="BA70" s="38">
        <f t="shared" si="620"/>
        <v>518.70000000000005</v>
      </c>
      <c r="BB70" s="37">
        <f t="shared" ref="BB70" si="758">TRUNC($M70 * BA70,2)</f>
        <v>4891.34</v>
      </c>
    </row>
    <row r="71" spans="1:54" ht="39" customHeight="1" x14ac:dyDescent="0.25">
      <c r="A71" s="31" t="s">
        <v>161</v>
      </c>
      <c r="B71" s="31" t="s">
        <v>136</v>
      </c>
      <c r="C71" s="31" t="s">
        <v>34</v>
      </c>
      <c r="D71" s="31" t="s">
        <v>137</v>
      </c>
      <c r="E71" s="32" t="s">
        <v>76</v>
      </c>
      <c r="F71" s="33">
        <v>668.5</v>
      </c>
      <c r="G71" s="34">
        <v>10.8</v>
      </c>
      <c r="H71" s="34">
        <f t="shared" si="597"/>
        <v>9.94</v>
      </c>
      <c r="I71" s="34">
        <f t="shared" si="598"/>
        <v>6644.89</v>
      </c>
      <c r="J71" s="34">
        <f>(TRUNC(H71 * L14,2) + H71)</f>
        <v>11.959999999999999</v>
      </c>
      <c r="K71" s="34">
        <f t="shared" si="707"/>
        <v>7995.26</v>
      </c>
      <c r="L71" s="35">
        <f>K71 / L13</f>
        <v>2.7569862068965514E-3</v>
      </c>
      <c r="M71" s="36">
        <v>8.1999999999999993</v>
      </c>
      <c r="N71" s="37">
        <f t="shared" si="600"/>
        <v>5481.7</v>
      </c>
      <c r="O71" s="36"/>
      <c r="P71" s="38">
        <f t="shared" si="601"/>
        <v>0</v>
      </c>
      <c r="Q71" s="38"/>
      <c r="R71" s="38">
        <f t="shared" si="601"/>
        <v>0</v>
      </c>
      <c r="S71" s="38">
        <f t="shared" si="602"/>
        <v>668.5</v>
      </c>
      <c r="T71" s="37">
        <f t="shared" ref="T71:V71" si="759">TRUNC($M71 * S71,2)</f>
        <v>5481.7</v>
      </c>
      <c r="U71" s="36"/>
      <c r="V71" s="38">
        <f t="shared" si="759"/>
        <v>0</v>
      </c>
      <c r="W71" s="38"/>
      <c r="X71" s="38">
        <f t="shared" ref="X71" si="760">TRUNC($M71 * W71,2)</f>
        <v>0</v>
      </c>
      <c r="Y71" s="38"/>
      <c r="Z71" s="38">
        <f t="shared" ref="Z71" si="761">TRUNC($M71 * Y71,2)</f>
        <v>0</v>
      </c>
      <c r="AA71" s="38"/>
      <c r="AB71" s="38">
        <f t="shared" ref="AB71" si="762">TRUNC($M71 * AA71,2)</f>
        <v>0</v>
      </c>
      <c r="AC71" s="38"/>
      <c r="AD71" s="38">
        <f t="shared" ref="AD71" si="763">TRUNC($M71 * AC71,2)</f>
        <v>0</v>
      </c>
      <c r="AE71" s="38"/>
      <c r="AF71" s="38">
        <f t="shared" ref="AF71" si="764">TRUNC($M71 * AE71,2)</f>
        <v>0</v>
      </c>
      <c r="AG71" s="38"/>
      <c r="AH71" s="38">
        <f t="shared" ref="AH71" si="765">TRUNC($M71 * AG71,2)</f>
        <v>0</v>
      </c>
      <c r="AI71" s="38"/>
      <c r="AJ71" s="38">
        <f t="shared" ref="AJ71" si="766">TRUNC($M71 * AI71,2)</f>
        <v>0</v>
      </c>
      <c r="AK71" s="38"/>
      <c r="AL71" s="38">
        <f t="shared" ref="AL71" si="767">TRUNC($M71 * AK71,2)</f>
        <v>0</v>
      </c>
      <c r="AM71" s="38"/>
      <c r="AN71" s="38">
        <f t="shared" ref="AN71" si="768">TRUNC($M71 * AM71,2)</f>
        <v>0</v>
      </c>
      <c r="AO71" s="38"/>
      <c r="AP71" s="38">
        <f t="shared" ref="AP71" si="769">TRUNC($M71 * AO71,2)</f>
        <v>0</v>
      </c>
      <c r="AQ71" s="38"/>
      <c r="AR71" s="38">
        <f t="shared" ref="AR71" si="770">TRUNC($M71 * AQ71,2)</f>
        <v>0</v>
      </c>
      <c r="AS71" s="38"/>
      <c r="AT71" s="38">
        <f t="shared" ref="AT71" si="771">TRUNC($M71 * AS71,2)</f>
        <v>0</v>
      </c>
      <c r="AU71" s="38"/>
      <c r="AV71" s="38">
        <f t="shared" ref="AV71" si="772">TRUNC($M71 * AU71,2)</f>
        <v>0</v>
      </c>
      <c r="AW71" s="38"/>
      <c r="AX71" s="37">
        <f t="shared" ref="AX71" si="773">TRUNC($M71 * AW71,2)</f>
        <v>0</v>
      </c>
      <c r="AY71" s="36">
        <f t="shared" si="618"/>
        <v>0</v>
      </c>
      <c r="AZ71" s="38">
        <f t="shared" ref="AZ71" si="774">TRUNC($M71 * AY71,2)</f>
        <v>0</v>
      </c>
      <c r="BA71" s="38">
        <f t="shared" si="620"/>
        <v>668.5</v>
      </c>
      <c r="BB71" s="37">
        <f t="shared" ref="BB71" si="775">TRUNC($M71 * BA71,2)</f>
        <v>5481.7</v>
      </c>
    </row>
    <row r="72" spans="1:54" ht="39" customHeight="1" x14ac:dyDescent="0.25">
      <c r="A72" s="31" t="s">
        <v>162</v>
      </c>
      <c r="B72" s="31" t="s">
        <v>139</v>
      </c>
      <c r="C72" s="31" t="s">
        <v>34</v>
      </c>
      <c r="D72" s="31" t="s">
        <v>140</v>
      </c>
      <c r="E72" s="32" t="s">
        <v>76</v>
      </c>
      <c r="F72" s="33">
        <v>766</v>
      </c>
      <c r="G72" s="34">
        <v>9.02</v>
      </c>
      <c r="H72" s="34">
        <f t="shared" si="597"/>
        <v>8.3000000000000007</v>
      </c>
      <c r="I72" s="34">
        <f t="shared" si="598"/>
        <v>6357.8</v>
      </c>
      <c r="J72" s="34">
        <f>(TRUNC(H72 * L14,2) + H72)</f>
        <v>9.98</v>
      </c>
      <c r="K72" s="34">
        <f t="shared" si="707"/>
        <v>7644.68</v>
      </c>
      <c r="L72" s="35">
        <f>K72 / L13</f>
        <v>2.6360965517241374E-3</v>
      </c>
      <c r="M72" s="36">
        <v>6.72</v>
      </c>
      <c r="N72" s="37">
        <f t="shared" si="600"/>
        <v>5147.5200000000004</v>
      </c>
      <c r="O72" s="36"/>
      <c r="P72" s="38">
        <f t="shared" si="601"/>
        <v>0</v>
      </c>
      <c r="Q72" s="38"/>
      <c r="R72" s="38">
        <f t="shared" si="601"/>
        <v>0</v>
      </c>
      <c r="S72" s="38">
        <f t="shared" si="602"/>
        <v>766</v>
      </c>
      <c r="T72" s="37">
        <f t="shared" ref="T72:V72" si="776">TRUNC($M72 * S72,2)</f>
        <v>5147.5200000000004</v>
      </c>
      <c r="U72" s="36"/>
      <c r="V72" s="38">
        <f t="shared" si="776"/>
        <v>0</v>
      </c>
      <c r="W72" s="38"/>
      <c r="X72" s="38">
        <f t="shared" ref="X72" si="777">TRUNC($M72 * W72,2)</f>
        <v>0</v>
      </c>
      <c r="Y72" s="38"/>
      <c r="Z72" s="38">
        <f t="shared" ref="Z72" si="778">TRUNC($M72 * Y72,2)</f>
        <v>0</v>
      </c>
      <c r="AA72" s="38"/>
      <c r="AB72" s="38">
        <f t="shared" ref="AB72" si="779">TRUNC($M72 * AA72,2)</f>
        <v>0</v>
      </c>
      <c r="AC72" s="38"/>
      <c r="AD72" s="38">
        <f t="shared" ref="AD72" si="780">TRUNC($M72 * AC72,2)</f>
        <v>0</v>
      </c>
      <c r="AE72" s="38"/>
      <c r="AF72" s="38">
        <f t="shared" ref="AF72" si="781">TRUNC($M72 * AE72,2)</f>
        <v>0</v>
      </c>
      <c r="AG72" s="38"/>
      <c r="AH72" s="38">
        <f t="shared" ref="AH72" si="782">TRUNC($M72 * AG72,2)</f>
        <v>0</v>
      </c>
      <c r="AI72" s="38"/>
      <c r="AJ72" s="38">
        <f t="shared" ref="AJ72" si="783">TRUNC($M72 * AI72,2)</f>
        <v>0</v>
      </c>
      <c r="AK72" s="38"/>
      <c r="AL72" s="38">
        <f t="shared" ref="AL72" si="784">TRUNC($M72 * AK72,2)</f>
        <v>0</v>
      </c>
      <c r="AM72" s="38"/>
      <c r="AN72" s="38">
        <f t="shared" ref="AN72" si="785">TRUNC($M72 * AM72,2)</f>
        <v>0</v>
      </c>
      <c r="AO72" s="38"/>
      <c r="AP72" s="38">
        <f t="shared" ref="AP72" si="786">TRUNC($M72 * AO72,2)</f>
        <v>0</v>
      </c>
      <c r="AQ72" s="38"/>
      <c r="AR72" s="38">
        <f t="shared" ref="AR72" si="787">TRUNC($M72 * AQ72,2)</f>
        <v>0</v>
      </c>
      <c r="AS72" s="38"/>
      <c r="AT72" s="38">
        <f t="shared" ref="AT72" si="788">TRUNC($M72 * AS72,2)</f>
        <v>0</v>
      </c>
      <c r="AU72" s="38"/>
      <c r="AV72" s="38">
        <f t="shared" ref="AV72" si="789">TRUNC($M72 * AU72,2)</f>
        <v>0</v>
      </c>
      <c r="AW72" s="38"/>
      <c r="AX72" s="37">
        <f t="shared" ref="AX72" si="790">TRUNC($M72 * AW72,2)</f>
        <v>0</v>
      </c>
      <c r="AY72" s="36">
        <f t="shared" si="618"/>
        <v>0</v>
      </c>
      <c r="AZ72" s="38">
        <f t="shared" ref="AZ72" si="791">TRUNC($M72 * AY72,2)</f>
        <v>0</v>
      </c>
      <c r="BA72" s="38">
        <f t="shared" si="620"/>
        <v>766</v>
      </c>
      <c r="BB72" s="37">
        <f t="shared" ref="BB72" si="792">TRUNC($M72 * BA72,2)</f>
        <v>5147.5200000000004</v>
      </c>
    </row>
    <row r="73" spans="1:54" ht="39" customHeight="1" x14ac:dyDescent="0.25">
      <c r="A73" s="31" t="s">
        <v>163</v>
      </c>
      <c r="B73" s="31" t="s">
        <v>142</v>
      </c>
      <c r="C73" s="31" t="s">
        <v>34</v>
      </c>
      <c r="D73" s="31" t="s">
        <v>143</v>
      </c>
      <c r="E73" s="32" t="s">
        <v>76</v>
      </c>
      <c r="F73" s="33">
        <v>501.2</v>
      </c>
      <c r="G73" s="34">
        <v>8.69</v>
      </c>
      <c r="H73" s="34">
        <f t="shared" si="597"/>
        <v>8</v>
      </c>
      <c r="I73" s="34">
        <f t="shared" si="598"/>
        <v>4009.6</v>
      </c>
      <c r="J73" s="34">
        <f>(TRUNC(H73 * L14,2) + H73)</f>
        <v>9.620000000000001</v>
      </c>
      <c r="K73" s="34">
        <f t="shared" si="707"/>
        <v>4821.54</v>
      </c>
      <c r="L73" s="35">
        <f>K73 / L13</f>
        <v>1.6625999999999998E-3</v>
      </c>
      <c r="M73" s="36">
        <v>6.36</v>
      </c>
      <c r="N73" s="37">
        <f t="shared" si="600"/>
        <v>3187.63</v>
      </c>
      <c r="O73" s="36"/>
      <c r="P73" s="38">
        <f t="shared" si="601"/>
        <v>0</v>
      </c>
      <c r="Q73" s="38"/>
      <c r="R73" s="38">
        <f t="shared" si="601"/>
        <v>0</v>
      </c>
      <c r="S73" s="38">
        <f t="shared" si="602"/>
        <v>501.2</v>
      </c>
      <c r="T73" s="37">
        <f t="shared" ref="T73:V73" si="793">TRUNC($M73 * S73,2)</f>
        <v>3187.63</v>
      </c>
      <c r="U73" s="36"/>
      <c r="V73" s="38">
        <f t="shared" si="793"/>
        <v>0</v>
      </c>
      <c r="W73" s="38"/>
      <c r="X73" s="38">
        <f t="shared" ref="X73" si="794">TRUNC($M73 * W73,2)</f>
        <v>0</v>
      </c>
      <c r="Y73" s="38"/>
      <c r="Z73" s="38">
        <f t="shared" ref="Z73" si="795">TRUNC($M73 * Y73,2)</f>
        <v>0</v>
      </c>
      <c r="AA73" s="38"/>
      <c r="AB73" s="38">
        <f t="shared" ref="AB73" si="796">TRUNC($M73 * AA73,2)</f>
        <v>0</v>
      </c>
      <c r="AC73" s="38"/>
      <c r="AD73" s="38">
        <f t="shared" ref="AD73" si="797">TRUNC($M73 * AC73,2)</f>
        <v>0</v>
      </c>
      <c r="AE73" s="38"/>
      <c r="AF73" s="38">
        <f t="shared" ref="AF73" si="798">TRUNC($M73 * AE73,2)</f>
        <v>0</v>
      </c>
      <c r="AG73" s="38"/>
      <c r="AH73" s="38">
        <f t="shared" ref="AH73" si="799">TRUNC($M73 * AG73,2)</f>
        <v>0</v>
      </c>
      <c r="AI73" s="38"/>
      <c r="AJ73" s="38">
        <f t="shared" ref="AJ73" si="800">TRUNC($M73 * AI73,2)</f>
        <v>0</v>
      </c>
      <c r="AK73" s="38"/>
      <c r="AL73" s="38">
        <f t="shared" ref="AL73" si="801">TRUNC($M73 * AK73,2)</f>
        <v>0</v>
      </c>
      <c r="AM73" s="38"/>
      <c r="AN73" s="38">
        <f t="shared" ref="AN73" si="802">TRUNC($M73 * AM73,2)</f>
        <v>0</v>
      </c>
      <c r="AO73" s="38"/>
      <c r="AP73" s="38">
        <f t="shared" ref="AP73" si="803">TRUNC($M73 * AO73,2)</f>
        <v>0</v>
      </c>
      <c r="AQ73" s="38"/>
      <c r="AR73" s="38">
        <f t="shared" ref="AR73" si="804">TRUNC($M73 * AQ73,2)</f>
        <v>0</v>
      </c>
      <c r="AS73" s="38"/>
      <c r="AT73" s="38">
        <f t="shared" ref="AT73" si="805">TRUNC($M73 * AS73,2)</f>
        <v>0</v>
      </c>
      <c r="AU73" s="38"/>
      <c r="AV73" s="38">
        <f t="shared" ref="AV73" si="806">TRUNC($M73 * AU73,2)</f>
        <v>0</v>
      </c>
      <c r="AW73" s="38"/>
      <c r="AX73" s="37">
        <f t="shared" ref="AX73" si="807">TRUNC($M73 * AW73,2)</f>
        <v>0</v>
      </c>
      <c r="AY73" s="36">
        <f t="shared" si="618"/>
        <v>0</v>
      </c>
      <c r="AZ73" s="38">
        <f t="shared" ref="AZ73" si="808">TRUNC($M73 * AY73,2)</f>
        <v>0</v>
      </c>
      <c r="BA73" s="38">
        <f t="shared" si="620"/>
        <v>501.2</v>
      </c>
      <c r="BB73" s="37">
        <f t="shared" ref="BB73" si="809">TRUNC($M73 * BA73,2)</f>
        <v>3187.63</v>
      </c>
    </row>
    <row r="74" spans="1:54" ht="39" customHeight="1" x14ac:dyDescent="0.25">
      <c r="A74" s="31" t="s">
        <v>164</v>
      </c>
      <c r="B74" s="31" t="s">
        <v>165</v>
      </c>
      <c r="C74" s="31" t="s">
        <v>34</v>
      </c>
      <c r="D74" s="31" t="s">
        <v>166</v>
      </c>
      <c r="E74" s="32" t="s">
        <v>76</v>
      </c>
      <c r="F74" s="33">
        <v>93.4</v>
      </c>
      <c r="G74" s="34">
        <v>9.84</v>
      </c>
      <c r="H74" s="34">
        <f t="shared" si="597"/>
        <v>9.06</v>
      </c>
      <c r="I74" s="34">
        <f t="shared" si="598"/>
        <v>846.2</v>
      </c>
      <c r="J74" s="34">
        <f>(TRUNC(H74 * L14,2) + H74)</f>
        <v>10.9</v>
      </c>
      <c r="K74" s="34">
        <f t="shared" si="707"/>
        <v>1018.06</v>
      </c>
      <c r="L74" s="35">
        <f>K74 / L13</f>
        <v>3.5105517241379301E-4</v>
      </c>
      <c r="M74" s="36">
        <v>7.12</v>
      </c>
      <c r="N74" s="37">
        <f t="shared" si="600"/>
        <v>665</v>
      </c>
      <c r="O74" s="36"/>
      <c r="P74" s="38">
        <f t="shared" si="601"/>
        <v>0</v>
      </c>
      <c r="Q74" s="38"/>
      <c r="R74" s="38">
        <f t="shared" si="601"/>
        <v>0</v>
      </c>
      <c r="S74" s="38">
        <f t="shared" si="602"/>
        <v>93.4</v>
      </c>
      <c r="T74" s="37">
        <f t="shared" ref="T74:V74" si="810">TRUNC($M74 * S74,2)</f>
        <v>665</v>
      </c>
      <c r="U74" s="36"/>
      <c r="V74" s="38">
        <f t="shared" si="810"/>
        <v>0</v>
      </c>
      <c r="W74" s="38"/>
      <c r="X74" s="38">
        <f t="shared" ref="X74" si="811">TRUNC($M74 * W74,2)</f>
        <v>0</v>
      </c>
      <c r="Y74" s="38"/>
      <c r="Z74" s="38">
        <f t="shared" ref="Z74" si="812">TRUNC($M74 * Y74,2)</f>
        <v>0</v>
      </c>
      <c r="AA74" s="38"/>
      <c r="AB74" s="38">
        <f t="shared" ref="AB74" si="813">TRUNC($M74 * AA74,2)</f>
        <v>0</v>
      </c>
      <c r="AC74" s="38"/>
      <c r="AD74" s="38">
        <f t="shared" ref="AD74" si="814">TRUNC($M74 * AC74,2)</f>
        <v>0</v>
      </c>
      <c r="AE74" s="38"/>
      <c r="AF74" s="38">
        <f t="shared" ref="AF74" si="815">TRUNC($M74 * AE74,2)</f>
        <v>0</v>
      </c>
      <c r="AG74" s="38"/>
      <c r="AH74" s="38">
        <f t="shared" ref="AH74" si="816">TRUNC($M74 * AG74,2)</f>
        <v>0</v>
      </c>
      <c r="AI74" s="38"/>
      <c r="AJ74" s="38">
        <f t="shared" ref="AJ74" si="817">TRUNC($M74 * AI74,2)</f>
        <v>0</v>
      </c>
      <c r="AK74" s="38"/>
      <c r="AL74" s="38">
        <f t="shared" ref="AL74" si="818">TRUNC($M74 * AK74,2)</f>
        <v>0</v>
      </c>
      <c r="AM74" s="38"/>
      <c r="AN74" s="38">
        <f t="shared" ref="AN74" si="819">TRUNC($M74 * AM74,2)</f>
        <v>0</v>
      </c>
      <c r="AO74" s="38"/>
      <c r="AP74" s="38">
        <f t="shared" ref="AP74" si="820">TRUNC($M74 * AO74,2)</f>
        <v>0</v>
      </c>
      <c r="AQ74" s="38"/>
      <c r="AR74" s="38">
        <f t="shared" ref="AR74" si="821">TRUNC($M74 * AQ74,2)</f>
        <v>0</v>
      </c>
      <c r="AS74" s="38"/>
      <c r="AT74" s="38">
        <f t="shared" ref="AT74" si="822">TRUNC($M74 * AS74,2)</f>
        <v>0</v>
      </c>
      <c r="AU74" s="38"/>
      <c r="AV74" s="38">
        <f t="shared" ref="AV74" si="823">TRUNC($M74 * AU74,2)</f>
        <v>0</v>
      </c>
      <c r="AW74" s="38"/>
      <c r="AX74" s="37">
        <f t="shared" ref="AX74" si="824">TRUNC($M74 * AW74,2)</f>
        <v>0</v>
      </c>
      <c r="AY74" s="36">
        <f t="shared" si="618"/>
        <v>0</v>
      </c>
      <c r="AZ74" s="38">
        <f t="shared" ref="AZ74" si="825">TRUNC($M74 * AY74,2)</f>
        <v>0</v>
      </c>
      <c r="BA74" s="38">
        <f t="shared" si="620"/>
        <v>93.4</v>
      </c>
      <c r="BB74" s="37">
        <f t="shared" ref="BB74" si="826">TRUNC($M74 * BA74,2)</f>
        <v>665</v>
      </c>
    </row>
    <row r="75" spans="1:54" ht="39" customHeight="1" x14ac:dyDescent="0.25">
      <c r="A75" s="31" t="s">
        <v>167</v>
      </c>
      <c r="B75" s="31" t="s">
        <v>145</v>
      </c>
      <c r="C75" s="31" t="s">
        <v>34</v>
      </c>
      <c r="D75" s="31" t="s">
        <v>146</v>
      </c>
      <c r="E75" s="32" t="s">
        <v>76</v>
      </c>
      <c r="F75" s="33">
        <v>519.20000000000005</v>
      </c>
      <c r="G75" s="34">
        <v>14.26</v>
      </c>
      <c r="H75" s="34">
        <f t="shared" si="597"/>
        <v>13.12</v>
      </c>
      <c r="I75" s="34">
        <f t="shared" si="598"/>
        <v>6811.9</v>
      </c>
      <c r="J75" s="34">
        <f>(TRUNC(H75 * L14,2) + H75)</f>
        <v>15.78</v>
      </c>
      <c r="K75" s="34">
        <f t="shared" si="707"/>
        <v>8192.9699999999993</v>
      </c>
      <c r="L75" s="35">
        <f>K75 / L13</f>
        <v>2.8251620689655164E-3</v>
      </c>
      <c r="M75" s="36">
        <v>12</v>
      </c>
      <c r="N75" s="37">
        <f t="shared" si="600"/>
        <v>6230.4</v>
      </c>
      <c r="O75" s="36"/>
      <c r="P75" s="38">
        <f t="shared" si="601"/>
        <v>0</v>
      </c>
      <c r="Q75" s="38"/>
      <c r="R75" s="38">
        <f t="shared" si="601"/>
        <v>0</v>
      </c>
      <c r="S75" s="38">
        <f t="shared" si="602"/>
        <v>519.20000000000005</v>
      </c>
      <c r="T75" s="37">
        <f t="shared" ref="T75:V75" si="827">TRUNC($M75 * S75,2)</f>
        <v>6230.4</v>
      </c>
      <c r="U75" s="36"/>
      <c r="V75" s="38">
        <f t="shared" si="827"/>
        <v>0</v>
      </c>
      <c r="W75" s="38"/>
      <c r="X75" s="38">
        <f t="shared" ref="X75" si="828">TRUNC($M75 * W75,2)</f>
        <v>0</v>
      </c>
      <c r="Y75" s="38"/>
      <c r="Z75" s="38">
        <f t="shared" ref="Z75" si="829">TRUNC($M75 * Y75,2)</f>
        <v>0</v>
      </c>
      <c r="AA75" s="38"/>
      <c r="AB75" s="38">
        <f t="shared" ref="AB75" si="830">TRUNC($M75 * AA75,2)</f>
        <v>0</v>
      </c>
      <c r="AC75" s="38"/>
      <c r="AD75" s="38">
        <f t="shared" ref="AD75" si="831">TRUNC($M75 * AC75,2)</f>
        <v>0</v>
      </c>
      <c r="AE75" s="38"/>
      <c r="AF75" s="38">
        <f t="shared" ref="AF75" si="832">TRUNC($M75 * AE75,2)</f>
        <v>0</v>
      </c>
      <c r="AG75" s="38"/>
      <c r="AH75" s="38">
        <f t="shared" ref="AH75" si="833">TRUNC($M75 * AG75,2)</f>
        <v>0</v>
      </c>
      <c r="AI75" s="38"/>
      <c r="AJ75" s="38">
        <f t="shared" ref="AJ75" si="834">TRUNC($M75 * AI75,2)</f>
        <v>0</v>
      </c>
      <c r="AK75" s="38"/>
      <c r="AL75" s="38">
        <f t="shared" ref="AL75" si="835">TRUNC($M75 * AK75,2)</f>
        <v>0</v>
      </c>
      <c r="AM75" s="38"/>
      <c r="AN75" s="38">
        <f t="shared" ref="AN75" si="836">TRUNC($M75 * AM75,2)</f>
        <v>0</v>
      </c>
      <c r="AO75" s="38"/>
      <c r="AP75" s="38">
        <f t="shared" ref="AP75" si="837">TRUNC($M75 * AO75,2)</f>
        <v>0</v>
      </c>
      <c r="AQ75" s="38"/>
      <c r="AR75" s="38">
        <f t="shared" ref="AR75" si="838">TRUNC($M75 * AQ75,2)</f>
        <v>0</v>
      </c>
      <c r="AS75" s="38"/>
      <c r="AT75" s="38">
        <f t="shared" ref="AT75" si="839">TRUNC($M75 * AS75,2)</f>
        <v>0</v>
      </c>
      <c r="AU75" s="38"/>
      <c r="AV75" s="38">
        <f t="shared" ref="AV75" si="840">TRUNC($M75 * AU75,2)</f>
        <v>0</v>
      </c>
      <c r="AW75" s="38"/>
      <c r="AX75" s="37">
        <f t="shared" ref="AX75" si="841">TRUNC($M75 * AW75,2)</f>
        <v>0</v>
      </c>
      <c r="AY75" s="36">
        <f t="shared" si="618"/>
        <v>0</v>
      </c>
      <c r="AZ75" s="38">
        <f t="shared" ref="AZ75" si="842">TRUNC($M75 * AY75,2)</f>
        <v>0</v>
      </c>
      <c r="BA75" s="38">
        <f t="shared" si="620"/>
        <v>519.20000000000005</v>
      </c>
      <c r="BB75" s="37">
        <f t="shared" ref="BB75" si="843">TRUNC($M75 * BA75,2)</f>
        <v>6230.4</v>
      </c>
    </row>
    <row r="76" spans="1:54" ht="39" customHeight="1" x14ac:dyDescent="0.25">
      <c r="A76" s="31" t="s">
        <v>168</v>
      </c>
      <c r="B76" s="31" t="s">
        <v>169</v>
      </c>
      <c r="C76" s="31" t="s">
        <v>42</v>
      </c>
      <c r="D76" s="31" t="s">
        <v>170</v>
      </c>
      <c r="E76" s="32" t="s">
        <v>171</v>
      </c>
      <c r="F76" s="33">
        <v>36.9</v>
      </c>
      <c r="G76" s="34">
        <v>580.35</v>
      </c>
      <c r="H76" s="34">
        <f t="shared" si="597"/>
        <v>534.35</v>
      </c>
      <c r="I76" s="34">
        <f t="shared" si="598"/>
        <v>19717.509999999998</v>
      </c>
      <c r="J76" s="34">
        <f>(TRUNC(H76 * L14,2) + H76)</f>
        <v>643.03</v>
      </c>
      <c r="K76" s="34">
        <f t="shared" si="707"/>
        <v>23727.8</v>
      </c>
      <c r="L76" s="35">
        <f>K76 / L13</f>
        <v>8.1819999999999983E-3</v>
      </c>
      <c r="M76" s="36">
        <v>440.26</v>
      </c>
      <c r="N76" s="37">
        <f t="shared" si="600"/>
        <v>16245.59</v>
      </c>
      <c r="O76" s="36"/>
      <c r="P76" s="38">
        <f t="shared" si="601"/>
        <v>0</v>
      </c>
      <c r="Q76" s="38"/>
      <c r="R76" s="38">
        <f t="shared" si="601"/>
        <v>0</v>
      </c>
      <c r="S76" s="38">
        <f t="shared" si="602"/>
        <v>36.9</v>
      </c>
      <c r="T76" s="37">
        <f t="shared" ref="T76:V76" si="844">TRUNC($M76 * S76,2)</f>
        <v>16245.59</v>
      </c>
      <c r="U76" s="36"/>
      <c r="V76" s="38">
        <f t="shared" si="844"/>
        <v>0</v>
      </c>
      <c r="W76" s="38"/>
      <c r="X76" s="38">
        <f t="shared" ref="X76" si="845">TRUNC($M76 * W76,2)</f>
        <v>0</v>
      </c>
      <c r="Y76" s="38"/>
      <c r="Z76" s="38">
        <f t="shared" ref="Z76" si="846">TRUNC($M76 * Y76,2)</f>
        <v>0</v>
      </c>
      <c r="AA76" s="38"/>
      <c r="AB76" s="38">
        <f t="shared" ref="AB76" si="847">TRUNC($M76 * AA76,2)</f>
        <v>0</v>
      </c>
      <c r="AC76" s="38"/>
      <c r="AD76" s="38">
        <f t="shared" ref="AD76" si="848">TRUNC($M76 * AC76,2)</f>
        <v>0</v>
      </c>
      <c r="AE76" s="38"/>
      <c r="AF76" s="38">
        <f t="shared" ref="AF76" si="849">TRUNC($M76 * AE76,2)</f>
        <v>0</v>
      </c>
      <c r="AG76" s="38"/>
      <c r="AH76" s="38">
        <f t="shared" ref="AH76" si="850">TRUNC($M76 * AG76,2)</f>
        <v>0</v>
      </c>
      <c r="AI76" s="38"/>
      <c r="AJ76" s="38">
        <f t="shared" ref="AJ76" si="851">TRUNC($M76 * AI76,2)</f>
        <v>0</v>
      </c>
      <c r="AK76" s="38"/>
      <c r="AL76" s="38">
        <f t="shared" ref="AL76" si="852">TRUNC($M76 * AK76,2)</f>
        <v>0</v>
      </c>
      <c r="AM76" s="38"/>
      <c r="AN76" s="38">
        <f t="shared" ref="AN76" si="853">TRUNC($M76 * AM76,2)</f>
        <v>0</v>
      </c>
      <c r="AO76" s="38"/>
      <c r="AP76" s="38">
        <f t="shared" ref="AP76" si="854">TRUNC($M76 * AO76,2)</f>
        <v>0</v>
      </c>
      <c r="AQ76" s="38"/>
      <c r="AR76" s="38">
        <f t="shared" ref="AR76" si="855">TRUNC($M76 * AQ76,2)</f>
        <v>0</v>
      </c>
      <c r="AS76" s="38"/>
      <c r="AT76" s="38">
        <f t="shared" ref="AT76" si="856">TRUNC($M76 * AS76,2)</f>
        <v>0</v>
      </c>
      <c r="AU76" s="38"/>
      <c r="AV76" s="38">
        <f t="shared" ref="AV76" si="857">TRUNC($M76 * AU76,2)</f>
        <v>0</v>
      </c>
      <c r="AW76" s="38"/>
      <c r="AX76" s="37">
        <f t="shared" ref="AX76" si="858">TRUNC($M76 * AW76,2)</f>
        <v>0</v>
      </c>
      <c r="AY76" s="36">
        <f t="shared" si="618"/>
        <v>0</v>
      </c>
      <c r="AZ76" s="38">
        <f t="shared" ref="AZ76" si="859">TRUNC($M76 * AY76,2)</f>
        <v>0</v>
      </c>
      <c r="BA76" s="38">
        <f t="shared" si="620"/>
        <v>36.9</v>
      </c>
      <c r="BB76" s="37">
        <f t="shared" ref="BB76" si="860">TRUNC($M76 * BA76,2)</f>
        <v>16245.59</v>
      </c>
    </row>
    <row r="77" spans="1:54" ht="24" customHeight="1" x14ac:dyDescent="0.25">
      <c r="A77" s="4" t="s">
        <v>172</v>
      </c>
      <c r="B77" s="4" t="s">
        <v>12</v>
      </c>
      <c r="C77" s="4"/>
      <c r="D77" s="4" t="s">
        <v>173</v>
      </c>
      <c r="E77" s="5"/>
      <c r="F77" s="14"/>
      <c r="G77" s="6"/>
      <c r="H77" s="6"/>
      <c r="I77" s="7">
        <f>SUM(I78:I86)</f>
        <v>88529.68</v>
      </c>
      <c r="J77" s="7"/>
      <c r="K77" s="7">
        <f>SUM(K78:K86)</f>
        <v>106527.23999999999</v>
      </c>
      <c r="L77" s="22">
        <f>K77 / L13</f>
        <v>3.673353103448275E-2</v>
      </c>
      <c r="M77" s="25"/>
      <c r="N77" s="26">
        <f>SUM(N78:N86)</f>
        <v>82347.039999999994</v>
      </c>
      <c r="O77" s="25"/>
      <c r="P77" s="30">
        <f>SUM(P78:P86)</f>
        <v>0</v>
      </c>
      <c r="Q77" s="30"/>
      <c r="R77" s="30">
        <f>SUM(R78:R86)</f>
        <v>0</v>
      </c>
      <c r="S77" s="30"/>
      <c r="T77" s="26">
        <f>SUM(T78:T86)</f>
        <v>82347.039999999994</v>
      </c>
      <c r="U77" s="25"/>
      <c r="V77" s="30">
        <f>SUM(V78:V86)</f>
        <v>0</v>
      </c>
      <c r="W77" s="30"/>
      <c r="X77" s="30">
        <f>SUM(X78:X86)</f>
        <v>0</v>
      </c>
      <c r="Y77" s="30"/>
      <c r="Z77" s="30">
        <f>SUM(Z78:Z86)</f>
        <v>0</v>
      </c>
      <c r="AA77" s="30"/>
      <c r="AB77" s="30">
        <f>SUM(AB78:AB86)</f>
        <v>0</v>
      </c>
      <c r="AC77" s="30"/>
      <c r="AD77" s="30">
        <f>SUM(AD78:AD86)</f>
        <v>0</v>
      </c>
      <c r="AE77" s="30"/>
      <c r="AF77" s="30">
        <f>SUM(AF78:AF86)</f>
        <v>0</v>
      </c>
      <c r="AG77" s="30"/>
      <c r="AH77" s="30">
        <f>SUM(AH78:AH86)</f>
        <v>0</v>
      </c>
      <c r="AI77" s="30"/>
      <c r="AJ77" s="30">
        <f>SUM(AJ78:AJ86)</f>
        <v>0</v>
      </c>
      <c r="AK77" s="30"/>
      <c r="AL77" s="30">
        <f>SUM(AL78:AL86)</f>
        <v>0</v>
      </c>
      <c r="AM77" s="30"/>
      <c r="AN77" s="30">
        <f>SUM(AN78:AN86)</f>
        <v>0</v>
      </c>
      <c r="AO77" s="30"/>
      <c r="AP77" s="30">
        <f>SUM(AP78:AP86)</f>
        <v>0</v>
      </c>
      <c r="AQ77" s="30"/>
      <c r="AR77" s="30">
        <f>SUM(AR78:AR86)</f>
        <v>0</v>
      </c>
      <c r="AS77" s="30"/>
      <c r="AT77" s="30">
        <f>SUM(AT78:AT86)</f>
        <v>0</v>
      </c>
      <c r="AU77" s="30"/>
      <c r="AV77" s="30">
        <f>SUM(AV78:AV86)</f>
        <v>0</v>
      </c>
      <c r="AW77" s="30"/>
      <c r="AX77" s="26">
        <f>SUM(AX78:AX86)</f>
        <v>0</v>
      </c>
      <c r="AY77" s="25"/>
      <c r="AZ77" s="30">
        <f>SUM(AZ78:AZ86)</f>
        <v>0</v>
      </c>
      <c r="BA77" s="30"/>
      <c r="BB77" s="26">
        <f>SUM(BB78:BB86)</f>
        <v>82347.039999999994</v>
      </c>
    </row>
    <row r="78" spans="1:54" ht="39" customHeight="1" x14ac:dyDescent="0.25">
      <c r="A78" s="31" t="s">
        <v>174</v>
      </c>
      <c r="B78" s="31" t="s">
        <v>175</v>
      </c>
      <c r="C78" s="31" t="s">
        <v>34</v>
      </c>
      <c r="D78" s="31" t="s">
        <v>176</v>
      </c>
      <c r="E78" s="32" t="s">
        <v>26</v>
      </c>
      <c r="F78" s="33">
        <v>60.6</v>
      </c>
      <c r="G78" s="34">
        <v>85.24</v>
      </c>
      <c r="H78" s="34">
        <f t="shared" si="597"/>
        <v>78.48</v>
      </c>
      <c r="I78" s="34">
        <f t="shared" si="598"/>
        <v>4755.88</v>
      </c>
      <c r="J78" s="34">
        <f>(TRUNC(H78 * L14,2) + H78)</f>
        <v>94.44</v>
      </c>
      <c r="K78" s="34">
        <f t="shared" ref="K78:K86" si="861">TRUNC(F78 * J78,2)</f>
        <v>5723.06</v>
      </c>
      <c r="L78" s="35">
        <f>K78 / L13</f>
        <v>1.9734689655172412E-3</v>
      </c>
      <c r="M78" s="36">
        <v>73.31</v>
      </c>
      <c r="N78" s="37">
        <f t="shared" si="600"/>
        <v>4442.58</v>
      </c>
      <c r="O78" s="36"/>
      <c r="P78" s="38">
        <f>TRUNC($M78 * O78,2)</f>
        <v>0</v>
      </c>
      <c r="Q78" s="38"/>
      <c r="R78" s="38">
        <f>TRUNC($M78 * Q78,2)</f>
        <v>0</v>
      </c>
      <c r="S78" s="38">
        <f t="shared" si="602"/>
        <v>60.6</v>
      </c>
      <c r="T78" s="37">
        <f>TRUNC($M78 * S78,2)</f>
        <v>4442.58</v>
      </c>
      <c r="U78" s="36"/>
      <c r="V78" s="38">
        <f>TRUNC($M78 * U78,2)</f>
        <v>0</v>
      </c>
      <c r="W78" s="38"/>
      <c r="X78" s="38">
        <f>TRUNC($M78 * W78,2)</f>
        <v>0</v>
      </c>
      <c r="Y78" s="38"/>
      <c r="Z78" s="38">
        <f>TRUNC($M78 * Y78,2)</f>
        <v>0</v>
      </c>
      <c r="AA78" s="38"/>
      <c r="AB78" s="38">
        <f>TRUNC($M78 * AA78,2)</f>
        <v>0</v>
      </c>
      <c r="AC78" s="38"/>
      <c r="AD78" s="38">
        <f>TRUNC($M78 * AC78,2)</f>
        <v>0</v>
      </c>
      <c r="AE78" s="38"/>
      <c r="AF78" s="38">
        <f>TRUNC($M78 * AE78,2)</f>
        <v>0</v>
      </c>
      <c r="AG78" s="38"/>
      <c r="AH78" s="38">
        <f>TRUNC($M78 * AG78,2)</f>
        <v>0</v>
      </c>
      <c r="AI78" s="38"/>
      <c r="AJ78" s="38">
        <f>TRUNC($M78 * AI78,2)</f>
        <v>0</v>
      </c>
      <c r="AK78" s="38"/>
      <c r="AL78" s="38">
        <f>TRUNC($M78 * AK78,2)</f>
        <v>0</v>
      </c>
      <c r="AM78" s="38"/>
      <c r="AN78" s="38">
        <f>TRUNC($M78 * AM78,2)</f>
        <v>0</v>
      </c>
      <c r="AO78" s="38"/>
      <c r="AP78" s="38">
        <f>TRUNC($M78 * AO78,2)</f>
        <v>0</v>
      </c>
      <c r="AQ78" s="38"/>
      <c r="AR78" s="38">
        <f>TRUNC($M78 * AQ78,2)</f>
        <v>0</v>
      </c>
      <c r="AS78" s="38"/>
      <c r="AT78" s="38">
        <f>TRUNC($M78 * AS78,2)</f>
        <v>0</v>
      </c>
      <c r="AU78" s="38"/>
      <c r="AV78" s="38">
        <f>TRUNC($M78 * AU78,2)</f>
        <v>0</v>
      </c>
      <c r="AW78" s="38"/>
      <c r="AX78" s="37">
        <f>TRUNC($M78 * AW78,2)</f>
        <v>0</v>
      </c>
      <c r="AY78" s="36">
        <f t="shared" si="618"/>
        <v>0</v>
      </c>
      <c r="AZ78" s="38">
        <f>TRUNC($M78 * AY78,2)</f>
        <v>0</v>
      </c>
      <c r="BA78" s="38">
        <f t="shared" si="620"/>
        <v>60.6</v>
      </c>
      <c r="BB78" s="37">
        <f>TRUNC($M78 * BA78,2)</f>
        <v>4442.58</v>
      </c>
    </row>
    <row r="79" spans="1:54" ht="39" customHeight="1" x14ac:dyDescent="0.25">
      <c r="A79" s="31" t="s">
        <v>177</v>
      </c>
      <c r="B79" s="31" t="s">
        <v>178</v>
      </c>
      <c r="C79" s="31" t="s">
        <v>34</v>
      </c>
      <c r="D79" s="31" t="s">
        <v>179</v>
      </c>
      <c r="E79" s="32" t="s">
        <v>76</v>
      </c>
      <c r="F79" s="33">
        <v>352.8</v>
      </c>
      <c r="G79" s="34">
        <v>13.65</v>
      </c>
      <c r="H79" s="34">
        <f t="shared" si="597"/>
        <v>12.56</v>
      </c>
      <c r="I79" s="34">
        <f t="shared" si="598"/>
        <v>4431.16</v>
      </c>
      <c r="J79" s="34">
        <f>(TRUNC(H79 * L14,2) + H79)</f>
        <v>15.11</v>
      </c>
      <c r="K79" s="34">
        <f t="shared" si="861"/>
        <v>5330.8</v>
      </c>
      <c r="L79" s="35">
        <f>K79 / L13</f>
        <v>1.8382068965517239E-3</v>
      </c>
      <c r="M79" s="36">
        <v>11.28</v>
      </c>
      <c r="N79" s="37">
        <f t="shared" si="600"/>
        <v>3979.58</v>
      </c>
      <c r="O79" s="36"/>
      <c r="P79" s="38">
        <f t="shared" ref="P79:R91" si="862">TRUNC($M79 * O79,2)</f>
        <v>0</v>
      </c>
      <c r="Q79" s="38"/>
      <c r="R79" s="38">
        <f t="shared" si="862"/>
        <v>0</v>
      </c>
      <c r="S79" s="38">
        <f t="shared" si="602"/>
        <v>352.8</v>
      </c>
      <c r="T79" s="37">
        <f t="shared" ref="T79:V79" si="863">TRUNC($M79 * S79,2)</f>
        <v>3979.58</v>
      </c>
      <c r="U79" s="36"/>
      <c r="V79" s="38">
        <f t="shared" si="863"/>
        <v>0</v>
      </c>
      <c r="W79" s="38"/>
      <c r="X79" s="38">
        <f t="shared" ref="X79" si="864">TRUNC($M79 * W79,2)</f>
        <v>0</v>
      </c>
      <c r="Y79" s="38"/>
      <c r="Z79" s="38">
        <f t="shared" ref="Z79" si="865">TRUNC($M79 * Y79,2)</f>
        <v>0</v>
      </c>
      <c r="AA79" s="38"/>
      <c r="AB79" s="38">
        <f t="shared" ref="AB79" si="866">TRUNC($M79 * AA79,2)</f>
        <v>0</v>
      </c>
      <c r="AC79" s="38"/>
      <c r="AD79" s="38">
        <f t="shared" ref="AD79" si="867">TRUNC($M79 * AC79,2)</f>
        <v>0</v>
      </c>
      <c r="AE79" s="38"/>
      <c r="AF79" s="38">
        <f t="shared" ref="AF79" si="868">TRUNC($M79 * AE79,2)</f>
        <v>0</v>
      </c>
      <c r="AG79" s="38"/>
      <c r="AH79" s="38">
        <f t="shared" ref="AH79" si="869">TRUNC($M79 * AG79,2)</f>
        <v>0</v>
      </c>
      <c r="AI79" s="38"/>
      <c r="AJ79" s="38">
        <f t="shared" ref="AJ79" si="870">TRUNC($M79 * AI79,2)</f>
        <v>0</v>
      </c>
      <c r="AK79" s="38"/>
      <c r="AL79" s="38">
        <f t="shared" ref="AL79" si="871">TRUNC($M79 * AK79,2)</f>
        <v>0</v>
      </c>
      <c r="AM79" s="38"/>
      <c r="AN79" s="38">
        <f t="shared" ref="AN79" si="872">TRUNC($M79 * AM79,2)</f>
        <v>0</v>
      </c>
      <c r="AO79" s="38"/>
      <c r="AP79" s="38">
        <f t="shared" ref="AP79" si="873">TRUNC($M79 * AO79,2)</f>
        <v>0</v>
      </c>
      <c r="AQ79" s="38"/>
      <c r="AR79" s="38">
        <f t="shared" ref="AR79" si="874">TRUNC($M79 * AQ79,2)</f>
        <v>0</v>
      </c>
      <c r="AS79" s="38"/>
      <c r="AT79" s="38">
        <f t="shared" ref="AT79" si="875">TRUNC($M79 * AS79,2)</f>
        <v>0</v>
      </c>
      <c r="AU79" s="38"/>
      <c r="AV79" s="38">
        <f t="shared" ref="AV79" si="876">TRUNC($M79 * AU79,2)</f>
        <v>0</v>
      </c>
      <c r="AW79" s="38"/>
      <c r="AX79" s="37">
        <f t="shared" ref="AX79" si="877">TRUNC($M79 * AW79,2)</f>
        <v>0</v>
      </c>
      <c r="AY79" s="36">
        <f t="shared" si="618"/>
        <v>0</v>
      </c>
      <c r="AZ79" s="38">
        <f t="shared" ref="AZ79" si="878">TRUNC($M79 * AY79,2)</f>
        <v>0</v>
      </c>
      <c r="BA79" s="38">
        <f t="shared" si="620"/>
        <v>352.8</v>
      </c>
      <c r="BB79" s="37">
        <f t="shared" ref="BB79" si="879">TRUNC($M79 * BA79,2)</f>
        <v>3979.58</v>
      </c>
    </row>
    <row r="80" spans="1:54" ht="39" customHeight="1" x14ac:dyDescent="0.25">
      <c r="A80" s="31" t="s">
        <v>180</v>
      </c>
      <c r="B80" s="31" t="s">
        <v>181</v>
      </c>
      <c r="C80" s="31" t="s">
        <v>34</v>
      </c>
      <c r="D80" s="31" t="s">
        <v>182</v>
      </c>
      <c r="E80" s="32" t="s">
        <v>76</v>
      </c>
      <c r="F80" s="33">
        <v>546</v>
      </c>
      <c r="G80" s="34">
        <v>12.59</v>
      </c>
      <c r="H80" s="34">
        <f t="shared" si="597"/>
        <v>11.59</v>
      </c>
      <c r="I80" s="34">
        <f t="shared" si="598"/>
        <v>6328.14</v>
      </c>
      <c r="J80" s="34">
        <f>(TRUNC(H80 * L14,2) + H80)</f>
        <v>13.94</v>
      </c>
      <c r="K80" s="34">
        <f t="shared" si="861"/>
        <v>7611.24</v>
      </c>
      <c r="L80" s="35">
        <f>K80 / L13</f>
        <v>2.6245655172413788E-3</v>
      </c>
      <c r="M80" s="36">
        <v>10.72</v>
      </c>
      <c r="N80" s="37">
        <f t="shared" si="600"/>
        <v>5853.12</v>
      </c>
      <c r="O80" s="36"/>
      <c r="P80" s="38">
        <f t="shared" si="862"/>
        <v>0</v>
      </c>
      <c r="Q80" s="38"/>
      <c r="R80" s="38">
        <f t="shared" si="862"/>
        <v>0</v>
      </c>
      <c r="S80" s="38">
        <f t="shared" si="602"/>
        <v>546</v>
      </c>
      <c r="T80" s="37">
        <f t="shared" ref="T80:V80" si="880">TRUNC($M80 * S80,2)</f>
        <v>5853.12</v>
      </c>
      <c r="U80" s="36"/>
      <c r="V80" s="38">
        <f t="shared" si="880"/>
        <v>0</v>
      </c>
      <c r="W80" s="38"/>
      <c r="X80" s="38">
        <f t="shared" ref="X80" si="881">TRUNC($M80 * W80,2)</f>
        <v>0</v>
      </c>
      <c r="Y80" s="38"/>
      <c r="Z80" s="38">
        <f t="shared" ref="Z80" si="882">TRUNC($M80 * Y80,2)</f>
        <v>0</v>
      </c>
      <c r="AA80" s="38"/>
      <c r="AB80" s="38">
        <f t="shared" ref="AB80" si="883">TRUNC($M80 * AA80,2)</f>
        <v>0</v>
      </c>
      <c r="AC80" s="38"/>
      <c r="AD80" s="38">
        <f t="shared" ref="AD80" si="884">TRUNC($M80 * AC80,2)</f>
        <v>0</v>
      </c>
      <c r="AE80" s="38"/>
      <c r="AF80" s="38">
        <f t="shared" ref="AF80" si="885">TRUNC($M80 * AE80,2)</f>
        <v>0</v>
      </c>
      <c r="AG80" s="38"/>
      <c r="AH80" s="38">
        <f t="shared" ref="AH80" si="886">TRUNC($M80 * AG80,2)</f>
        <v>0</v>
      </c>
      <c r="AI80" s="38"/>
      <c r="AJ80" s="38">
        <f t="shared" ref="AJ80" si="887">TRUNC($M80 * AI80,2)</f>
        <v>0</v>
      </c>
      <c r="AK80" s="38"/>
      <c r="AL80" s="38">
        <f t="shared" ref="AL80" si="888">TRUNC($M80 * AK80,2)</f>
        <v>0</v>
      </c>
      <c r="AM80" s="38"/>
      <c r="AN80" s="38">
        <f t="shared" ref="AN80" si="889">TRUNC($M80 * AM80,2)</f>
        <v>0</v>
      </c>
      <c r="AO80" s="38"/>
      <c r="AP80" s="38">
        <f t="shared" ref="AP80" si="890">TRUNC($M80 * AO80,2)</f>
        <v>0</v>
      </c>
      <c r="AQ80" s="38"/>
      <c r="AR80" s="38">
        <f t="shared" ref="AR80" si="891">TRUNC($M80 * AQ80,2)</f>
        <v>0</v>
      </c>
      <c r="AS80" s="38"/>
      <c r="AT80" s="38">
        <f t="shared" ref="AT80" si="892">TRUNC($M80 * AS80,2)</f>
        <v>0</v>
      </c>
      <c r="AU80" s="38"/>
      <c r="AV80" s="38">
        <f t="shared" ref="AV80" si="893">TRUNC($M80 * AU80,2)</f>
        <v>0</v>
      </c>
      <c r="AW80" s="38"/>
      <c r="AX80" s="37">
        <f t="shared" ref="AX80" si="894">TRUNC($M80 * AW80,2)</f>
        <v>0</v>
      </c>
      <c r="AY80" s="36">
        <f t="shared" si="618"/>
        <v>0</v>
      </c>
      <c r="AZ80" s="38">
        <f t="shared" ref="AZ80" si="895">TRUNC($M80 * AY80,2)</f>
        <v>0</v>
      </c>
      <c r="BA80" s="38">
        <f t="shared" si="620"/>
        <v>546</v>
      </c>
      <c r="BB80" s="37">
        <f t="shared" ref="BB80" si="896">TRUNC($M80 * BA80,2)</f>
        <v>5853.12</v>
      </c>
    </row>
    <row r="81" spans="1:54" ht="39" customHeight="1" x14ac:dyDescent="0.25">
      <c r="A81" s="31" t="s">
        <v>183</v>
      </c>
      <c r="B81" s="31" t="s">
        <v>184</v>
      </c>
      <c r="C81" s="31" t="s">
        <v>34</v>
      </c>
      <c r="D81" s="31" t="s">
        <v>185</v>
      </c>
      <c r="E81" s="32" t="s">
        <v>76</v>
      </c>
      <c r="F81" s="33">
        <v>167.4</v>
      </c>
      <c r="G81" s="34">
        <v>11.66</v>
      </c>
      <c r="H81" s="34">
        <f t="shared" si="597"/>
        <v>10.73</v>
      </c>
      <c r="I81" s="34">
        <f t="shared" si="598"/>
        <v>1796.2</v>
      </c>
      <c r="J81" s="34">
        <f>(TRUNC(H81 * L14,2) + H81)</f>
        <v>12.91</v>
      </c>
      <c r="K81" s="34">
        <f t="shared" si="861"/>
        <v>2161.13</v>
      </c>
      <c r="L81" s="35">
        <f>K81 / L13</f>
        <v>7.4521724137931026E-4</v>
      </c>
      <c r="M81" s="36">
        <v>8.92</v>
      </c>
      <c r="N81" s="37">
        <f t="shared" si="600"/>
        <v>1493.2</v>
      </c>
      <c r="O81" s="36"/>
      <c r="P81" s="38">
        <f t="shared" si="862"/>
        <v>0</v>
      </c>
      <c r="Q81" s="38"/>
      <c r="R81" s="38">
        <f t="shared" si="862"/>
        <v>0</v>
      </c>
      <c r="S81" s="38">
        <f t="shared" si="602"/>
        <v>167.4</v>
      </c>
      <c r="T81" s="37">
        <f t="shared" ref="T81:V81" si="897">TRUNC($M81 * S81,2)</f>
        <v>1493.2</v>
      </c>
      <c r="U81" s="36"/>
      <c r="V81" s="38">
        <f t="shared" si="897"/>
        <v>0</v>
      </c>
      <c r="W81" s="38"/>
      <c r="X81" s="38">
        <f t="shared" ref="X81" si="898">TRUNC($M81 * W81,2)</f>
        <v>0</v>
      </c>
      <c r="Y81" s="38"/>
      <c r="Z81" s="38">
        <f t="shared" ref="Z81" si="899">TRUNC($M81 * Y81,2)</f>
        <v>0</v>
      </c>
      <c r="AA81" s="38"/>
      <c r="AB81" s="38">
        <f t="shared" ref="AB81" si="900">TRUNC($M81 * AA81,2)</f>
        <v>0</v>
      </c>
      <c r="AC81" s="38"/>
      <c r="AD81" s="38">
        <f t="shared" ref="AD81" si="901">TRUNC($M81 * AC81,2)</f>
        <v>0</v>
      </c>
      <c r="AE81" s="38"/>
      <c r="AF81" s="38">
        <f t="shared" ref="AF81" si="902">TRUNC($M81 * AE81,2)</f>
        <v>0</v>
      </c>
      <c r="AG81" s="38"/>
      <c r="AH81" s="38">
        <f t="shared" ref="AH81" si="903">TRUNC($M81 * AG81,2)</f>
        <v>0</v>
      </c>
      <c r="AI81" s="38"/>
      <c r="AJ81" s="38">
        <f t="shared" ref="AJ81" si="904">TRUNC($M81 * AI81,2)</f>
        <v>0</v>
      </c>
      <c r="AK81" s="38"/>
      <c r="AL81" s="38">
        <f t="shared" ref="AL81" si="905">TRUNC($M81 * AK81,2)</f>
        <v>0</v>
      </c>
      <c r="AM81" s="38"/>
      <c r="AN81" s="38">
        <f t="shared" ref="AN81" si="906">TRUNC($M81 * AM81,2)</f>
        <v>0</v>
      </c>
      <c r="AO81" s="38"/>
      <c r="AP81" s="38">
        <f t="shared" ref="AP81" si="907">TRUNC($M81 * AO81,2)</f>
        <v>0</v>
      </c>
      <c r="AQ81" s="38"/>
      <c r="AR81" s="38">
        <f t="shared" ref="AR81" si="908">TRUNC($M81 * AQ81,2)</f>
        <v>0</v>
      </c>
      <c r="AS81" s="38"/>
      <c r="AT81" s="38">
        <f t="shared" ref="AT81" si="909">TRUNC($M81 * AS81,2)</f>
        <v>0</v>
      </c>
      <c r="AU81" s="38"/>
      <c r="AV81" s="38">
        <f t="shared" ref="AV81" si="910">TRUNC($M81 * AU81,2)</f>
        <v>0</v>
      </c>
      <c r="AW81" s="38"/>
      <c r="AX81" s="37">
        <f t="shared" ref="AX81" si="911">TRUNC($M81 * AW81,2)</f>
        <v>0</v>
      </c>
      <c r="AY81" s="36">
        <f t="shared" si="618"/>
        <v>0</v>
      </c>
      <c r="AZ81" s="38">
        <f t="shared" ref="AZ81" si="912">TRUNC($M81 * AY81,2)</f>
        <v>0</v>
      </c>
      <c r="BA81" s="38">
        <f t="shared" si="620"/>
        <v>167.4</v>
      </c>
      <c r="BB81" s="37">
        <f t="shared" ref="BB81" si="913">TRUNC($M81 * BA81,2)</f>
        <v>1493.2</v>
      </c>
    </row>
    <row r="82" spans="1:54" ht="39" customHeight="1" x14ac:dyDescent="0.25">
      <c r="A82" s="31" t="s">
        <v>186</v>
      </c>
      <c r="B82" s="31" t="s">
        <v>187</v>
      </c>
      <c r="C82" s="31" t="s">
        <v>34</v>
      </c>
      <c r="D82" s="31" t="s">
        <v>188</v>
      </c>
      <c r="E82" s="32" t="s">
        <v>76</v>
      </c>
      <c r="F82" s="33">
        <v>197.5</v>
      </c>
      <c r="G82" s="34">
        <v>10.29</v>
      </c>
      <c r="H82" s="34">
        <f t="shared" si="597"/>
        <v>9.4700000000000006</v>
      </c>
      <c r="I82" s="34">
        <f t="shared" si="598"/>
        <v>1870.32</v>
      </c>
      <c r="J82" s="34">
        <f>(TRUNC(H82 * L14,2) + H82)</f>
        <v>11.39</v>
      </c>
      <c r="K82" s="34">
        <f t="shared" si="861"/>
        <v>2249.52</v>
      </c>
      <c r="L82" s="35">
        <f>K82 / L13</f>
        <v>7.7569655172413782E-4</v>
      </c>
      <c r="M82" s="36">
        <v>7.64</v>
      </c>
      <c r="N82" s="37">
        <f t="shared" si="600"/>
        <v>1508.9</v>
      </c>
      <c r="O82" s="36"/>
      <c r="P82" s="38">
        <f t="shared" si="862"/>
        <v>0</v>
      </c>
      <c r="Q82" s="38"/>
      <c r="R82" s="38">
        <f t="shared" si="862"/>
        <v>0</v>
      </c>
      <c r="S82" s="38">
        <f t="shared" si="602"/>
        <v>197.5</v>
      </c>
      <c r="T82" s="37">
        <f t="shared" ref="T82:V82" si="914">TRUNC($M82 * S82,2)</f>
        <v>1508.9</v>
      </c>
      <c r="U82" s="36"/>
      <c r="V82" s="38">
        <f t="shared" si="914"/>
        <v>0</v>
      </c>
      <c r="W82" s="38"/>
      <c r="X82" s="38">
        <f t="shared" ref="X82" si="915">TRUNC($M82 * W82,2)</f>
        <v>0</v>
      </c>
      <c r="Y82" s="38"/>
      <c r="Z82" s="38">
        <f t="shared" ref="Z82" si="916">TRUNC($M82 * Y82,2)</f>
        <v>0</v>
      </c>
      <c r="AA82" s="38"/>
      <c r="AB82" s="38">
        <f t="shared" ref="AB82" si="917">TRUNC($M82 * AA82,2)</f>
        <v>0</v>
      </c>
      <c r="AC82" s="38"/>
      <c r="AD82" s="38">
        <f t="shared" ref="AD82" si="918">TRUNC($M82 * AC82,2)</f>
        <v>0</v>
      </c>
      <c r="AE82" s="38"/>
      <c r="AF82" s="38">
        <f t="shared" ref="AF82" si="919">TRUNC($M82 * AE82,2)</f>
        <v>0</v>
      </c>
      <c r="AG82" s="38"/>
      <c r="AH82" s="38">
        <f t="shared" ref="AH82" si="920">TRUNC($M82 * AG82,2)</f>
        <v>0</v>
      </c>
      <c r="AI82" s="38"/>
      <c r="AJ82" s="38">
        <f t="shared" ref="AJ82" si="921">TRUNC($M82 * AI82,2)</f>
        <v>0</v>
      </c>
      <c r="AK82" s="38"/>
      <c r="AL82" s="38">
        <f t="shared" ref="AL82" si="922">TRUNC($M82 * AK82,2)</f>
        <v>0</v>
      </c>
      <c r="AM82" s="38"/>
      <c r="AN82" s="38">
        <f t="shared" ref="AN82" si="923">TRUNC($M82 * AM82,2)</f>
        <v>0</v>
      </c>
      <c r="AO82" s="38"/>
      <c r="AP82" s="38">
        <f t="shared" ref="AP82" si="924">TRUNC($M82 * AO82,2)</f>
        <v>0</v>
      </c>
      <c r="AQ82" s="38"/>
      <c r="AR82" s="38">
        <f t="shared" ref="AR82" si="925">TRUNC($M82 * AQ82,2)</f>
        <v>0</v>
      </c>
      <c r="AS82" s="38"/>
      <c r="AT82" s="38">
        <f t="shared" ref="AT82" si="926">TRUNC($M82 * AS82,2)</f>
        <v>0</v>
      </c>
      <c r="AU82" s="38"/>
      <c r="AV82" s="38">
        <f t="shared" ref="AV82" si="927">TRUNC($M82 * AU82,2)</f>
        <v>0</v>
      </c>
      <c r="AW82" s="38"/>
      <c r="AX82" s="37">
        <f t="shared" ref="AX82" si="928">TRUNC($M82 * AW82,2)</f>
        <v>0</v>
      </c>
      <c r="AY82" s="36">
        <f t="shared" si="618"/>
        <v>0</v>
      </c>
      <c r="AZ82" s="38">
        <f t="shared" ref="AZ82" si="929">TRUNC($M82 * AY82,2)</f>
        <v>0</v>
      </c>
      <c r="BA82" s="38">
        <f t="shared" si="620"/>
        <v>197.5</v>
      </c>
      <c r="BB82" s="37">
        <f t="shared" ref="BB82" si="930">TRUNC($M82 * BA82,2)</f>
        <v>1508.9</v>
      </c>
    </row>
    <row r="83" spans="1:54" ht="39" customHeight="1" x14ac:dyDescent="0.25">
      <c r="A83" s="31" t="s">
        <v>189</v>
      </c>
      <c r="B83" s="31" t="s">
        <v>190</v>
      </c>
      <c r="C83" s="31" t="s">
        <v>34</v>
      </c>
      <c r="D83" s="31" t="s">
        <v>191</v>
      </c>
      <c r="E83" s="32" t="s">
        <v>76</v>
      </c>
      <c r="F83" s="33">
        <v>5.9</v>
      </c>
      <c r="G83" s="34">
        <v>8.58</v>
      </c>
      <c r="H83" s="34">
        <f t="shared" si="597"/>
        <v>7.89</v>
      </c>
      <c r="I83" s="34">
        <f t="shared" si="598"/>
        <v>46.55</v>
      </c>
      <c r="J83" s="34">
        <f>(TRUNC(H83 * L14,2) + H83)</f>
        <v>9.49</v>
      </c>
      <c r="K83" s="34">
        <f t="shared" si="861"/>
        <v>55.99</v>
      </c>
      <c r="L83" s="35">
        <f>K83 / L13</f>
        <v>1.9306896551724135E-5</v>
      </c>
      <c r="M83" s="36">
        <v>6.24</v>
      </c>
      <c r="N83" s="37">
        <f t="shared" si="600"/>
        <v>36.81</v>
      </c>
      <c r="O83" s="36"/>
      <c r="P83" s="38">
        <f t="shared" si="862"/>
        <v>0</v>
      </c>
      <c r="Q83" s="38"/>
      <c r="R83" s="38">
        <f t="shared" si="862"/>
        <v>0</v>
      </c>
      <c r="S83" s="38">
        <f t="shared" si="602"/>
        <v>5.9</v>
      </c>
      <c r="T83" s="37">
        <f t="shared" ref="T83:V83" si="931">TRUNC($M83 * S83,2)</f>
        <v>36.81</v>
      </c>
      <c r="U83" s="36"/>
      <c r="V83" s="38">
        <f t="shared" si="931"/>
        <v>0</v>
      </c>
      <c r="W83" s="38"/>
      <c r="X83" s="38">
        <f t="shared" ref="X83" si="932">TRUNC($M83 * W83,2)</f>
        <v>0</v>
      </c>
      <c r="Y83" s="38"/>
      <c r="Z83" s="38">
        <f t="shared" ref="Z83" si="933">TRUNC($M83 * Y83,2)</f>
        <v>0</v>
      </c>
      <c r="AA83" s="38"/>
      <c r="AB83" s="38">
        <f t="shared" ref="AB83" si="934">TRUNC($M83 * AA83,2)</f>
        <v>0</v>
      </c>
      <c r="AC83" s="38"/>
      <c r="AD83" s="38">
        <f t="shared" ref="AD83" si="935">TRUNC($M83 * AC83,2)</f>
        <v>0</v>
      </c>
      <c r="AE83" s="38"/>
      <c r="AF83" s="38">
        <f t="shared" ref="AF83" si="936">TRUNC($M83 * AE83,2)</f>
        <v>0</v>
      </c>
      <c r="AG83" s="38"/>
      <c r="AH83" s="38">
        <f t="shared" ref="AH83" si="937">TRUNC($M83 * AG83,2)</f>
        <v>0</v>
      </c>
      <c r="AI83" s="38"/>
      <c r="AJ83" s="38">
        <f t="shared" ref="AJ83" si="938">TRUNC($M83 * AI83,2)</f>
        <v>0</v>
      </c>
      <c r="AK83" s="38"/>
      <c r="AL83" s="38">
        <f t="shared" ref="AL83" si="939">TRUNC($M83 * AK83,2)</f>
        <v>0</v>
      </c>
      <c r="AM83" s="38"/>
      <c r="AN83" s="38">
        <f t="shared" ref="AN83" si="940">TRUNC($M83 * AM83,2)</f>
        <v>0</v>
      </c>
      <c r="AO83" s="38"/>
      <c r="AP83" s="38">
        <f t="shared" ref="AP83" si="941">TRUNC($M83 * AO83,2)</f>
        <v>0</v>
      </c>
      <c r="AQ83" s="38"/>
      <c r="AR83" s="38">
        <f t="shared" ref="AR83" si="942">TRUNC($M83 * AQ83,2)</f>
        <v>0</v>
      </c>
      <c r="AS83" s="38"/>
      <c r="AT83" s="38">
        <f t="shared" ref="AT83" si="943">TRUNC($M83 * AS83,2)</f>
        <v>0</v>
      </c>
      <c r="AU83" s="38"/>
      <c r="AV83" s="38">
        <f t="shared" ref="AV83" si="944">TRUNC($M83 * AU83,2)</f>
        <v>0</v>
      </c>
      <c r="AW83" s="38"/>
      <c r="AX83" s="37">
        <f t="shared" ref="AX83" si="945">TRUNC($M83 * AW83,2)</f>
        <v>0</v>
      </c>
      <c r="AY83" s="36">
        <f t="shared" si="618"/>
        <v>0</v>
      </c>
      <c r="AZ83" s="38">
        <f t="shared" ref="AZ83" si="946">TRUNC($M83 * AY83,2)</f>
        <v>0</v>
      </c>
      <c r="BA83" s="38">
        <f t="shared" si="620"/>
        <v>5.9</v>
      </c>
      <c r="BB83" s="37">
        <f t="shared" ref="BB83" si="947">TRUNC($M83 * BA83,2)</f>
        <v>36.81</v>
      </c>
    </row>
    <row r="84" spans="1:54" ht="39" customHeight="1" x14ac:dyDescent="0.25">
      <c r="A84" s="31" t="s">
        <v>192</v>
      </c>
      <c r="B84" s="31" t="s">
        <v>169</v>
      </c>
      <c r="C84" s="31" t="s">
        <v>42</v>
      </c>
      <c r="D84" s="31" t="s">
        <v>170</v>
      </c>
      <c r="E84" s="32" t="s">
        <v>51</v>
      </c>
      <c r="F84" s="33">
        <v>42.8</v>
      </c>
      <c r="G84" s="34">
        <v>580.35</v>
      </c>
      <c r="H84" s="34">
        <f t="shared" si="597"/>
        <v>534.35</v>
      </c>
      <c r="I84" s="34">
        <f t="shared" si="598"/>
        <v>22870.18</v>
      </c>
      <c r="J84" s="34">
        <f>(TRUNC(H84 * L14,2) + H84)</f>
        <v>643.03</v>
      </c>
      <c r="K84" s="34">
        <f t="shared" si="861"/>
        <v>27521.68</v>
      </c>
      <c r="L84" s="35">
        <f>K84 / L13</f>
        <v>9.4902344827586197E-3</v>
      </c>
      <c r="M84" s="36">
        <v>440.26</v>
      </c>
      <c r="N84" s="37">
        <f t="shared" si="600"/>
        <v>18843.12</v>
      </c>
      <c r="O84" s="36"/>
      <c r="P84" s="38">
        <f t="shared" si="862"/>
        <v>0</v>
      </c>
      <c r="Q84" s="38"/>
      <c r="R84" s="38">
        <f t="shared" si="862"/>
        <v>0</v>
      </c>
      <c r="S84" s="38">
        <f t="shared" si="602"/>
        <v>42.8</v>
      </c>
      <c r="T84" s="37">
        <f t="shared" ref="T84:V84" si="948">TRUNC($M84 * S84,2)</f>
        <v>18843.12</v>
      </c>
      <c r="U84" s="36"/>
      <c r="V84" s="38">
        <f t="shared" si="948"/>
        <v>0</v>
      </c>
      <c r="W84" s="38"/>
      <c r="X84" s="38">
        <f t="shared" ref="X84" si="949">TRUNC($M84 * W84,2)</f>
        <v>0</v>
      </c>
      <c r="Y84" s="38"/>
      <c r="Z84" s="38">
        <f t="shared" ref="Z84" si="950">TRUNC($M84 * Y84,2)</f>
        <v>0</v>
      </c>
      <c r="AA84" s="38"/>
      <c r="AB84" s="38">
        <f t="shared" ref="AB84" si="951">TRUNC($M84 * AA84,2)</f>
        <v>0</v>
      </c>
      <c r="AC84" s="38"/>
      <c r="AD84" s="38">
        <f t="shared" ref="AD84" si="952">TRUNC($M84 * AC84,2)</f>
        <v>0</v>
      </c>
      <c r="AE84" s="38"/>
      <c r="AF84" s="38">
        <f t="shared" ref="AF84" si="953">TRUNC($M84 * AE84,2)</f>
        <v>0</v>
      </c>
      <c r="AG84" s="38"/>
      <c r="AH84" s="38">
        <f t="shared" ref="AH84" si="954">TRUNC($M84 * AG84,2)</f>
        <v>0</v>
      </c>
      <c r="AI84" s="38"/>
      <c r="AJ84" s="38">
        <f t="shared" ref="AJ84" si="955">TRUNC($M84 * AI84,2)</f>
        <v>0</v>
      </c>
      <c r="AK84" s="38"/>
      <c r="AL84" s="38">
        <f t="shared" ref="AL84" si="956">TRUNC($M84 * AK84,2)</f>
        <v>0</v>
      </c>
      <c r="AM84" s="38"/>
      <c r="AN84" s="38">
        <f t="shared" ref="AN84" si="957">TRUNC($M84 * AM84,2)</f>
        <v>0</v>
      </c>
      <c r="AO84" s="38"/>
      <c r="AP84" s="38">
        <f t="shared" ref="AP84" si="958">TRUNC($M84 * AO84,2)</f>
        <v>0</v>
      </c>
      <c r="AQ84" s="38"/>
      <c r="AR84" s="38">
        <f t="shared" ref="AR84" si="959">TRUNC($M84 * AQ84,2)</f>
        <v>0</v>
      </c>
      <c r="AS84" s="38"/>
      <c r="AT84" s="38">
        <f t="shared" ref="AT84" si="960">TRUNC($M84 * AS84,2)</f>
        <v>0</v>
      </c>
      <c r="AU84" s="38"/>
      <c r="AV84" s="38">
        <f t="shared" ref="AV84" si="961">TRUNC($M84 * AU84,2)</f>
        <v>0</v>
      </c>
      <c r="AW84" s="38"/>
      <c r="AX84" s="37">
        <f t="shared" ref="AX84" si="962">TRUNC($M84 * AW84,2)</f>
        <v>0</v>
      </c>
      <c r="AY84" s="36">
        <f t="shared" si="618"/>
        <v>0</v>
      </c>
      <c r="AZ84" s="38">
        <f t="shared" ref="AZ84" si="963">TRUNC($M84 * AY84,2)</f>
        <v>0</v>
      </c>
      <c r="BA84" s="38">
        <f t="shared" si="620"/>
        <v>42.8</v>
      </c>
      <c r="BB84" s="37">
        <f t="shared" ref="BB84" si="964">TRUNC($M84 * BA84,2)</f>
        <v>18843.12</v>
      </c>
    </row>
    <row r="85" spans="1:54" ht="39" customHeight="1" x14ac:dyDescent="0.25">
      <c r="A85" s="31" t="s">
        <v>193</v>
      </c>
      <c r="B85" s="31" t="s">
        <v>194</v>
      </c>
      <c r="C85" s="31" t="s">
        <v>42</v>
      </c>
      <c r="D85" s="31" t="s">
        <v>195</v>
      </c>
      <c r="E85" s="32" t="s">
        <v>26</v>
      </c>
      <c r="F85" s="33">
        <v>415.88</v>
      </c>
      <c r="G85" s="34">
        <v>118.73</v>
      </c>
      <c r="H85" s="34">
        <f t="shared" si="597"/>
        <v>109.31</v>
      </c>
      <c r="I85" s="34">
        <f t="shared" si="598"/>
        <v>45459.839999999997</v>
      </c>
      <c r="J85" s="34">
        <f>(TRUNC(H85 * L14,2) + H85)</f>
        <v>131.54</v>
      </c>
      <c r="K85" s="34">
        <f t="shared" si="861"/>
        <v>54704.85</v>
      </c>
      <c r="L85" s="35">
        <f>K85 / L13</f>
        <v>1.886374137931034E-2</v>
      </c>
      <c r="M85" s="36">
        <v>108.84</v>
      </c>
      <c r="N85" s="37">
        <f t="shared" si="600"/>
        <v>45264.37</v>
      </c>
      <c r="O85" s="36"/>
      <c r="P85" s="38">
        <f t="shared" si="862"/>
        <v>0</v>
      </c>
      <c r="Q85" s="38"/>
      <c r="R85" s="38">
        <f t="shared" si="862"/>
        <v>0</v>
      </c>
      <c r="S85" s="38">
        <f t="shared" si="602"/>
        <v>415.88</v>
      </c>
      <c r="T85" s="37">
        <f t="shared" ref="T85:V85" si="965">TRUNC($M85 * S85,2)</f>
        <v>45264.37</v>
      </c>
      <c r="U85" s="36"/>
      <c r="V85" s="38">
        <f t="shared" si="965"/>
        <v>0</v>
      </c>
      <c r="W85" s="38"/>
      <c r="X85" s="38">
        <f t="shared" ref="X85" si="966">TRUNC($M85 * W85,2)</f>
        <v>0</v>
      </c>
      <c r="Y85" s="38"/>
      <c r="Z85" s="38">
        <f t="shared" ref="Z85" si="967">TRUNC($M85 * Y85,2)</f>
        <v>0</v>
      </c>
      <c r="AA85" s="38"/>
      <c r="AB85" s="38">
        <f t="shared" ref="AB85" si="968">TRUNC($M85 * AA85,2)</f>
        <v>0</v>
      </c>
      <c r="AC85" s="38"/>
      <c r="AD85" s="38">
        <f t="shared" ref="AD85" si="969">TRUNC($M85 * AC85,2)</f>
        <v>0</v>
      </c>
      <c r="AE85" s="38"/>
      <c r="AF85" s="38">
        <f t="shared" ref="AF85" si="970">TRUNC($M85 * AE85,2)</f>
        <v>0</v>
      </c>
      <c r="AG85" s="38"/>
      <c r="AH85" s="38">
        <f t="shared" ref="AH85" si="971">TRUNC($M85 * AG85,2)</f>
        <v>0</v>
      </c>
      <c r="AI85" s="38"/>
      <c r="AJ85" s="38">
        <f t="shared" ref="AJ85" si="972">TRUNC($M85 * AI85,2)</f>
        <v>0</v>
      </c>
      <c r="AK85" s="38"/>
      <c r="AL85" s="38">
        <f t="shared" ref="AL85" si="973">TRUNC($M85 * AK85,2)</f>
        <v>0</v>
      </c>
      <c r="AM85" s="38"/>
      <c r="AN85" s="38">
        <f t="shared" ref="AN85" si="974">TRUNC($M85 * AM85,2)</f>
        <v>0</v>
      </c>
      <c r="AO85" s="38"/>
      <c r="AP85" s="38">
        <f t="shared" ref="AP85" si="975">TRUNC($M85 * AO85,2)</f>
        <v>0</v>
      </c>
      <c r="AQ85" s="38"/>
      <c r="AR85" s="38">
        <f t="shared" ref="AR85" si="976">TRUNC($M85 * AQ85,2)</f>
        <v>0</v>
      </c>
      <c r="AS85" s="38"/>
      <c r="AT85" s="38">
        <f t="shared" ref="AT85" si="977">TRUNC($M85 * AS85,2)</f>
        <v>0</v>
      </c>
      <c r="AU85" s="38"/>
      <c r="AV85" s="38">
        <f t="shared" ref="AV85" si="978">TRUNC($M85 * AU85,2)</f>
        <v>0</v>
      </c>
      <c r="AW85" s="38"/>
      <c r="AX85" s="37">
        <f t="shared" ref="AX85" si="979">TRUNC($M85 * AW85,2)</f>
        <v>0</v>
      </c>
      <c r="AY85" s="36">
        <f t="shared" si="618"/>
        <v>0</v>
      </c>
      <c r="AZ85" s="38">
        <f t="shared" ref="AZ85" si="980">TRUNC($M85 * AY85,2)</f>
        <v>0</v>
      </c>
      <c r="BA85" s="38">
        <f t="shared" si="620"/>
        <v>415.88</v>
      </c>
      <c r="BB85" s="37">
        <f t="shared" ref="BB85" si="981">TRUNC($M85 * BA85,2)</f>
        <v>45264.37</v>
      </c>
    </row>
    <row r="86" spans="1:54" ht="39" customHeight="1" x14ac:dyDescent="0.25">
      <c r="A86" s="31" t="s">
        <v>196</v>
      </c>
      <c r="B86" s="31" t="s">
        <v>197</v>
      </c>
      <c r="C86" s="31" t="s">
        <v>34</v>
      </c>
      <c r="D86" s="31" t="s">
        <v>198</v>
      </c>
      <c r="E86" s="48" t="s">
        <v>26</v>
      </c>
      <c r="F86" s="33">
        <v>60.6</v>
      </c>
      <c r="G86" s="34">
        <v>17.41</v>
      </c>
      <c r="H86" s="34">
        <f t="shared" si="597"/>
        <v>16.03</v>
      </c>
      <c r="I86" s="34">
        <f t="shared" si="598"/>
        <v>971.41</v>
      </c>
      <c r="J86" s="34">
        <f>(TRUNC(H86 * L14,2) + H86)</f>
        <v>19.29</v>
      </c>
      <c r="K86" s="34">
        <f t="shared" si="861"/>
        <v>1168.97</v>
      </c>
      <c r="L86" s="35">
        <f>K86 / L13</f>
        <v>4.0309310344827581E-4</v>
      </c>
      <c r="M86" s="36">
        <v>15.27</v>
      </c>
      <c r="N86" s="37">
        <f t="shared" si="600"/>
        <v>925.36</v>
      </c>
      <c r="O86" s="36"/>
      <c r="P86" s="38">
        <f t="shared" si="862"/>
        <v>0</v>
      </c>
      <c r="Q86" s="38"/>
      <c r="R86" s="38">
        <f t="shared" si="862"/>
        <v>0</v>
      </c>
      <c r="S86" s="38">
        <f t="shared" si="602"/>
        <v>60.6</v>
      </c>
      <c r="T86" s="37">
        <f t="shared" ref="T86:V86" si="982">TRUNC($M86 * S86,2)</f>
        <v>925.36</v>
      </c>
      <c r="U86" s="36"/>
      <c r="V86" s="38">
        <f t="shared" si="982"/>
        <v>0</v>
      </c>
      <c r="W86" s="38"/>
      <c r="X86" s="38">
        <f t="shared" ref="X86" si="983">TRUNC($M86 * W86,2)</f>
        <v>0</v>
      </c>
      <c r="Y86" s="38"/>
      <c r="Z86" s="38">
        <f t="shared" ref="Z86" si="984">TRUNC($M86 * Y86,2)</f>
        <v>0</v>
      </c>
      <c r="AA86" s="38"/>
      <c r="AB86" s="38">
        <f t="shared" ref="AB86" si="985">TRUNC($M86 * AA86,2)</f>
        <v>0</v>
      </c>
      <c r="AC86" s="38"/>
      <c r="AD86" s="38">
        <f t="shared" ref="AD86" si="986">TRUNC($M86 * AC86,2)</f>
        <v>0</v>
      </c>
      <c r="AE86" s="38"/>
      <c r="AF86" s="38">
        <f t="shared" ref="AF86" si="987">TRUNC($M86 * AE86,2)</f>
        <v>0</v>
      </c>
      <c r="AG86" s="38"/>
      <c r="AH86" s="38">
        <f t="shared" ref="AH86" si="988">TRUNC($M86 * AG86,2)</f>
        <v>0</v>
      </c>
      <c r="AI86" s="38"/>
      <c r="AJ86" s="38">
        <f t="shared" ref="AJ86" si="989">TRUNC($M86 * AI86,2)</f>
        <v>0</v>
      </c>
      <c r="AK86" s="38"/>
      <c r="AL86" s="38">
        <f t="shared" ref="AL86" si="990">TRUNC($M86 * AK86,2)</f>
        <v>0</v>
      </c>
      <c r="AM86" s="38"/>
      <c r="AN86" s="38">
        <f t="shared" ref="AN86" si="991">TRUNC($M86 * AM86,2)</f>
        <v>0</v>
      </c>
      <c r="AO86" s="38"/>
      <c r="AP86" s="38">
        <f t="shared" ref="AP86" si="992">TRUNC($M86 * AO86,2)</f>
        <v>0</v>
      </c>
      <c r="AQ86" s="38"/>
      <c r="AR86" s="38">
        <f t="shared" ref="AR86" si="993">TRUNC($M86 * AQ86,2)</f>
        <v>0</v>
      </c>
      <c r="AS86" s="38"/>
      <c r="AT86" s="38">
        <f t="shared" ref="AT86" si="994">TRUNC($M86 * AS86,2)</f>
        <v>0</v>
      </c>
      <c r="AU86" s="38"/>
      <c r="AV86" s="38">
        <f t="shared" ref="AV86" si="995">TRUNC($M86 * AU86,2)</f>
        <v>0</v>
      </c>
      <c r="AW86" s="38"/>
      <c r="AX86" s="37">
        <f t="shared" ref="AX86" si="996">TRUNC($M86 * AW86,2)</f>
        <v>0</v>
      </c>
      <c r="AY86" s="36">
        <f t="shared" si="618"/>
        <v>0</v>
      </c>
      <c r="AZ86" s="38">
        <f t="shared" ref="AZ86" si="997">TRUNC($M86 * AY86,2)</f>
        <v>0</v>
      </c>
      <c r="BA86" s="38">
        <f t="shared" si="620"/>
        <v>60.6</v>
      </c>
      <c r="BB86" s="37">
        <f t="shared" ref="BB86" si="998">TRUNC($M86 * BA86,2)</f>
        <v>925.36</v>
      </c>
    </row>
    <row r="87" spans="1:54" ht="24" customHeight="1" x14ac:dyDescent="0.25">
      <c r="A87" s="4" t="s">
        <v>199</v>
      </c>
      <c r="B87" s="4" t="s">
        <v>12</v>
      </c>
      <c r="C87" s="4"/>
      <c r="D87" s="4" t="s">
        <v>200</v>
      </c>
      <c r="E87" s="5"/>
      <c r="F87" s="14"/>
      <c r="G87" s="6"/>
      <c r="H87" s="6"/>
      <c r="I87" s="7">
        <f>SUM(I88:I91)</f>
        <v>6091.92</v>
      </c>
      <c r="J87" s="7"/>
      <c r="K87" s="7">
        <f>SUM(K88:K91)</f>
        <v>7329.2</v>
      </c>
      <c r="L87" s="22">
        <f>K87 / L13</f>
        <v>2.5273103448275858E-3</v>
      </c>
      <c r="M87" s="25"/>
      <c r="N87" s="26">
        <f>SUM(N88:N91)</f>
        <v>5172.4799999999996</v>
      </c>
      <c r="O87" s="25"/>
      <c r="P87" s="30">
        <f>SUM(P88:P91)</f>
        <v>0</v>
      </c>
      <c r="Q87" s="30"/>
      <c r="R87" s="30">
        <f>SUM(R88:R91)</f>
        <v>0</v>
      </c>
      <c r="S87" s="30"/>
      <c r="T87" s="26">
        <f>SUM(T88:T91)</f>
        <v>5172.4799999999996</v>
      </c>
      <c r="U87" s="25"/>
      <c r="V87" s="30">
        <f>SUM(V88:V91)</f>
        <v>0</v>
      </c>
      <c r="W87" s="30"/>
      <c r="X87" s="30">
        <f>SUM(X88:X91)</f>
        <v>0</v>
      </c>
      <c r="Y87" s="30"/>
      <c r="Z87" s="30">
        <f>SUM(Z88:Z91)</f>
        <v>0</v>
      </c>
      <c r="AA87" s="30"/>
      <c r="AB87" s="30">
        <f>SUM(AB88:AB91)</f>
        <v>0</v>
      </c>
      <c r="AC87" s="30"/>
      <c r="AD87" s="30">
        <f>SUM(AD88:AD91)</f>
        <v>0</v>
      </c>
      <c r="AE87" s="30"/>
      <c r="AF87" s="30">
        <f>SUM(AF88:AF91)</f>
        <v>0</v>
      </c>
      <c r="AG87" s="30"/>
      <c r="AH87" s="30">
        <f>SUM(AH88:AH91)</f>
        <v>0</v>
      </c>
      <c r="AI87" s="30"/>
      <c r="AJ87" s="30">
        <f>SUM(AJ88:AJ91)</f>
        <v>0</v>
      </c>
      <c r="AK87" s="30"/>
      <c r="AL87" s="30">
        <f>SUM(AL88:AL91)</f>
        <v>0</v>
      </c>
      <c r="AM87" s="30"/>
      <c r="AN87" s="30">
        <f>SUM(AN88:AN91)</f>
        <v>0</v>
      </c>
      <c r="AO87" s="30"/>
      <c r="AP87" s="30">
        <f>SUM(AP88:AP91)</f>
        <v>0</v>
      </c>
      <c r="AQ87" s="30"/>
      <c r="AR87" s="30">
        <f>SUM(AR88:AR91)</f>
        <v>0</v>
      </c>
      <c r="AS87" s="30"/>
      <c r="AT87" s="30">
        <f>SUM(AT88:AT91)</f>
        <v>0</v>
      </c>
      <c r="AU87" s="30"/>
      <c r="AV87" s="30">
        <f>SUM(AV88:AV91)</f>
        <v>0</v>
      </c>
      <c r="AW87" s="30"/>
      <c r="AX87" s="26">
        <f>SUM(AX88:AX91)</f>
        <v>0</v>
      </c>
      <c r="AY87" s="25"/>
      <c r="AZ87" s="30">
        <f>SUM(AZ88:AZ91)</f>
        <v>0</v>
      </c>
      <c r="BA87" s="30"/>
      <c r="BB87" s="26">
        <f>SUM(BB88:BB91)</f>
        <v>5172.4799999999996</v>
      </c>
    </row>
    <row r="88" spans="1:54" ht="39" customHeight="1" x14ac:dyDescent="0.25">
      <c r="A88" s="31" t="s">
        <v>201</v>
      </c>
      <c r="B88" s="31" t="s">
        <v>202</v>
      </c>
      <c r="C88" s="31" t="s">
        <v>34</v>
      </c>
      <c r="D88" s="31" t="s">
        <v>203</v>
      </c>
      <c r="E88" s="32" t="s">
        <v>26</v>
      </c>
      <c r="F88" s="33">
        <v>6.25</v>
      </c>
      <c r="G88" s="34">
        <v>236.73</v>
      </c>
      <c r="H88" s="34">
        <f t="shared" si="597"/>
        <v>217.96</v>
      </c>
      <c r="I88" s="34">
        <f t="shared" si="598"/>
        <v>1362.25</v>
      </c>
      <c r="J88" s="34">
        <f>(TRUNC(H88 * L14,2) + H88)</f>
        <v>262.29000000000002</v>
      </c>
      <c r="K88" s="34">
        <f>TRUNC(F88 * J88,2)</f>
        <v>1639.31</v>
      </c>
      <c r="L88" s="35">
        <f>K88 / L13</f>
        <v>5.6527931034482744E-4</v>
      </c>
      <c r="M88" s="36">
        <v>179.93</v>
      </c>
      <c r="N88" s="37">
        <f t="shared" si="600"/>
        <v>1124.56</v>
      </c>
      <c r="O88" s="36"/>
      <c r="P88" s="38">
        <f t="shared" si="862"/>
        <v>0</v>
      </c>
      <c r="Q88" s="38"/>
      <c r="R88" s="38">
        <f t="shared" si="862"/>
        <v>0</v>
      </c>
      <c r="S88" s="38">
        <f t="shared" si="602"/>
        <v>6.25</v>
      </c>
      <c r="T88" s="37">
        <f t="shared" ref="T88:V88" si="999">TRUNC($M88 * S88,2)</f>
        <v>1124.56</v>
      </c>
      <c r="U88" s="36"/>
      <c r="V88" s="38">
        <f t="shared" si="999"/>
        <v>0</v>
      </c>
      <c r="W88" s="38"/>
      <c r="X88" s="38">
        <f t="shared" ref="X88" si="1000">TRUNC($M88 * W88,2)</f>
        <v>0</v>
      </c>
      <c r="Y88" s="38"/>
      <c r="Z88" s="38">
        <f t="shared" ref="Z88" si="1001">TRUNC($M88 * Y88,2)</f>
        <v>0</v>
      </c>
      <c r="AA88" s="38"/>
      <c r="AB88" s="38">
        <f t="shared" ref="AB88" si="1002">TRUNC($M88 * AA88,2)</f>
        <v>0</v>
      </c>
      <c r="AC88" s="38"/>
      <c r="AD88" s="38">
        <f t="shared" ref="AD88" si="1003">TRUNC($M88 * AC88,2)</f>
        <v>0</v>
      </c>
      <c r="AE88" s="38"/>
      <c r="AF88" s="38">
        <f t="shared" ref="AF88" si="1004">TRUNC($M88 * AE88,2)</f>
        <v>0</v>
      </c>
      <c r="AG88" s="38"/>
      <c r="AH88" s="38">
        <f t="shared" ref="AH88" si="1005">TRUNC($M88 * AG88,2)</f>
        <v>0</v>
      </c>
      <c r="AI88" s="38"/>
      <c r="AJ88" s="38">
        <f t="shared" ref="AJ88" si="1006">TRUNC($M88 * AI88,2)</f>
        <v>0</v>
      </c>
      <c r="AK88" s="38"/>
      <c r="AL88" s="38">
        <f t="shared" ref="AL88" si="1007">TRUNC($M88 * AK88,2)</f>
        <v>0</v>
      </c>
      <c r="AM88" s="38"/>
      <c r="AN88" s="38">
        <f t="shared" ref="AN88" si="1008">TRUNC($M88 * AM88,2)</f>
        <v>0</v>
      </c>
      <c r="AO88" s="38"/>
      <c r="AP88" s="38">
        <f t="shared" ref="AP88" si="1009">TRUNC($M88 * AO88,2)</f>
        <v>0</v>
      </c>
      <c r="AQ88" s="38"/>
      <c r="AR88" s="38">
        <f t="shared" ref="AR88" si="1010">TRUNC($M88 * AQ88,2)</f>
        <v>0</v>
      </c>
      <c r="AS88" s="38"/>
      <c r="AT88" s="38">
        <f t="shared" ref="AT88" si="1011">TRUNC($M88 * AS88,2)</f>
        <v>0</v>
      </c>
      <c r="AU88" s="38"/>
      <c r="AV88" s="38">
        <f t="shared" ref="AV88" si="1012">TRUNC($M88 * AU88,2)</f>
        <v>0</v>
      </c>
      <c r="AW88" s="38"/>
      <c r="AX88" s="37">
        <f t="shared" ref="AX88" si="1013">TRUNC($M88 * AW88,2)</f>
        <v>0</v>
      </c>
      <c r="AY88" s="36">
        <f t="shared" si="618"/>
        <v>0</v>
      </c>
      <c r="AZ88" s="38">
        <f t="shared" ref="AZ88" si="1014">TRUNC($M88 * AY88,2)</f>
        <v>0</v>
      </c>
      <c r="BA88" s="38">
        <f t="shared" si="620"/>
        <v>6.25</v>
      </c>
      <c r="BB88" s="37">
        <f t="shared" ref="BB88" si="1015">TRUNC($M88 * BA88,2)</f>
        <v>1124.56</v>
      </c>
    </row>
    <row r="89" spans="1:54" ht="26.1" customHeight="1" x14ac:dyDescent="0.25">
      <c r="A89" s="31" t="s">
        <v>204</v>
      </c>
      <c r="B89" s="31" t="s">
        <v>67</v>
      </c>
      <c r="C89" s="31" t="s">
        <v>19</v>
      </c>
      <c r="D89" s="31" t="s">
        <v>68</v>
      </c>
      <c r="E89" s="32" t="s">
        <v>69</v>
      </c>
      <c r="F89" s="33">
        <v>32</v>
      </c>
      <c r="G89" s="34">
        <v>47.62</v>
      </c>
      <c r="H89" s="34">
        <f t="shared" si="597"/>
        <v>43.84</v>
      </c>
      <c r="I89" s="34">
        <f t="shared" si="598"/>
        <v>1402.88</v>
      </c>
      <c r="J89" s="34">
        <f>(TRUNC(H89 * L14,2) + H89)</f>
        <v>52.75</v>
      </c>
      <c r="K89" s="34">
        <f>TRUNC(F89 * J89,2)</f>
        <v>1688</v>
      </c>
      <c r="L89" s="35">
        <f>K89 / L13</f>
        <v>5.8206896551724128E-4</v>
      </c>
      <c r="M89" s="36">
        <v>36.229999999999997</v>
      </c>
      <c r="N89" s="37">
        <f t="shared" si="600"/>
        <v>1159.3599999999999</v>
      </c>
      <c r="O89" s="36"/>
      <c r="P89" s="38">
        <f t="shared" si="862"/>
        <v>0</v>
      </c>
      <c r="Q89" s="38"/>
      <c r="R89" s="38">
        <f t="shared" si="862"/>
        <v>0</v>
      </c>
      <c r="S89" s="38">
        <f t="shared" si="602"/>
        <v>32</v>
      </c>
      <c r="T89" s="37">
        <f t="shared" ref="T89:V89" si="1016">TRUNC($M89 * S89,2)</f>
        <v>1159.3599999999999</v>
      </c>
      <c r="U89" s="36"/>
      <c r="V89" s="38">
        <f t="shared" si="1016"/>
        <v>0</v>
      </c>
      <c r="W89" s="38"/>
      <c r="X89" s="38">
        <f t="shared" ref="X89" si="1017">TRUNC($M89 * W89,2)</f>
        <v>0</v>
      </c>
      <c r="Y89" s="38"/>
      <c r="Z89" s="38">
        <f t="shared" ref="Z89" si="1018">TRUNC($M89 * Y89,2)</f>
        <v>0</v>
      </c>
      <c r="AA89" s="38"/>
      <c r="AB89" s="38">
        <f t="shared" ref="AB89" si="1019">TRUNC($M89 * AA89,2)</f>
        <v>0</v>
      </c>
      <c r="AC89" s="38"/>
      <c r="AD89" s="38">
        <f t="shared" ref="AD89" si="1020">TRUNC($M89 * AC89,2)</f>
        <v>0</v>
      </c>
      <c r="AE89" s="38"/>
      <c r="AF89" s="38">
        <f t="shared" ref="AF89" si="1021">TRUNC($M89 * AE89,2)</f>
        <v>0</v>
      </c>
      <c r="AG89" s="38"/>
      <c r="AH89" s="38">
        <f t="shared" ref="AH89" si="1022">TRUNC($M89 * AG89,2)</f>
        <v>0</v>
      </c>
      <c r="AI89" s="38"/>
      <c r="AJ89" s="38">
        <f t="shared" ref="AJ89" si="1023">TRUNC($M89 * AI89,2)</f>
        <v>0</v>
      </c>
      <c r="AK89" s="38"/>
      <c r="AL89" s="38">
        <f t="shared" ref="AL89" si="1024">TRUNC($M89 * AK89,2)</f>
        <v>0</v>
      </c>
      <c r="AM89" s="38"/>
      <c r="AN89" s="38">
        <f t="shared" ref="AN89" si="1025">TRUNC($M89 * AM89,2)</f>
        <v>0</v>
      </c>
      <c r="AO89" s="38"/>
      <c r="AP89" s="38">
        <f t="shared" ref="AP89" si="1026">TRUNC($M89 * AO89,2)</f>
        <v>0</v>
      </c>
      <c r="AQ89" s="38"/>
      <c r="AR89" s="38">
        <f t="shared" ref="AR89" si="1027">TRUNC($M89 * AQ89,2)</f>
        <v>0</v>
      </c>
      <c r="AS89" s="38"/>
      <c r="AT89" s="38">
        <f t="shared" ref="AT89" si="1028">TRUNC($M89 * AS89,2)</f>
        <v>0</v>
      </c>
      <c r="AU89" s="38"/>
      <c r="AV89" s="38">
        <f t="shared" ref="AV89" si="1029">TRUNC($M89 * AU89,2)</f>
        <v>0</v>
      </c>
      <c r="AW89" s="38"/>
      <c r="AX89" s="37">
        <f t="shared" ref="AX89" si="1030">TRUNC($M89 * AW89,2)</f>
        <v>0</v>
      </c>
      <c r="AY89" s="36">
        <f t="shared" si="618"/>
        <v>0</v>
      </c>
      <c r="AZ89" s="38">
        <f t="shared" ref="AZ89" si="1031">TRUNC($M89 * AY89,2)</f>
        <v>0</v>
      </c>
      <c r="BA89" s="38">
        <f t="shared" si="620"/>
        <v>32</v>
      </c>
      <c r="BB89" s="37">
        <f t="shared" ref="BB89" si="1032">TRUNC($M89 * BA89,2)</f>
        <v>1159.3599999999999</v>
      </c>
    </row>
    <row r="90" spans="1:54" ht="26.1" customHeight="1" x14ac:dyDescent="0.25">
      <c r="A90" s="31" t="s">
        <v>205</v>
      </c>
      <c r="B90" s="31" t="s">
        <v>71</v>
      </c>
      <c r="C90" s="31" t="s">
        <v>19</v>
      </c>
      <c r="D90" s="31" t="s">
        <v>72</v>
      </c>
      <c r="E90" s="32" t="s">
        <v>51</v>
      </c>
      <c r="F90" s="33">
        <v>1.57</v>
      </c>
      <c r="G90" s="34">
        <v>604.5</v>
      </c>
      <c r="H90" s="34">
        <f t="shared" si="597"/>
        <v>556.58000000000004</v>
      </c>
      <c r="I90" s="34">
        <f t="shared" si="598"/>
        <v>873.83</v>
      </c>
      <c r="J90" s="34">
        <f>(TRUNC(H90 * L14,2) + H90)</f>
        <v>669.78000000000009</v>
      </c>
      <c r="K90" s="34">
        <f>TRUNC(F90 * J90,2)</f>
        <v>1051.55</v>
      </c>
      <c r="L90" s="35">
        <f>K90 / L13</f>
        <v>3.6260344827586198E-4</v>
      </c>
      <c r="M90" s="36">
        <v>428.65</v>
      </c>
      <c r="N90" s="37">
        <f t="shared" si="600"/>
        <v>672.98</v>
      </c>
      <c r="O90" s="36"/>
      <c r="P90" s="38">
        <f t="shared" si="862"/>
        <v>0</v>
      </c>
      <c r="Q90" s="38"/>
      <c r="R90" s="38">
        <f t="shared" si="862"/>
        <v>0</v>
      </c>
      <c r="S90" s="38">
        <f t="shared" si="602"/>
        <v>1.57</v>
      </c>
      <c r="T90" s="37">
        <f t="shared" ref="T90:V90" si="1033">TRUNC($M90 * S90,2)</f>
        <v>672.98</v>
      </c>
      <c r="U90" s="36"/>
      <c r="V90" s="38">
        <f t="shared" si="1033"/>
        <v>0</v>
      </c>
      <c r="W90" s="38"/>
      <c r="X90" s="38">
        <f t="shared" ref="X90" si="1034">TRUNC($M90 * W90,2)</f>
        <v>0</v>
      </c>
      <c r="Y90" s="38"/>
      <c r="Z90" s="38">
        <f t="shared" ref="Z90" si="1035">TRUNC($M90 * Y90,2)</f>
        <v>0</v>
      </c>
      <c r="AA90" s="38"/>
      <c r="AB90" s="38">
        <f t="shared" ref="AB90" si="1036">TRUNC($M90 * AA90,2)</f>
        <v>0</v>
      </c>
      <c r="AC90" s="38"/>
      <c r="AD90" s="38">
        <f t="shared" ref="AD90" si="1037">TRUNC($M90 * AC90,2)</f>
        <v>0</v>
      </c>
      <c r="AE90" s="38"/>
      <c r="AF90" s="38">
        <f t="shared" ref="AF90" si="1038">TRUNC($M90 * AE90,2)</f>
        <v>0</v>
      </c>
      <c r="AG90" s="38"/>
      <c r="AH90" s="38">
        <f t="shared" ref="AH90" si="1039">TRUNC($M90 * AG90,2)</f>
        <v>0</v>
      </c>
      <c r="AI90" s="38"/>
      <c r="AJ90" s="38">
        <f t="shared" ref="AJ90" si="1040">TRUNC($M90 * AI90,2)</f>
        <v>0</v>
      </c>
      <c r="AK90" s="38"/>
      <c r="AL90" s="38">
        <f t="shared" ref="AL90" si="1041">TRUNC($M90 * AK90,2)</f>
        <v>0</v>
      </c>
      <c r="AM90" s="38"/>
      <c r="AN90" s="38">
        <f t="shared" ref="AN90" si="1042">TRUNC($M90 * AM90,2)</f>
        <v>0</v>
      </c>
      <c r="AO90" s="38"/>
      <c r="AP90" s="38">
        <f t="shared" ref="AP90" si="1043">TRUNC($M90 * AO90,2)</f>
        <v>0</v>
      </c>
      <c r="AQ90" s="38"/>
      <c r="AR90" s="38">
        <f t="shared" ref="AR90" si="1044">TRUNC($M90 * AQ90,2)</f>
        <v>0</v>
      </c>
      <c r="AS90" s="38"/>
      <c r="AT90" s="38">
        <f t="shared" ref="AT90" si="1045">TRUNC($M90 * AS90,2)</f>
        <v>0</v>
      </c>
      <c r="AU90" s="38"/>
      <c r="AV90" s="38">
        <f t="shared" ref="AV90" si="1046">TRUNC($M90 * AU90,2)</f>
        <v>0</v>
      </c>
      <c r="AW90" s="38"/>
      <c r="AX90" s="37">
        <f t="shared" ref="AX90" si="1047">TRUNC($M90 * AW90,2)</f>
        <v>0</v>
      </c>
      <c r="AY90" s="36">
        <f t="shared" si="618"/>
        <v>0</v>
      </c>
      <c r="AZ90" s="38">
        <f t="shared" ref="AZ90" si="1048">TRUNC($M90 * AY90,2)</f>
        <v>0</v>
      </c>
      <c r="BA90" s="38">
        <f t="shared" si="620"/>
        <v>1.57</v>
      </c>
      <c r="BB90" s="37">
        <f t="shared" ref="BB90" si="1049">TRUNC($M90 * BA90,2)</f>
        <v>672.98</v>
      </c>
    </row>
    <row r="91" spans="1:54" ht="26.1" customHeight="1" x14ac:dyDescent="0.25">
      <c r="A91" s="31" t="s">
        <v>206</v>
      </c>
      <c r="B91" s="31" t="s">
        <v>78</v>
      </c>
      <c r="C91" s="31" t="s">
        <v>34</v>
      </c>
      <c r="D91" s="31" t="s">
        <v>79</v>
      </c>
      <c r="E91" s="32" t="s">
        <v>76</v>
      </c>
      <c r="F91" s="33">
        <v>188.4</v>
      </c>
      <c r="G91" s="34">
        <v>14.15</v>
      </c>
      <c r="H91" s="34">
        <f t="shared" si="597"/>
        <v>13.02</v>
      </c>
      <c r="I91" s="34">
        <f t="shared" si="598"/>
        <v>2452.96</v>
      </c>
      <c r="J91" s="34">
        <f>(TRUNC(H91 * L14,2) + H91)</f>
        <v>15.66</v>
      </c>
      <c r="K91" s="34">
        <f>TRUNC(F91 * J91,2)</f>
        <v>2950.34</v>
      </c>
      <c r="L91" s="35">
        <f>K91 / L13</f>
        <v>1.0173586206896552E-3</v>
      </c>
      <c r="M91" s="36">
        <v>11.76</v>
      </c>
      <c r="N91" s="37">
        <f t="shared" si="600"/>
        <v>2215.58</v>
      </c>
      <c r="O91" s="36"/>
      <c r="P91" s="38">
        <f t="shared" si="862"/>
        <v>0</v>
      </c>
      <c r="Q91" s="38"/>
      <c r="R91" s="38">
        <f t="shared" si="862"/>
        <v>0</v>
      </c>
      <c r="S91" s="38">
        <f t="shared" si="602"/>
        <v>188.4</v>
      </c>
      <c r="T91" s="37">
        <f t="shared" ref="T91:V91" si="1050">TRUNC($M91 * S91,2)</f>
        <v>2215.58</v>
      </c>
      <c r="U91" s="36"/>
      <c r="V91" s="38">
        <f t="shared" si="1050"/>
        <v>0</v>
      </c>
      <c r="W91" s="38"/>
      <c r="X91" s="38">
        <f t="shared" ref="X91" si="1051">TRUNC($M91 * W91,2)</f>
        <v>0</v>
      </c>
      <c r="Y91" s="38"/>
      <c r="Z91" s="38">
        <f t="shared" ref="Z91" si="1052">TRUNC($M91 * Y91,2)</f>
        <v>0</v>
      </c>
      <c r="AA91" s="38"/>
      <c r="AB91" s="38">
        <f t="shared" ref="AB91" si="1053">TRUNC($M91 * AA91,2)</f>
        <v>0</v>
      </c>
      <c r="AC91" s="38"/>
      <c r="AD91" s="38">
        <f t="shared" ref="AD91" si="1054">TRUNC($M91 * AC91,2)</f>
        <v>0</v>
      </c>
      <c r="AE91" s="38"/>
      <c r="AF91" s="38">
        <f t="shared" ref="AF91" si="1055">TRUNC($M91 * AE91,2)</f>
        <v>0</v>
      </c>
      <c r="AG91" s="38"/>
      <c r="AH91" s="38">
        <f t="shared" ref="AH91" si="1056">TRUNC($M91 * AG91,2)</f>
        <v>0</v>
      </c>
      <c r="AI91" s="38"/>
      <c r="AJ91" s="38">
        <f t="shared" ref="AJ91" si="1057">TRUNC($M91 * AI91,2)</f>
        <v>0</v>
      </c>
      <c r="AK91" s="38"/>
      <c r="AL91" s="38">
        <f t="shared" ref="AL91" si="1058">TRUNC($M91 * AK91,2)</f>
        <v>0</v>
      </c>
      <c r="AM91" s="38"/>
      <c r="AN91" s="38">
        <f t="shared" ref="AN91" si="1059">TRUNC($M91 * AM91,2)</f>
        <v>0</v>
      </c>
      <c r="AO91" s="38"/>
      <c r="AP91" s="38">
        <f t="shared" ref="AP91" si="1060">TRUNC($M91 * AO91,2)</f>
        <v>0</v>
      </c>
      <c r="AQ91" s="38"/>
      <c r="AR91" s="38">
        <f t="shared" ref="AR91" si="1061">TRUNC($M91 * AQ91,2)</f>
        <v>0</v>
      </c>
      <c r="AS91" s="38"/>
      <c r="AT91" s="38">
        <f t="shared" ref="AT91" si="1062">TRUNC($M91 * AS91,2)</f>
        <v>0</v>
      </c>
      <c r="AU91" s="38"/>
      <c r="AV91" s="38">
        <f t="shared" ref="AV91" si="1063">TRUNC($M91 * AU91,2)</f>
        <v>0</v>
      </c>
      <c r="AW91" s="38"/>
      <c r="AX91" s="37">
        <f t="shared" ref="AX91" si="1064">TRUNC($M91 * AW91,2)</f>
        <v>0</v>
      </c>
      <c r="AY91" s="36">
        <f t="shared" si="618"/>
        <v>0</v>
      </c>
      <c r="AZ91" s="38">
        <f t="shared" ref="AZ91" si="1065">TRUNC($M91 * AY91,2)</f>
        <v>0</v>
      </c>
      <c r="BA91" s="38">
        <f t="shared" si="620"/>
        <v>188.4</v>
      </c>
      <c r="BB91" s="37">
        <f t="shared" ref="BB91" si="1066">TRUNC($M91 * BA91,2)</f>
        <v>2215.58</v>
      </c>
    </row>
    <row r="92" spans="1:54" ht="24" customHeight="1" x14ac:dyDescent="0.25">
      <c r="A92" s="4" t="s">
        <v>207</v>
      </c>
      <c r="B92" s="4" t="s">
        <v>12</v>
      </c>
      <c r="C92" s="4"/>
      <c r="D92" s="4" t="s">
        <v>208</v>
      </c>
      <c r="E92" s="5"/>
      <c r="F92" s="14"/>
      <c r="G92" s="6"/>
      <c r="H92" s="6"/>
      <c r="I92" s="7">
        <f>SUM(I93,I101,I106)</f>
        <v>264157.86</v>
      </c>
      <c r="J92" s="7"/>
      <c r="K92" s="7">
        <f>SUM(K93,K101,K106)</f>
        <v>317880.23</v>
      </c>
      <c r="L92" s="22">
        <f>K92 / L13</f>
        <v>0.10961387241379308</v>
      </c>
      <c r="M92" s="25"/>
      <c r="N92" s="26">
        <f>SUM(N93,N101,N106)</f>
        <v>229925.2</v>
      </c>
      <c r="O92" s="25"/>
      <c r="P92" s="30">
        <f>SUM(P93,P101,P106)</f>
        <v>0</v>
      </c>
      <c r="Q92" s="30"/>
      <c r="R92" s="30">
        <f>SUM(R93,R101,R106)</f>
        <v>0</v>
      </c>
      <c r="S92" s="30"/>
      <c r="T92" s="26">
        <f>SUM(T93,T101,T106)</f>
        <v>229925.2</v>
      </c>
      <c r="U92" s="25"/>
      <c r="V92" s="30">
        <f>SUM(V93,V101,V106)</f>
        <v>0</v>
      </c>
      <c r="W92" s="30"/>
      <c r="X92" s="30">
        <f>SUM(X93,X101,X106)</f>
        <v>0</v>
      </c>
      <c r="Y92" s="30"/>
      <c r="Z92" s="30">
        <f>SUM(Z93,Z101,Z106)</f>
        <v>0</v>
      </c>
      <c r="AA92" s="30"/>
      <c r="AB92" s="30">
        <f>SUM(AB93,AB101,AB106)</f>
        <v>0</v>
      </c>
      <c r="AC92" s="30"/>
      <c r="AD92" s="30">
        <f>SUM(AD93,AD101,AD106)</f>
        <v>0</v>
      </c>
      <c r="AE92" s="30"/>
      <c r="AF92" s="30">
        <f>SUM(AF93,AF101,AF106)</f>
        <v>0</v>
      </c>
      <c r="AG92" s="30"/>
      <c r="AH92" s="30">
        <f>SUM(AH93,AH101,AH106)</f>
        <v>0</v>
      </c>
      <c r="AI92" s="30"/>
      <c r="AJ92" s="30">
        <f>SUM(AJ93,AJ101,AJ106)</f>
        <v>0</v>
      </c>
      <c r="AK92" s="30"/>
      <c r="AL92" s="30">
        <f>SUM(AL93,AL101,AL106)</f>
        <v>0</v>
      </c>
      <c r="AM92" s="30"/>
      <c r="AN92" s="30">
        <f>SUM(AN93,AN101,AN106)</f>
        <v>0</v>
      </c>
      <c r="AO92" s="30"/>
      <c r="AP92" s="30">
        <f>SUM(AP93,AP101,AP106)</f>
        <v>0</v>
      </c>
      <c r="AQ92" s="30"/>
      <c r="AR92" s="30">
        <f>SUM(AR93,AR101,AR106)</f>
        <v>0</v>
      </c>
      <c r="AS92" s="30"/>
      <c r="AT92" s="30">
        <f>SUM(AT93,AT101,AT106)</f>
        <v>0</v>
      </c>
      <c r="AU92" s="30"/>
      <c r="AV92" s="30">
        <f>SUM(AV93,AV101,AV106)</f>
        <v>0</v>
      </c>
      <c r="AW92" s="30"/>
      <c r="AX92" s="26">
        <f>SUM(AX93,AX101,AX106)</f>
        <v>0</v>
      </c>
      <c r="AY92" s="25"/>
      <c r="AZ92" s="30">
        <f>SUM(AZ93,AZ101,AZ106)</f>
        <v>0</v>
      </c>
      <c r="BA92" s="30"/>
      <c r="BB92" s="26">
        <f>SUM(BB93,BB101,BB106)</f>
        <v>229925.2</v>
      </c>
    </row>
    <row r="93" spans="1:54" ht="24" customHeight="1" x14ac:dyDescent="0.25">
      <c r="A93" s="4" t="s">
        <v>209</v>
      </c>
      <c r="B93" s="4" t="s">
        <v>12</v>
      </c>
      <c r="C93" s="4"/>
      <c r="D93" s="4" t="s">
        <v>210</v>
      </c>
      <c r="E93" s="5"/>
      <c r="F93" s="14"/>
      <c r="G93" s="6"/>
      <c r="H93" s="6"/>
      <c r="I93" s="7">
        <f>SUM(I94:I100)</f>
        <v>209713.31999999998</v>
      </c>
      <c r="J93" s="7"/>
      <c r="K93" s="7">
        <f>SUM(K94:K100)</f>
        <v>252363.34</v>
      </c>
      <c r="L93" s="22">
        <f>K93 / L13</f>
        <v>8.7021841379310336E-2</v>
      </c>
      <c r="M93" s="25"/>
      <c r="N93" s="26">
        <f>SUM(N94:N100)</f>
        <v>181803.7</v>
      </c>
      <c r="O93" s="25"/>
      <c r="P93" s="30">
        <f>SUM(P94:P100)</f>
        <v>0</v>
      </c>
      <c r="Q93" s="30"/>
      <c r="R93" s="30">
        <f>SUM(R94:R100)</f>
        <v>0</v>
      </c>
      <c r="S93" s="30"/>
      <c r="T93" s="26">
        <f>SUM(T94:T100)</f>
        <v>181803.7</v>
      </c>
      <c r="U93" s="25"/>
      <c r="V93" s="30">
        <f>SUM(V94:V100)</f>
        <v>0</v>
      </c>
      <c r="W93" s="30"/>
      <c r="X93" s="30">
        <f>SUM(X94:X100)</f>
        <v>0</v>
      </c>
      <c r="Y93" s="30"/>
      <c r="Z93" s="30">
        <f>SUM(Z94:Z100)</f>
        <v>0</v>
      </c>
      <c r="AA93" s="30"/>
      <c r="AB93" s="30">
        <f>SUM(AB94:AB100)</f>
        <v>0</v>
      </c>
      <c r="AC93" s="30"/>
      <c r="AD93" s="30">
        <f>SUM(AD94:AD100)</f>
        <v>0</v>
      </c>
      <c r="AE93" s="30"/>
      <c r="AF93" s="30">
        <f>SUM(AF94:AF100)</f>
        <v>0</v>
      </c>
      <c r="AG93" s="30"/>
      <c r="AH93" s="30">
        <f>SUM(AH94:AH100)</f>
        <v>0</v>
      </c>
      <c r="AI93" s="30"/>
      <c r="AJ93" s="30">
        <f>SUM(AJ94:AJ100)</f>
        <v>0</v>
      </c>
      <c r="AK93" s="30"/>
      <c r="AL93" s="30">
        <f>SUM(AL94:AL100)</f>
        <v>0</v>
      </c>
      <c r="AM93" s="30"/>
      <c r="AN93" s="30">
        <f>SUM(AN94:AN100)</f>
        <v>0</v>
      </c>
      <c r="AO93" s="30"/>
      <c r="AP93" s="30">
        <f>SUM(AP94:AP100)</f>
        <v>0</v>
      </c>
      <c r="AQ93" s="30"/>
      <c r="AR93" s="30">
        <f>SUM(AR94:AR100)</f>
        <v>0</v>
      </c>
      <c r="AS93" s="30"/>
      <c r="AT93" s="30">
        <f>SUM(AT94:AT100)</f>
        <v>0</v>
      </c>
      <c r="AU93" s="30"/>
      <c r="AV93" s="30">
        <f>SUM(AV94:AV100)</f>
        <v>0</v>
      </c>
      <c r="AW93" s="30"/>
      <c r="AX93" s="26">
        <f>SUM(AX94:AX100)</f>
        <v>0</v>
      </c>
      <c r="AY93" s="25"/>
      <c r="AZ93" s="30">
        <f>SUM(AZ94:AZ100)</f>
        <v>0</v>
      </c>
      <c r="BA93" s="30"/>
      <c r="BB93" s="26">
        <f>SUM(BB94:BB100)</f>
        <v>181803.7</v>
      </c>
    </row>
    <row r="94" spans="1:54" ht="51.9" customHeight="1" x14ac:dyDescent="0.25">
      <c r="A94" s="31" t="s">
        <v>211</v>
      </c>
      <c r="B94" s="31" t="s">
        <v>212</v>
      </c>
      <c r="C94" s="31" t="s">
        <v>34</v>
      </c>
      <c r="D94" s="31" t="s">
        <v>213</v>
      </c>
      <c r="E94" s="32" t="s">
        <v>26</v>
      </c>
      <c r="F94" s="33">
        <v>11.17</v>
      </c>
      <c r="G94" s="34">
        <v>59.14</v>
      </c>
      <c r="H94" s="34">
        <f t="shared" ref="H94:H108" si="1067">TRUNC(G94*$L$1,2)</f>
        <v>54.45</v>
      </c>
      <c r="I94" s="34">
        <f t="shared" ref="I94:I109" si="1068">TRUNC(F94 * H94,2)</f>
        <v>608.20000000000005</v>
      </c>
      <c r="J94" s="34">
        <f>(TRUNC(H94 * L14,2) + H94)</f>
        <v>65.52000000000001</v>
      </c>
      <c r="K94" s="34">
        <f t="shared" ref="K94:K100" si="1069">TRUNC(F94 * J94,2)</f>
        <v>731.85</v>
      </c>
      <c r="L94" s="35">
        <f>K94 / L13</f>
        <v>2.5236206896551722E-4</v>
      </c>
      <c r="M94" s="36">
        <v>51.43</v>
      </c>
      <c r="N94" s="37">
        <f t="shared" ref="N94:N108" si="1070">TRUNC(F94 * M94,2)</f>
        <v>574.47</v>
      </c>
      <c r="O94" s="36"/>
      <c r="P94" s="38">
        <f t="shared" ref="P94:R109" si="1071">TRUNC($M94 * O94,2)</f>
        <v>0</v>
      </c>
      <c r="Q94" s="38"/>
      <c r="R94" s="38">
        <f t="shared" si="1071"/>
        <v>0</v>
      </c>
      <c r="S94" s="38">
        <f t="shared" ref="S94:S109" si="1072">F94+O94-Q94</f>
        <v>11.17</v>
      </c>
      <c r="T94" s="37">
        <f t="shared" ref="T94:V94" si="1073">TRUNC($M94 * S94,2)</f>
        <v>574.47</v>
      </c>
      <c r="U94" s="36"/>
      <c r="V94" s="38">
        <f t="shared" si="1073"/>
        <v>0</v>
      </c>
      <c r="W94" s="38"/>
      <c r="X94" s="38">
        <f t="shared" ref="X94" si="1074">TRUNC($M94 * W94,2)</f>
        <v>0</v>
      </c>
      <c r="Y94" s="38"/>
      <c r="Z94" s="38">
        <f t="shared" ref="Z94" si="1075">TRUNC($M94 * Y94,2)</f>
        <v>0</v>
      </c>
      <c r="AA94" s="38"/>
      <c r="AB94" s="38">
        <f t="shared" ref="AB94" si="1076">TRUNC($M94 * AA94,2)</f>
        <v>0</v>
      </c>
      <c r="AC94" s="38"/>
      <c r="AD94" s="38">
        <f t="shared" ref="AD94" si="1077">TRUNC($M94 * AC94,2)</f>
        <v>0</v>
      </c>
      <c r="AE94" s="38"/>
      <c r="AF94" s="38">
        <f t="shared" ref="AF94" si="1078">TRUNC($M94 * AE94,2)</f>
        <v>0</v>
      </c>
      <c r="AG94" s="38"/>
      <c r="AH94" s="38">
        <f t="shared" ref="AH94" si="1079">TRUNC($M94 * AG94,2)</f>
        <v>0</v>
      </c>
      <c r="AI94" s="38"/>
      <c r="AJ94" s="38">
        <f t="shared" ref="AJ94" si="1080">TRUNC($M94 * AI94,2)</f>
        <v>0</v>
      </c>
      <c r="AK94" s="38"/>
      <c r="AL94" s="38">
        <f t="shared" ref="AL94" si="1081">TRUNC($M94 * AK94,2)</f>
        <v>0</v>
      </c>
      <c r="AM94" s="38"/>
      <c r="AN94" s="38">
        <f t="shared" ref="AN94" si="1082">TRUNC($M94 * AM94,2)</f>
        <v>0</v>
      </c>
      <c r="AO94" s="38"/>
      <c r="AP94" s="38">
        <f t="shared" ref="AP94" si="1083">TRUNC($M94 * AO94,2)</f>
        <v>0</v>
      </c>
      <c r="AQ94" s="38"/>
      <c r="AR94" s="38">
        <f t="shared" ref="AR94" si="1084">TRUNC($M94 * AQ94,2)</f>
        <v>0</v>
      </c>
      <c r="AS94" s="38"/>
      <c r="AT94" s="38">
        <f t="shared" ref="AT94" si="1085">TRUNC($M94 * AS94,2)</f>
        <v>0</v>
      </c>
      <c r="AU94" s="38"/>
      <c r="AV94" s="38">
        <f t="shared" ref="AV94" si="1086">TRUNC($M94 * AU94,2)</f>
        <v>0</v>
      </c>
      <c r="AW94" s="38"/>
      <c r="AX94" s="37">
        <f t="shared" ref="AX94" si="1087">TRUNC($M94 * AW94,2)</f>
        <v>0</v>
      </c>
      <c r="AY94" s="36">
        <f t="shared" ref="AY94:AY109" si="1088">SUM(U94,W94,Y94,AA94,AC94,AE94,AG94,AI94,AK94,AM94,AO94,AQ94,AS94,AU94,AW94)</f>
        <v>0</v>
      </c>
      <c r="AZ94" s="38">
        <f t="shared" ref="AZ94" si="1089">TRUNC($M94 * AY94,2)</f>
        <v>0</v>
      </c>
      <c r="BA94" s="38">
        <f t="shared" ref="BA94:BA109" si="1090">S94-AY94</f>
        <v>11.17</v>
      </c>
      <c r="BB94" s="37">
        <f t="shared" ref="BB94" si="1091">TRUNC($M94 * BA94,2)</f>
        <v>574.47</v>
      </c>
    </row>
    <row r="95" spans="1:54" ht="51.9" customHeight="1" x14ac:dyDescent="0.25">
      <c r="A95" s="31" t="s">
        <v>1331</v>
      </c>
      <c r="B95" s="31" t="s">
        <v>214</v>
      </c>
      <c r="C95" s="31" t="s">
        <v>34</v>
      </c>
      <c r="D95" s="31" t="s">
        <v>215</v>
      </c>
      <c r="E95" s="32" t="s">
        <v>26</v>
      </c>
      <c r="F95" s="33">
        <v>1009.97</v>
      </c>
      <c r="G95" s="34">
        <v>79.53</v>
      </c>
      <c r="H95" s="34">
        <f t="shared" si="1067"/>
        <v>73.22</v>
      </c>
      <c r="I95" s="34">
        <f t="shared" si="1068"/>
        <v>73950</v>
      </c>
      <c r="J95" s="34">
        <f>(TRUNC(H95 * L14,2) + H95)</f>
        <v>88.11</v>
      </c>
      <c r="K95" s="34">
        <f t="shared" si="1069"/>
        <v>88988.45</v>
      </c>
      <c r="L95" s="35">
        <f>K95 / L13</f>
        <v>3.0685672413793098E-2</v>
      </c>
      <c r="M95" s="36">
        <v>69.98</v>
      </c>
      <c r="N95" s="37">
        <f t="shared" si="1070"/>
        <v>70677.7</v>
      </c>
      <c r="O95" s="36"/>
      <c r="P95" s="38">
        <f t="shared" si="1071"/>
        <v>0</v>
      </c>
      <c r="Q95" s="38"/>
      <c r="R95" s="38">
        <f t="shared" si="1071"/>
        <v>0</v>
      </c>
      <c r="S95" s="38">
        <f t="shared" si="1072"/>
        <v>1009.97</v>
      </c>
      <c r="T95" s="37">
        <f t="shared" ref="T95:V95" si="1092">TRUNC($M95 * S95,2)</f>
        <v>70677.7</v>
      </c>
      <c r="U95" s="36"/>
      <c r="V95" s="38">
        <f t="shared" si="1092"/>
        <v>0</v>
      </c>
      <c r="W95" s="38"/>
      <c r="X95" s="38">
        <f t="shared" ref="X95" si="1093">TRUNC($M95 * W95,2)</f>
        <v>0</v>
      </c>
      <c r="Y95" s="38"/>
      <c r="Z95" s="38">
        <f t="shared" ref="Z95" si="1094">TRUNC($M95 * Y95,2)</f>
        <v>0</v>
      </c>
      <c r="AA95" s="38"/>
      <c r="AB95" s="38">
        <f t="shared" ref="AB95" si="1095">TRUNC($M95 * AA95,2)</f>
        <v>0</v>
      </c>
      <c r="AC95" s="38"/>
      <c r="AD95" s="38">
        <f t="shared" ref="AD95" si="1096">TRUNC($M95 * AC95,2)</f>
        <v>0</v>
      </c>
      <c r="AE95" s="38"/>
      <c r="AF95" s="38">
        <f t="shared" ref="AF95" si="1097">TRUNC($M95 * AE95,2)</f>
        <v>0</v>
      </c>
      <c r="AG95" s="38"/>
      <c r="AH95" s="38">
        <f t="shared" ref="AH95" si="1098">TRUNC($M95 * AG95,2)</f>
        <v>0</v>
      </c>
      <c r="AI95" s="38"/>
      <c r="AJ95" s="38">
        <f t="shared" ref="AJ95" si="1099">TRUNC($M95 * AI95,2)</f>
        <v>0</v>
      </c>
      <c r="AK95" s="38"/>
      <c r="AL95" s="38">
        <f t="shared" ref="AL95" si="1100">TRUNC($M95 * AK95,2)</f>
        <v>0</v>
      </c>
      <c r="AM95" s="38"/>
      <c r="AN95" s="38">
        <f t="shared" ref="AN95" si="1101">TRUNC($M95 * AM95,2)</f>
        <v>0</v>
      </c>
      <c r="AO95" s="38"/>
      <c r="AP95" s="38">
        <f t="shared" ref="AP95" si="1102">TRUNC($M95 * AO95,2)</f>
        <v>0</v>
      </c>
      <c r="AQ95" s="38"/>
      <c r="AR95" s="38">
        <f t="shared" ref="AR95" si="1103">TRUNC($M95 * AQ95,2)</f>
        <v>0</v>
      </c>
      <c r="AS95" s="38"/>
      <c r="AT95" s="38">
        <f t="shared" ref="AT95" si="1104">TRUNC($M95 * AS95,2)</f>
        <v>0</v>
      </c>
      <c r="AU95" s="38"/>
      <c r="AV95" s="38">
        <f t="shared" ref="AV95" si="1105">TRUNC($M95 * AU95,2)</f>
        <v>0</v>
      </c>
      <c r="AW95" s="38"/>
      <c r="AX95" s="37">
        <f t="shared" ref="AX95" si="1106">TRUNC($M95 * AW95,2)</f>
        <v>0</v>
      </c>
      <c r="AY95" s="36">
        <f t="shared" si="1088"/>
        <v>0</v>
      </c>
      <c r="AZ95" s="38">
        <f t="shared" ref="AZ95" si="1107">TRUNC($M95 * AY95,2)</f>
        <v>0</v>
      </c>
      <c r="BA95" s="38">
        <f t="shared" si="1090"/>
        <v>1009.97</v>
      </c>
      <c r="BB95" s="37">
        <f t="shared" ref="BB95" si="1108">TRUNC($M95 * BA95,2)</f>
        <v>70677.7</v>
      </c>
    </row>
    <row r="96" spans="1:54" ht="26.25" customHeight="1" x14ac:dyDescent="0.25">
      <c r="A96" s="31" t="s">
        <v>1332</v>
      </c>
      <c r="B96" s="31" t="s">
        <v>1335</v>
      </c>
      <c r="C96" s="31" t="s">
        <v>1334</v>
      </c>
      <c r="D96" s="31" t="s">
        <v>1336</v>
      </c>
      <c r="E96" s="32" t="s">
        <v>26</v>
      </c>
      <c r="F96" s="33">
        <v>68.040000000000006</v>
      </c>
      <c r="G96" s="34">
        <v>1264.68</v>
      </c>
      <c r="H96" s="34">
        <f t="shared" si="1067"/>
        <v>1164.44</v>
      </c>
      <c r="I96" s="34">
        <f>TRUNC(F96 * H96,2)</f>
        <v>79228.490000000005</v>
      </c>
      <c r="J96" s="34">
        <f>(TRUNC(H96 * L14,2) + H96)</f>
        <v>1401.28</v>
      </c>
      <c r="K96" s="34">
        <f t="shared" si="1069"/>
        <v>95343.09</v>
      </c>
      <c r="L96" s="35">
        <f>K96 / L13</f>
        <v>3.2876927586206889E-2</v>
      </c>
      <c r="M96" s="36">
        <v>915.05</v>
      </c>
      <c r="N96" s="37">
        <f t="shared" si="1070"/>
        <v>62260</v>
      </c>
      <c r="O96" s="36"/>
      <c r="P96" s="38">
        <f t="shared" si="1071"/>
        <v>0</v>
      </c>
      <c r="Q96" s="38"/>
      <c r="R96" s="38">
        <f t="shared" si="1071"/>
        <v>0</v>
      </c>
      <c r="S96" s="38">
        <f t="shared" si="1072"/>
        <v>68.040000000000006</v>
      </c>
      <c r="T96" s="37">
        <f t="shared" ref="T96:V96" si="1109">TRUNC($M96 * S96,2)</f>
        <v>62260</v>
      </c>
      <c r="U96" s="36"/>
      <c r="V96" s="38">
        <f t="shared" si="1109"/>
        <v>0</v>
      </c>
      <c r="W96" s="38"/>
      <c r="X96" s="38">
        <f t="shared" ref="X96" si="1110">TRUNC($M96 * W96,2)</f>
        <v>0</v>
      </c>
      <c r="Y96" s="38"/>
      <c r="Z96" s="38">
        <f t="shared" ref="Z96" si="1111">TRUNC($M96 * Y96,2)</f>
        <v>0</v>
      </c>
      <c r="AA96" s="38"/>
      <c r="AB96" s="38">
        <f t="shared" ref="AB96" si="1112">TRUNC($M96 * AA96,2)</f>
        <v>0</v>
      </c>
      <c r="AC96" s="38"/>
      <c r="AD96" s="38">
        <f t="shared" ref="AD96" si="1113">TRUNC($M96 * AC96,2)</f>
        <v>0</v>
      </c>
      <c r="AE96" s="38"/>
      <c r="AF96" s="38">
        <f t="shared" ref="AF96" si="1114">TRUNC($M96 * AE96,2)</f>
        <v>0</v>
      </c>
      <c r="AG96" s="38"/>
      <c r="AH96" s="38">
        <f t="shared" ref="AH96" si="1115">TRUNC($M96 * AG96,2)</f>
        <v>0</v>
      </c>
      <c r="AI96" s="38"/>
      <c r="AJ96" s="38">
        <f t="shared" ref="AJ96" si="1116">TRUNC($M96 * AI96,2)</f>
        <v>0</v>
      </c>
      <c r="AK96" s="38"/>
      <c r="AL96" s="38">
        <f t="shared" ref="AL96" si="1117">TRUNC($M96 * AK96,2)</f>
        <v>0</v>
      </c>
      <c r="AM96" s="38"/>
      <c r="AN96" s="38">
        <f t="shared" ref="AN96" si="1118">TRUNC($M96 * AM96,2)</f>
        <v>0</v>
      </c>
      <c r="AO96" s="38"/>
      <c r="AP96" s="38">
        <f t="shared" ref="AP96" si="1119">TRUNC($M96 * AO96,2)</f>
        <v>0</v>
      </c>
      <c r="AQ96" s="38"/>
      <c r="AR96" s="38">
        <f t="shared" ref="AR96" si="1120">TRUNC($M96 * AQ96,2)</f>
        <v>0</v>
      </c>
      <c r="AS96" s="38"/>
      <c r="AT96" s="38">
        <f t="shared" ref="AT96" si="1121">TRUNC($M96 * AS96,2)</f>
        <v>0</v>
      </c>
      <c r="AU96" s="38"/>
      <c r="AV96" s="38">
        <f t="shared" ref="AV96" si="1122">TRUNC($M96 * AU96,2)</f>
        <v>0</v>
      </c>
      <c r="AW96" s="38"/>
      <c r="AX96" s="37">
        <f t="shared" ref="AX96" si="1123">TRUNC($M96 * AW96,2)</f>
        <v>0</v>
      </c>
      <c r="AY96" s="36">
        <f t="shared" si="1088"/>
        <v>0</v>
      </c>
      <c r="AZ96" s="38">
        <f t="shared" ref="AZ96" si="1124">TRUNC($M96 * AY96,2)</f>
        <v>0</v>
      </c>
      <c r="BA96" s="38">
        <f t="shared" si="1090"/>
        <v>68.040000000000006</v>
      </c>
      <c r="BB96" s="37">
        <f t="shared" ref="BB96" si="1125">TRUNC($M96 * BA96,2)</f>
        <v>62260</v>
      </c>
    </row>
    <row r="97" spans="1:54" ht="39.75" customHeight="1" x14ac:dyDescent="0.25">
      <c r="A97" s="31" t="s">
        <v>1333</v>
      </c>
      <c r="B97" s="31" t="s">
        <v>1337</v>
      </c>
      <c r="C97" s="31" t="s">
        <v>1334</v>
      </c>
      <c r="D97" s="31" t="s">
        <v>1338</v>
      </c>
      <c r="E97" s="32" t="s">
        <v>26</v>
      </c>
      <c r="F97" s="33">
        <v>68.040000000000006</v>
      </c>
      <c r="G97" s="34">
        <v>501.67</v>
      </c>
      <c r="H97" s="34">
        <f>TRUNC(G97*$L$1,2)</f>
        <v>461.9</v>
      </c>
      <c r="I97" s="34">
        <f>TRUNC(F97 * H97,2)</f>
        <v>31427.67</v>
      </c>
      <c r="J97" s="34">
        <f>(TRUNC(H97 * L14,2) + H97)</f>
        <v>555.85</v>
      </c>
      <c r="K97" s="34">
        <f>TRUNC(F97 * J97,2)</f>
        <v>37820.03</v>
      </c>
      <c r="L97" s="35">
        <f>K97 / L13</f>
        <v>1.3041389655172412E-2</v>
      </c>
      <c r="M97" s="36">
        <v>371.36</v>
      </c>
      <c r="N97" s="37">
        <f t="shared" si="1070"/>
        <v>25267.33</v>
      </c>
      <c r="O97" s="36"/>
      <c r="P97" s="38">
        <f t="shared" si="1071"/>
        <v>0</v>
      </c>
      <c r="Q97" s="38"/>
      <c r="R97" s="38">
        <f t="shared" si="1071"/>
        <v>0</v>
      </c>
      <c r="S97" s="38">
        <f t="shared" si="1072"/>
        <v>68.040000000000006</v>
      </c>
      <c r="T97" s="37">
        <f t="shared" ref="T97:V97" si="1126">TRUNC($M97 * S97,2)</f>
        <v>25267.33</v>
      </c>
      <c r="U97" s="36"/>
      <c r="V97" s="38">
        <f t="shared" si="1126"/>
        <v>0</v>
      </c>
      <c r="W97" s="38"/>
      <c r="X97" s="38">
        <f t="shared" ref="X97" si="1127">TRUNC($M97 * W97,2)</f>
        <v>0</v>
      </c>
      <c r="Y97" s="38"/>
      <c r="Z97" s="38">
        <f t="shared" ref="Z97" si="1128">TRUNC($M97 * Y97,2)</f>
        <v>0</v>
      </c>
      <c r="AA97" s="38"/>
      <c r="AB97" s="38">
        <f t="shared" ref="AB97" si="1129">TRUNC($M97 * AA97,2)</f>
        <v>0</v>
      </c>
      <c r="AC97" s="38"/>
      <c r="AD97" s="38">
        <f t="shared" ref="AD97" si="1130">TRUNC($M97 * AC97,2)</f>
        <v>0</v>
      </c>
      <c r="AE97" s="38"/>
      <c r="AF97" s="38">
        <f t="shared" ref="AF97" si="1131">TRUNC($M97 * AE97,2)</f>
        <v>0</v>
      </c>
      <c r="AG97" s="38"/>
      <c r="AH97" s="38">
        <f t="shared" ref="AH97" si="1132">TRUNC($M97 * AG97,2)</f>
        <v>0</v>
      </c>
      <c r="AI97" s="38"/>
      <c r="AJ97" s="38">
        <f t="shared" ref="AJ97" si="1133">TRUNC($M97 * AI97,2)</f>
        <v>0</v>
      </c>
      <c r="AK97" s="38"/>
      <c r="AL97" s="38">
        <f t="shared" ref="AL97" si="1134">TRUNC($M97 * AK97,2)</f>
        <v>0</v>
      </c>
      <c r="AM97" s="38"/>
      <c r="AN97" s="38">
        <f t="shared" ref="AN97" si="1135">TRUNC($M97 * AM97,2)</f>
        <v>0</v>
      </c>
      <c r="AO97" s="38"/>
      <c r="AP97" s="38">
        <f t="shared" ref="AP97" si="1136">TRUNC($M97 * AO97,2)</f>
        <v>0</v>
      </c>
      <c r="AQ97" s="38"/>
      <c r="AR97" s="38">
        <f t="shared" ref="AR97" si="1137">TRUNC($M97 * AQ97,2)</f>
        <v>0</v>
      </c>
      <c r="AS97" s="38"/>
      <c r="AT97" s="38">
        <f t="shared" ref="AT97" si="1138">TRUNC($M97 * AS97,2)</f>
        <v>0</v>
      </c>
      <c r="AU97" s="38"/>
      <c r="AV97" s="38">
        <f t="shared" ref="AV97" si="1139">TRUNC($M97 * AU97,2)</f>
        <v>0</v>
      </c>
      <c r="AW97" s="38"/>
      <c r="AX97" s="37">
        <f t="shared" ref="AX97" si="1140">TRUNC($M97 * AW97,2)</f>
        <v>0</v>
      </c>
      <c r="AY97" s="36">
        <f t="shared" si="1088"/>
        <v>0</v>
      </c>
      <c r="AZ97" s="38">
        <f t="shared" ref="AZ97" si="1141">TRUNC($M97 * AY97,2)</f>
        <v>0</v>
      </c>
      <c r="BA97" s="38">
        <f t="shared" si="1090"/>
        <v>68.040000000000006</v>
      </c>
      <c r="BB97" s="37">
        <f t="shared" ref="BB97" si="1142">TRUNC($M97 * BA97,2)</f>
        <v>25267.33</v>
      </c>
    </row>
    <row r="98" spans="1:54" ht="39.75" customHeight="1" x14ac:dyDescent="0.25">
      <c r="A98" s="31" t="s">
        <v>1342</v>
      </c>
      <c r="B98" s="31">
        <v>10783</v>
      </c>
      <c r="C98" s="31" t="s">
        <v>24</v>
      </c>
      <c r="D98" s="31" t="s">
        <v>1345</v>
      </c>
      <c r="E98" s="32" t="s">
        <v>26</v>
      </c>
      <c r="F98" s="33">
        <v>69.760000000000005</v>
      </c>
      <c r="G98" s="34">
        <v>191.32</v>
      </c>
      <c r="H98" s="34">
        <f>TRUNC(G98*$L$1,2)</f>
        <v>176.15</v>
      </c>
      <c r="I98" s="34">
        <f>TRUNC(F98 * H98,2)</f>
        <v>12288.22</v>
      </c>
      <c r="J98" s="34">
        <f>(TRUNC(H98 * L14,2) + H98)</f>
        <v>211.97</v>
      </c>
      <c r="K98" s="34">
        <f>TRUNC(F98 * J98,2)</f>
        <v>14787.02</v>
      </c>
      <c r="L98" s="35">
        <f>K98 / L13</f>
        <v>5.0989724137931024E-3</v>
      </c>
      <c r="M98" s="36">
        <v>172.97</v>
      </c>
      <c r="N98" s="37">
        <f t="shared" si="1070"/>
        <v>12066.38</v>
      </c>
      <c r="O98" s="36"/>
      <c r="P98" s="38">
        <f t="shared" si="1071"/>
        <v>0</v>
      </c>
      <c r="Q98" s="38"/>
      <c r="R98" s="38">
        <f t="shared" si="1071"/>
        <v>0</v>
      </c>
      <c r="S98" s="38">
        <f t="shared" si="1072"/>
        <v>69.760000000000005</v>
      </c>
      <c r="T98" s="37">
        <f t="shared" ref="T98:V98" si="1143">TRUNC($M98 * S98,2)</f>
        <v>12066.38</v>
      </c>
      <c r="U98" s="36"/>
      <c r="V98" s="38">
        <f t="shared" si="1143"/>
        <v>0</v>
      </c>
      <c r="W98" s="38"/>
      <c r="X98" s="38">
        <f t="shared" ref="X98" si="1144">TRUNC($M98 * W98,2)</f>
        <v>0</v>
      </c>
      <c r="Y98" s="38"/>
      <c r="Z98" s="38">
        <f t="shared" ref="Z98" si="1145">TRUNC($M98 * Y98,2)</f>
        <v>0</v>
      </c>
      <c r="AA98" s="38"/>
      <c r="AB98" s="38">
        <f t="shared" ref="AB98" si="1146">TRUNC($M98 * AA98,2)</f>
        <v>0</v>
      </c>
      <c r="AC98" s="38"/>
      <c r="AD98" s="38">
        <f t="shared" ref="AD98" si="1147">TRUNC($M98 * AC98,2)</f>
        <v>0</v>
      </c>
      <c r="AE98" s="38"/>
      <c r="AF98" s="38">
        <f t="shared" ref="AF98" si="1148">TRUNC($M98 * AE98,2)</f>
        <v>0</v>
      </c>
      <c r="AG98" s="38"/>
      <c r="AH98" s="38">
        <f t="shared" ref="AH98" si="1149">TRUNC($M98 * AG98,2)</f>
        <v>0</v>
      </c>
      <c r="AI98" s="38"/>
      <c r="AJ98" s="38">
        <f t="shared" ref="AJ98" si="1150">TRUNC($M98 * AI98,2)</f>
        <v>0</v>
      </c>
      <c r="AK98" s="38"/>
      <c r="AL98" s="38">
        <f t="shared" ref="AL98" si="1151">TRUNC($M98 * AK98,2)</f>
        <v>0</v>
      </c>
      <c r="AM98" s="38"/>
      <c r="AN98" s="38">
        <f t="shared" ref="AN98" si="1152">TRUNC($M98 * AM98,2)</f>
        <v>0</v>
      </c>
      <c r="AO98" s="38"/>
      <c r="AP98" s="38">
        <f t="shared" ref="AP98" si="1153">TRUNC($M98 * AO98,2)</f>
        <v>0</v>
      </c>
      <c r="AQ98" s="38"/>
      <c r="AR98" s="38">
        <f t="shared" ref="AR98" si="1154">TRUNC($M98 * AQ98,2)</f>
        <v>0</v>
      </c>
      <c r="AS98" s="38"/>
      <c r="AT98" s="38">
        <f t="shared" ref="AT98" si="1155">TRUNC($M98 * AS98,2)</f>
        <v>0</v>
      </c>
      <c r="AU98" s="38"/>
      <c r="AV98" s="38">
        <f t="shared" ref="AV98" si="1156">TRUNC($M98 * AU98,2)</f>
        <v>0</v>
      </c>
      <c r="AW98" s="38"/>
      <c r="AX98" s="37">
        <f t="shared" ref="AX98" si="1157">TRUNC($M98 * AW98,2)</f>
        <v>0</v>
      </c>
      <c r="AY98" s="36">
        <f t="shared" si="1088"/>
        <v>0</v>
      </c>
      <c r="AZ98" s="38">
        <f t="shared" ref="AZ98" si="1158">TRUNC($M98 * AY98,2)</f>
        <v>0</v>
      </c>
      <c r="BA98" s="38">
        <f t="shared" si="1090"/>
        <v>69.760000000000005</v>
      </c>
      <c r="BB98" s="37">
        <f t="shared" ref="BB98" si="1159">TRUNC($M98 * BA98,2)</f>
        <v>12066.38</v>
      </c>
    </row>
    <row r="99" spans="1:54" ht="26.1" customHeight="1" x14ac:dyDescent="0.25">
      <c r="A99" s="31" t="s">
        <v>1343</v>
      </c>
      <c r="B99" s="31" t="s">
        <v>216</v>
      </c>
      <c r="C99" s="31" t="s">
        <v>34</v>
      </c>
      <c r="D99" s="31" t="s">
        <v>217</v>
      </c>
      <c r="E99" s="32" t="s">
        <v>218</v>
      </c>
      <c r="F99" s="33">
        <v>134.25</v>
      </c>
      <c r="G99" s="34">
        <v>68.39</v>
      </c>
      <c r="H99" s="34">
        <f t="shared" si="1067"/>
        <v>62.96</v>
      </c>
      <c r="I99" s="34">
        <f t="shared" si="1068"/>
        <v>8452.3799999999992</v>
      </c>
      <c r="J99" s="34">
        <f>(TRUNC(H99 * L14,2) + H99)</f>
        <v>75.760000000000005</v>
      </c>
      <c r="K99" s="34">
        <f t="shared" si="1069"/>
        <v>10170.780000000001</v>
      </c>
      <c r="L99" s="35">
        <f>K99 / L13</f>
        <v>3.5071655172413791E-3</v>
      </c>
      <c r="M99" s="36">
        <v>56.61</v>
      </c>
      <c r="N99" s="37">
        <f t="shared" si="1070"/>
        <v>7599.89</v>
      </c>
      <c r="O99" s="36"/>
      <c r="P99" s="38">
        <f t="shared" si="1071"/>
        <v>0</v>
      </c>
      <c r="Q99" s="38"/>
      <c r="R99" s="38">
        <f t="shared" si="1071"/>
        <v>0</v>
      </c>
      <c r="S99" s="38">
        <f t="shared" si="1072"/>
        <v>134.25</v>
      </c>
      <c r="T99" s="37">
        <f t="shared" ref="T99:V99" si="1160">TRUNC($M99 * S99,2)</f>
        <v>7599.89</v>
      </c>
      <c r="U99" s="36"/>
      <c r="V99" s="38">
        <f t="shared" si="1160"/>
        <v>0</v>
      </c>
      <c r="W99" s="38"/>
      <c r="X99" s="38">
        <f t="shared" ref="X99" si="1161">TRUNC($M99 * W99,2)</f>
        <v>0</v>
      </c>
      <c r="Y99" s="38"/>
      <c r="Z99" s="38">
        <f t="shared" ref="Z99" si="1162">TRUNC($M99 * Y99,2)</f>
        <v>0</v>
      </c>
      <c r="AA99" s="38"/>
      <c r="AB99" s="38">
        <f t="shared" ref="AB99" si="1163">TRUNC($M99 * AA99,2)</f>
        <v>0</v>
      </c>
      <c r="AC99" s="38"/>
      <c r="AD99" s="38">
        <f t="shared" ref="AD99" si="1164">TRUNC($M99 * AC99,2)</f>
        <v>0</v>
      </c>
      <c r="AE99" s="38"/>
      <c r="AF99" s="38">
        <f t="shared" ref="AF99" si="1165">TRUNC($M99 * AE99,2)</f>
        <v>0</v>
      </c>
      <c r="AG99" s="38"/>
      <c r="AH99" s="38">
        <f t="shared" ref="AH99" si="1166">TRUNC($M99 * AG99,2)</f>
        <v>0</v>
      </c>
      <c r="AI99" s="38"/>
      <c r="AJ99" s="38">
        <f t="shared" ref="AJ99" si="1167">TRUNC($M99 * AI99,2)</f>
        <v>0</v>
      </c>
      <c r="AK99" s="38"/>
      <c r="AL99" s="38">
        <f t="shared" ref="AL99" si="1168">TRUNC($M99 * AK99,2)</f>
        <v>0</v>
      </c>
      <c r="AM99" s="38"/>
      <c r="AN99" s="38">
        <f t="shared" ref="AN99" si="1169">TRUNC($M99 * AM99,2)</f>
        <v>0</v>
      </c>
      <c r="AO99" s="38"/>
      <c r="AP99" s="38">
        <f t="shared" ref="AP99" si="1170">TRUNC($M99 * AO99,2)</f>
        <v>0</v>
      </c>
      <c r="AQ99" s="38"/>
      <c r="AR99" s="38">
        <f t="shared" ref="AR99" si="1171">TRUNC($M99 * AQ99,2)</f>
        <v>0</v>
      </c>
      <c r="AS99" s="38"/>
      <c r="AT99" s="38">
        <f t="shared" ref="AT99" si="1172">TRUNC($M99 * AS99,2)</f>
        <v>0</v>
      </c>
      <c r="AU99" s="38"/>
      <c r="AV99" s="38">
        <f t="shared" ref="AV99" si="1173">TRUNC($M99 * AU99,2)</f>
        <v>0</v>
      </c>
      <c r="AW99" s="38"/>
      <c r="AX99" s="37">
        <f t="shared" ref="AX99" si="1174">TRUNC($M99 * AW99,2)</f>
        <v>0</v>
      </c>
      <c r="AY99" s="36">
        <f t="shared" si="1088"/>
        <v>0</v>
      </c>
      <c r="AZ99" s="38">
        <f t="shared" ref="AZ99" si="1175">TRUNC($M99 * AY99,2)</f>
        <v>0</v>
      </c>
      <c r="BA99" s="38">
        <f t="shared" si="1090"/>
        <v>134.25</v>
      </c>
      <c r="BB99" s="37">
        <f t="shared" ref="BB99" si="1176">TRUNC($M99 * BA99,2)</f>
        <v>7599.89</v>
      </c>
    </row>
    <row r="100" spans="1:54" ht="26.1" customHeight="1" x14ac:dyDescent="0.25">
      <c r="A100" s="31" t="s">
        <v>1344</v>
      </c>
      <c r="B100" s="31" t="s">
        <v>219</v>
      </c>
      <c r="C100" s="31" t="s">
        <v>34</v>
      </c>
      <c r="D100" s="31" t="s">
        <v>220</v>
      </c>
      <c r="E100" s="32" t="s">
        <v>218</v>
      </c>
      <c r="F100" s="33">
        <v>86.3</v>
      </c>
      <c r="G100" s="34">
        <v>47.3</v>
      </c>
      <c r="H100" s="34">
        <f t="shared" si="1067"/>
        <v>43.55</v>
      </c>
      <c r="I100" s="34">
        <f t="shared" si="1068"/>
        <v>3758.36</v>
      </c>
      <c r="J100" s="34">
        <f>(TRUNC(H100 * L14,2) + H100)</f>
        <v>52.4</v>
      </c>
      <c r="K100" s="34">
        <f t="shared" si="1069"/>
        <v>4522.12</v>
      </c>
      <c r="L100" s="35">
        <f>K100 / L13</f>
        <v>1.5593517241379307E-3</v>
      </c>
      <c r="M100" s="36">
        <v>38.909999999999997</v>
      </c>
      <c r="N100" s="37">
        <f t="shared" si="1070"/>
        <v>3357.93</v>
      </c>
      <c r="O100" s="36"/>
      <c r="P100" s="38">
        <f t="shared" si="1071"/>
        <v>0</v>
      </c>
      <c r="Q100" s="38"/>
      <c r="R100" s="38">
        <f t="shared" si="1071"/>
        <v>0</v>
      </c>
      <c r="S100" s="38">
        <f t="shared" si="1072"/>
        <v>86.3</v>
      </c>
      <c r="T100" s="37">
        <f t="shared" ref="T100:V100" si="1177">TRUNC($M100 * S100,2)</f>
        <v>3357.93</v>
      </c>
      <c r="U100" s="36"/>
      <c r="V100" s="38">
        <f t="shared" si="1177"/>
        <v>0</v>
      </c>
      <c r="W100" s="38"/>
      <c r="X100" s="38">
        <f t="shared" ref="X100" si="1178">TRUNC($M100 * W100,2)</f>
        <v>0</v>
      </c>
      <c r="Y100" s="38"/>
      <c r="Z100" s="38">
        <f t="shared" ref="Z100" si="1179">TRUNC($M100 * Y100,2)</f>
        <v>0</v>
      </c>
      <c r="AA100" s="38"/>
      <c r="AB100" s="38">
        <f t="shared" ref="AB100" si="1180">TRUNC($M100 * AA100,2)</f>
        <v>0</v>
      </c>
      <c r="AC100" s="38"/>
      <c r="AD100" s="38">
        <f t="shared" ref="AD100" si="1181">TRUNC($M100 * AC100,2)</f>
        <v>0</v>
      </c>
      <c r="AE100" s="38"/>
      <c r="AF100" s="38">
        <f t="shared" ref="AF100" si="1182">TRUNC($M100 * AE100,2)</f>
        <v>0</v>
      </c>
      <c r="AG100" s="38"/>
      <c r="AH100" s="38">
        <f t="shared" ref="AH100" si="1183">TRUNC($M100 * AG100,2)</f>
        <v>0</v>
      </c>
      <c r="AI100" s="38"/>
      <c r="AJ100" s="38">
        <f t="shared" ref="AJ100" si="1184">TRUNC($M100 * AI100,2)</f>
        <v>0</v>
      </c>
      <c r="AK100" s="38"/>
      <c r="AL100" s="38">
        <f t="shared" ref="AL100" si="1185">TRUNC($M100 * AK100,2)</f>
        <v>0</v>
      </c>
      <c r="AM100" s="38"/>
      <c r="AN100" s="38">
        <f t="shared" ref="AN100" si="1186">TRUNC($M100 * AM100,2)</f>
        <v>0</v>
      </c>
      <c r="AO100" s="38"/>
      <c r="AP100" s="38">
        <f t="shared" ref="AP100" si="1187">TRUNC($M100 * AO100,2)</f>
        <v>0</v>
      </c>
      <c r="AQ100" s="38"/>
      <c r="AR100" s="38">
        <f t="shared" ref="AR100" si="1188">TRUNC($M100 * AQ100,2)</f>
        <v>0</v>
      </c>
      <c r="AS100" s="38"/>
      <c r="AT100" s="38">
        <f t="shared" ref="AT100" si="1189">TRUNC($M100 * AS100,2)</f>
        <v>0</v>
      </c>
      <c r="AU100" s="38"/>
      <c r="AV100" s="38">
        <f t="shared" ref="AV100" si="1190">TRUNC($M100 * AU100,2)</f>
        <v>0</v>
      </c>
      <c r="AW100" s="38"/>
      <c r="AX100" s="37">
        <f t="shared" ref="AX100" si="1191">TRUNC($M100 * AW100,2)</f>
        <v>0</v>
      </c>
      <c r="AY100" s="36">
        <f t="shared" si="1088"/>
        <v>0</v>
      </c>
      <c r="AZ100" s="38">
        <f t="shared" ref="AZ100" si="1192">TRUNC($M100 * AY100,2)</f>
        <v>0</v>
      </c>
      <c r="BA100" s="38">
        <f t="shared" si="1090"/>
        <v>86.3</v>
      </c>
      <c r="BB100" s="37">
        <f t="shared" ref="BB100" si="1193">TRUNC($M100 * BA100,2)</f>
        <v>3357.93</v>
      </c>
    </row>
    <row r="101" spans="1:54" ht="24" customHeight="1" x14ac:dyDescent="0.25">
      <c r="A101" s="4" t="s">
        <v>221</v>
      </c>
      <c r="B101" s="4" t="s">
        <v>12</v>
      </c>
      <c r="C101" s="4"/>
      <c r="D101" s="4" t="s">
        <v>222</v>
      </c>
      <c r="E101" s="5"/>
      <c r="F101" s="14"/>
      <c r="G101" s="6"/>
      <c r="H101" s="6"/>
      <c r="I101" s="7">
        <f>SUM(I102:I105)</f>
        <v>52481.240000000005</v>
      </c>
      <c r="J101" s="7"/>
      <c r="K101" s="7">
        <f>SUM(K102:K105)</f>
        <v>63154.33</v>
      </c>
      <c r="L101" s="22">
        <f>K101 / L13</f>
        <v>2.177735517241379E-2</v>
      </c>
      <c r="M101" s="25"/>
      <c r="N101" s="26">
        <f>SUM(N102:N105)</f>
        <v>46684.99</v>
      </c>
      <c r="O101" s="25"/>
      <c r="P101" s="30">
        <f>SUM(P102:P105)</f>
        <v>0</v>
      </c>
      <c r="Q101" s="30"/>
      <c r="R101" s="30">
        <f>SUM(R102:R105)</f>
        <v>0</v>
      </c>
      <c r="S101" s="30"/>
      <c r="T101" s="26">
        <f>SUM(T102:T105)</f>
        <v>46684.99</v>
      </c>
      <c r="U101" s="25"/>
      <c r="V101" s="30">
        <f>SUM(V102:V105)</f>
        <v>0</v>
      </c>
      <c r="W101" s="30"/>
      <c r="X101" s="30">
        <f>SUM(X102:X105)</f>
        <v>0</v>
      </c>
      <c r="Y101" s="30"/>
      <c r="Z101" s="30">
        <f>SUM(Z102:Z105)</f>
        <v>0</v>
      </c>
      <c r="AA101" s="30"/>
      <c r="AB101" s="30">
        <f>SUM(AB102:AB105)</f>
        <v>0</v>
      </c>
      <c r="AC101" s="30"/>
      <c r="AD101" s="30">
        <f>SUM(AD102:AD105)</f>
        <v>0</v>
      </c>
      <c r="AE101" s="30"/>
      <c r="AF101" s="30">
        <f>SUM(AF102:AF105)</f>
        <v>0</v>
      </c>
      <c r="AG101" s="30"/>
      <c r="AH101" s="30">
        <f>SUM(AH102:AH105)</f>
        <v>0</v>
      </c>
      <c r="AI101" s="30"/>
      <c r="AJ101" s="30">
        <f>SUM(AJ102:AJ105)</f>
        <v>0</v>
      </c>
      <c r="AK101" s="30"/>
      <c r="AL101" s="30">
        <f>SUM(AL102:AL105)</f>
        <v>0</v>
      </c>
      <c r="AM101" s="30"/>
      <c r="AN101" s="30">
        <f>SUM(AN102:AN105)</f>
        <v>0</v>
      </c>
      <c r="AO101" s="30"/>
      <c r="AP101" s="30">
        <f>SUM(AP102:AP105)</f>
        <v>0</v>
      </c>
      <c r="AQ101" s="30"/>
      <c r="AR101" s="30">
        <f>SUM(AR102:AR105)</f>
        <v>0</v>
      </c>
      <c r="AS101" s="30"/>
      <c r="AT101" s="30">
        <f>SUM(AT102:AT105)</f>
        <v>0</v>
      </c>
      <c r="AU101" s="30"/>
      <c r="AV101" s="30">
        <f>SUM(AV102:AV105)</f>
        <v>0</v>
      </c>
      <c r="AW101" s="30"/>
      <c r="AX101" s="26">
        <f>SUM(AX102:AX105)</f>
        <v>0</v>
      </c>
      <c r="AY101" s="25"/>
      <c r="AZ101" s="30">
        <f>SUM(AZ102:AZ105)</f>
        <v>0</v>
      </c>
      <c r="BA101" s="30"/>
      <c r="BB101" s="26">
        <f>SUM(BB102:BB105)</f>
        <v>46684.99</v>
      </c>
    </row>
    <row r="102" spans="1:54" ht="65.099999999999994" customHeight="1" x14ac:dyDescent="0.25">
      <c r="A102" s="31" t="s">
        <v>223</v>
      </c>
      <c r="B102" s="31" t="s">
        <v>224</v>
      </c>
      <c r="C102" s="31" t="s">
        <v>34</v>
      </c>
      <c r="D102" s="31" t="s">
        <v>225</v>
      </c>
      <c r="E102" s="32" t="s">
        <v>26</v>
      </c>
      <c r="F102" s="33">
        <v>50.01</v>
      </c>
      <c r="G102" s="34">
        <v>96.18</v>
      </c>
      <c r="H102" s="34">
        <f t="shared" si="1067"/>
        <v>88.55</v>
      </c>
      <c r="I102" s="34">
        <f t="shared" si="1068"/>
        <v>4428.38</v>
      </c>
      <c r="J102" s="34">
        <f>(TRUNC(H102 * L14,2) + H102)</f>
        <v>106.56</v>
      </c>
      <c r="K102" s="34">
        <f>TRUNC(F102 * J102,2)</f>
        <v>5329.06</v>
      </c>
      <c r="L102" s="35">
        <f>K102 / L13</f>
        <v>1.837606896551724E-3</v>
      </c>
      <c r="M102" s="36">
        <v>74.67</v>
      </c>
      <c r="N102" s="37">
        <f t="shared" si="1070"/>
        <v>3734.24</v>
      </c>
      <c r="O102" s="36"/>
      <c r="P102" s="38">
        <f t="shared" si="1071"/>
        <v>0</v>
      </c>
      <c r="Q102" s="38"/>
      <c r="R102" s="38">
        <f t="shared" si="1071"/>
        <v>0</v>
      </c>
      <c r="S102" s="38">
        <f t="shared" si="1072"/>
        <v>50.01</v>
      </c>
      <c r="T102" s="37">
        <f t="shared" ref="T102:V102" si="1194">TRUNC($M102 * S102,2)</f>
        <v>3734.24</v>
      </c>
      <c r="U102" s="36"/>
      <c r="V102" s="38">
        <f t="shared" si="1194"/>
        <v>0</v>
      </c>
      <c r="W102" s="38"/>
      <c r="X102" s="38">
        <f t="shared" ref="X102" si="1195">TRUNC($M102 * W102,2)</f>
        <v>0</v>
      </c>
      <c r="Y102" s="38"/>
      <c r="Z102" s="38">
        <f t="shared" ref="Z102" si="1196">TRUNC($M102 * Y102,2)</f>
        <v>0</v>
      </c>
      <c r="AA102" s="38"/>
      <c r="AB102" s="38">
        <f t="shared" ref="AB102" si="1197">TRUNC($M102 * AA102,2)</f>
        <v>0</v>
      </c>
      <c r="AC102" s="38"/>
      <c r="AD102" s="38">
        <f t="shared" ref="AD102" si="1198">TRUNC($M102 * AC102,2)</f>
        <v>0</v>
      </c>
      <c r="AE102" s="38"/>
      <c r="AF102" s="38">
        <f t="shared" ref="AF102" si="1199">TRUNC($M102 * AE102,2)</f>
        <v>0</v>
      </c>
      <c r="AG102" s="38"/>
      <c r="AH102" s="38">
        <f t="shared" ref="AH102" si="1200">TRUNC($M102 * AG102,2)</f>
        <v>0</v>
      </c>
      <c r="AI102" s="38"/>
      <c r="AJ102" s="38">
        <f t="shared" ref="AJ102" si="1201">TRUNC($M102 * AI102,2)</f>
        <v>0</v>
      </c>
      <c r="AK102" s="38"/>
      <c r="AL102" s="38">
        <f t="shared" ref="AL102" si="1202">TRUNC($M102 * AK102,2)</f>
        <v>0</v>
      </c>
      <c r="AM102" s="38"/>
      <c r="AN102" s="38">
        <f t="shared" ref="AN102" si="1203">TRUNC($M102 * AM102,2)</f>
        <v>0</v>
      </c>
      <c r="AO102" s="38"/>
      <c r="AP102" s="38">
        <f t="shared" ref="AP102" si="1204">TRUNC($M102 * AO102,2)</f>
        <v>0</v>
      </c>
      <c r="AQ102" s="38"/>
      <c r="AR102" s="38">
        <f t="shared" ref="AR102" si="1205">TRUNC($M102 * AQ102,2)</f>
        <v>0</v>
      </c>
      <c r="AS102" s="38"/>
      <c r="AT102" s="38">
        <f t="shared" ref="AT102" si="1206">TRUNC($M102 * AS102,2)</f>
        <v>0</v>
      </c>
      <c r="AU102" s="38"/>
      <c r="AV102" s="38">
        <f t="shared" ref="AV102" si="1207">TRUNC($M102 * AU102,2)</f>
        <v>0</v>
      </c>
      <c r="AW102" s="38"/>
      <c r="AX102" s="37">
        <f t="shared" ref="AX102" si="1208">TRUNC($M102 * AW102,2)</f>
        <v>0</v>
      </c>
      <c r="AY102" s="36">
        <f t="shared" si="1088"/>
        <v>0</v>
      </c>
      <c r="AZ102" s="38">
        <f t="shared" ref="AZ102" si="1209">TRUNC($M102 * AY102,2)</f>
        <v>0</v>
      </c>
      <c r="BA102" s="38">
        <f t="shared" si="1090"/>
        <v>50.01</v>
      </c>
      <c r="BB102" s="37">
        <f t="shared" ref="BB102" si="1210">TRUNC($M102 * BA102,2)</f>
        <v>3734.24</v>
      </c>
    </row>
    <row r="103" spans="1:54" ht="65.099999999999994" customHeight="1" x14ac:dyDescent="0.25">
      <c r="A103" s="31" t="s">
        <v>226</v>
      </c>
      <c r="B103" s="31" t="s">
        <v>227</v>
      </c>
      <c r="C103" s="31" t="s">
        <v>42</v>
      </c>
      <c r="D103" s="31" t="s">
        <v>228</v>
      </c>
      <c r="E103" s="32" t="s">
        <v>26</v>
      </c>
      <c r="F103" s="33">
        <v>180.11</v>
      </c>
      <c r="G103" s="34">
        <v>109.55</v>
      </c>
      <c r="H103" s="34">
        <f t="shared" si="1067"/>
        <v>100.86</v>
      </c>
      <c r="I103" s="34">
        <f t="shared" si="1068"/>
        <v>18165.89</v>
      </c>
      <c r="J103" s="34">
        <f>(TRUNC(H103 * L14,2) + H103)</f>
        <v>121.37</v>
      </c>
      <c r="K103" s="34">
        <f>TRUNC(F103 * J103,2)</f>
        <v>21859.95</v>
      </c>
      <c r="L103" s="35">
        <f>K103 / L13</f>
        <v>7.5379137931034469E-3</v>
      </c>
      <c r="M103" s="36">
        <v>83.15</v>
      </c>
      <c r="N103" s="37">
        <f t="shared" si="1070"/>
        <v>14976.14</v>
      </c>
      <c r="O103" s="36"/>
      <c r="P103" s="38">
        <f t="shared" si="1071"/>
        <v>0</v>
      </c>
      <c r="Q103" s="38"/>
      <c r="R103" s="38">
        <f t="shared" si="1071"/>
        <v>0</v>
      </c>
      <c r="S103" s="38">
        <f t="shared" si="1072"/>
        <v>180.11</v>
      </c>
      <c r="T103" s="37">
        <f t="shared" ref="T103:V103" si="1211">TRUNC($M103 * S103,2)</f>
        <v>14976.14</v>
      </c>
      <c r="U103" s="36"/>
      <c r="V103" s="38">
        <f t="shared" si="1211"/>
        <v>0</v>
      </c>
      <c r="W103" s="38"/>
      <c r="X103" s="38">
        <f t="shared" ref="X103" si="1212">TRUNC($M103 * W103,2)</f>
        <v>0</v>
      </c>
      <c r="Y103" s="38"/>
      <c r="Z103" s="38">
        <f t="shared" ref="Z103" si="1213">TRUNC($M103 * Y103,2)</f>
        <v>0</v>
      </c>
      <c r="AA103" s="38"/>
      <c r="AB103" s="38">
        <f t="shared" ref="AB103" si="1214">TRUNC($M103 * AA103,2)</f>
        <v>0</v>
      </c>
      <c r="AC103" s="38"/>
      <c r="AD103" s="38">
        <f t="shared" ref="AD103" si="1215">TRUNC($M103 * AC103,2)</f>
        <v>0</v>
      </c>
      <c r="AE103" s="38"/>
      <c r="AF103" s="38">
        <f t="shared" ref="AF103" si="1216">TRUNC($M103 * AE103,2)</f>
        <v>0</v>
      </c>
      <c r="AG103" s="38"/>
      <c r="AH103" s="38">
        <f t="shared" ref="AH103" si="1217">TRUNC($M103 * AG103,2)</f>
        <v>0</v>
      </c>
      <c r="AI103" s="38"/>
      <c r="AJ103" s="38">
        <f t="shared" ref="AJ103" si="1218">TRUNC($M103 * AI103,2)</f>
        <v>0</v>
      </c>
      <c r="AK103" s="38"/>
      <c r="AL103" s="38">
        <f t="shared" ref="AL103" si="1219">TRUNC($M103 * AK103,2)</f>
        <v>0</v>
      </c>
      <c r="AM103" s="38"/>
      <c r="AN103" s="38">
        <f t="shared" ref="AN103" si="1220">TRUNC($M103 * AM103,2)</f>
        <v>0</v>
      </c>
      <c r="AO103" s="38"/>
      <c r="AP103" s="38">
        <f t="shared" ref="AP103" si="1221">TRUNC($M103 * AO103,2)</f>
        <v>0</v>
      </c>
      <c r="AQ103" s="38"/>
      <c r="AR103" s="38">
        <f t="shared" ref="AR103" si="1222">TRUNC($M103 * AQ103,2)</f>
        <v>0</v>
      </c>
      <c r="AS103" s="38"/>
      <c r="AT103" s="38">
        <f t="shared" ref="AT103" si="1223">TRUNC($M103 * AS103,2)</f>
        <v>0</v>
      </c>
      <c r="AU103" s="38"/>
      <c r="AV103" s="38">
        <f t="shared" ref="AV103" si="1224">TRUNC($M103 * AU103,2)</f>
        <v>0</v>
      </c>
      <c r="AW103" s="38"/>
      <c r="AX103" s="37">
        <f t="shared" ref="AX103" si="1225">TRUNC($M103 * AW103,2)</f>
        <v>0</v>
      </c>
      <c r="AY103" s="36">
        <f t="shared" si="1088"/>
        <v>0</v>
      </c>
      <c r="AZ103" s="38">
        <f t="shared" ref="AZ103" si="1226">TRUNC($M103 * AY103,2)</f>
        <v>0</v>
      </c>
      <c r="BA103" s="38">
        <f t="shared" si="1090"/>
        <v>180.11</v>
      </c>
      <c r="BB103" s="37">
        <f t="shared" ref="BB103" si="1227">TRUNC($M103 * BA103,2)</f>
        <v>14976.14</v>
      </c>
    </row>
    <row r="104" spans="1:54" ht="65.099999999999994" customHeight="1" x14ac:dyDescent="0.25">
      <c r="A104" s="31" t="s">
        <v>229</v>
      </c>
      <c r="B104" s="31" t="s">
        <v>230</v>
      </c>
      <c r="C104" s="31" t="s">
        <v>42</v>
      </c>
      <c r="D104" s="31" t="s">
        <v>231</v>
      </c>
      <c r="E104" s="32" t="s">
        <v>26</v>
      </c>
      <c r="F104" s="33">
        <v>114.28</v>
      </c>
      <c r="G104" s="34">
        <v>162.87</v>
      </c>
      <c r="H104" s="34">
        <f t="shared" si="1067"/>
        <v>149.96</v>
      </c>
      <c r="I104" s="34">
        <f t="shared" si="1068"/>
        <v>17137.419999999998</v>
      </c>
      <c r="J104" s="34">
        <f>(TRUNC(H104 * L14,2) + H104)</f>
        <v>180.46</v>
      </c>
      <c r="K104" s="34">
        <f>TRUNC(F104 * J104,2)</f>
        <v>20622.96</v>
      </c>
      <c r="L104" s="35">
        <f>K104 / L13</f>
        <v>7.1113655172413779E-3</v>
      </c>
      <c r="M104" s="36">
        <v>141.49</v>
      </c>
      <c r="N104" s="37">
        <f t="shared" si="1070"/>
        <v>16169.47</v>
      </c>
      <c r="O104" s="36"/>
      <c r="P104" s="38">
        <f t="shared" si="1071"/>
        <v>0</v>
      </c>
      <c r="Q104" s="38"/>
      <c r="R104" s="38">
        <f t="shared" si="1071"/>
        <v>0</v>
      </c>
      <c r="S104" s="38">
        <f t="shared" si="1072"/>
        <v>114.28</v>
      </c>
      <c r="T104" s="37">
        <f t="shared" ref="T104:V104" si="1228">TRUNC($M104 * S104,2)</f>
        <v>16169.47</v>
      </c>
      <c r="U104" s="36"/>
      <c r="V104" s="38">
        <f t="shared" si="1228"/>
        <v>0</v>
      </c>
      <c r="W104" s="38"/>
      <c r="X104" s="38">
        <f t="shared" ref="X104" si="1229">TRUNC($M104 * W104,2)</f>
        <v>0</v>
      </c>
      <c r="Y104" s="38"/>
      <c r="Z104" s="38">
        <f t="shared" ref="Z104" si="1230">TRUNC($M104 * Y104,2)</f>
        <v>0</v>
      </c>
      <c r="AA104" s="38"/>
      <c r="AB104" s="38">
        <f t="shared" ref="AB104" si="1231">TRUNC($M104 * AA104,2)</f>
        <v>0</v>
      </c>
      <c r="AC104" s="38"/>
      <c r="AD104" s="38">
        <f t="shared" ref="AD104" si="1232">TRUNC($M104 * AC104,2)</f>
        <v>0</v>
      </c>
      <c r="AE104" s="38"/>
      <c r="AF104" s="38">
        <f t="shared" ref="AF104" si="1233">TRUNC($M104 * AE104,2)</f>
        <v>0</v>
      </c>
      <c r="AG104" s="38"/>
      <c r="AH104" s="38">
        <f t="shared" ref="AH104" si="1234">TRUNC($M104 * AG104,2)</f>
        <v>0</v>
      </c>
      <c r="AI104" s="38"/>
      <c r="AJ104" s="38">
        <f t="shared" ref="AJ104" si="1235">TRUNC($M104 * AI104,2)</f>
        <v>0</v>
      </c>
      <c r="AK104" s="38"/>
      <c r="AL104" s="38">
        <f t="shared" ref="AL104" si="1236">TRUNC($M104 * AK104,2)</f>
        <v>0</v>
      </c>
      <c r="AM104" s="38"/>
      <c r="AN104" s="38">
        <f t="shared" ref="AN104" si="1237">TRUNC($M104 * AM104,2)</f>
        <v>0</v>
      </c>
      <c r="AO104" s="38"/>
      <c r="AP104" s="38">
        <f t="shared" ref="AP104" si="1238">TRUNC($M104 * AO104,2)</f>
        <v>0</v>
      </c>
      <c r="AQ104" s="38"/>
      <c r="AR104" s="38">
        <f t="shared" ref="AR104" si="1239">TRUNC($M104 * AQ104,2)</f>
        <v>0</v>
      </c>
      <c r="AS104" s="38"/>
      <c r="AT104" s="38">
        <f t="shared" ref="AT104" si="1240">TRUNC($M104 * AS104,2)</f>
        <v>0</v>
      </c>
      <c r="AU104" s="38"/>
      <c r="AV104" s="38">
        <f t="shared" ref="AV104" si="1241">TRUNC($M104 * AU104,2)</f>
        <v>0</v>
      </c>
      <c r="AW104" s="38"/>
      <c r="AX104" s="37">
        <f t="shared" ref="AX104" si="1242">TRUNC($M104 * AW104,2)</f>
        <v>0</v>
      </c>
      <c r="AY104" s="36">
        <f t="shared" si="1088"/>
        <v>0</v>
      </c>
      <c r="AZ104" s="38">
        <f t="shared" ref="AZ104" si="1243">TRUNC($M104 * AY104,2)</f>
        <v>0</v>
      </c>
      <c r="BA104" s="38">
        <f t="shared" si="1090"/>
        <v>114.28</v>
      </c>
      <c r="BB104" s="37">
        <f t="shared" ref="BB104" si="1244">TRUNC($M104 * BA104,2)</f>
        <v>16169.47</v>
      </c>
    </row>
    <row r="105" spans="1:54" ht="65.099999999999994" customHeight="1" x14ac:dyDescent="0.25">
      <c r="A105" s="31" t="s">
        <v>232</v>
      </c>
      <c r="B105" s="31" t="s">
        <v>233</v>
      </c>
      <c r="C105" s="31" t="s">
        <v>42</v>
      </c>
      <c r="D105" s="31" t="s">
        <v>234</v>
      </c>
      <c r="E105" s="32" t="s">
        <v>26</v>
      </c>
      <c r="F105" s="33">
        <v>78.569999999999993</v>
      </c>
      <c r="G105" s="34">
        <v>176.24</v>
      </c>
      <c r="H105" s="34">
        <f t="shared" si="1067"/>
        <v>162.27000000000001</v>
      </c>
      <c r="I105" s="34">
        <f t="shared" si="1068"/>
        <v>12749.55</v>
      </c>
      <c r="J105" s="34">
        <f>(TRUNC(H105 * L14,2) + H105)</f>
        <v>195.27</v>
      </c>
      <c r="K105" s="34">
        <f>TRUNC(F105 * J105,2)</f>
        <v>15342.36</v>
      </c>
      <c r="L105" s="35">
        <f>K105 / L13</f>
        <v>5.2904689655172404E-3</v>
      </c>
      <c r="M105" s="36">
        <v>150.25</v>
      </c>
      <c r="N105" s="37">
        <f t="shared" si="1070"/>
        <v>11805.14</v>
      </c>
      <c r="O105" s="36"/>
      <c r="P105" s="38">
        <f t="shared" si="1071"/>
        <v>0</v>
      </c>
      <c r="Q105" s="38"/>
      <c r="R105" s="38">
        <f t="shared" si="1071"/>
        <v>0</v>
      </c>
      <c r="S105" s="38">
        <f t="shared" si="1072"/>
        <v>78.569999999999993</v>
      </c>
      <c r="T105" s="37">
        <f t="shared" ref="T105:V105" si="1245">TRUNC($M105 * S105,2)</f>
        <v>11805.14</v>
      </c>
      <c r="U105" s="36"/>
      <c r="V105" s="38">
        <f t="shared" si="1245"/>
        <v>0</v>
      </c>
      <c r="W105" s="38"/>
      <c r="X105" s="38">
        <f t="shared" ref="X105" si="1246">TRUNC($M105 * W105,2)</f>
        <v>0</v>
      </c>
      <c r="Y105" s="38"/>
      <c r="Z105" s="38">
        <f t="shared" ref="Z105" si="1247">TRUNC($M105 * Y105,2)</f>
        <v>0</v>
      </c>
      <c r="AA105" s="38"/>
      <c r="AB105" s="38">
        <f t="shared" ref="AB105" si="1248">TRUNC($M105 * AA105,2)</f>
        <v>0</v>
      </c>
      <c r="AC105" s="38"/>
      <c r="AD105" s="38">
        <f t="shared" ref="AD105" si="1249">TRUNC($M105 * AC105,2)</f>
        <v>0</v>
      </c>
      <c r="AE105" s="38"/>
      <c r="AF105" s="38">
        <f t="shared" ref="AF105" si="1250">TRUNC($M105 * AE105,2)</f>
        <v>0</v>
      </c>
      <c r="AG105" s="38"/>
      <c r="AH105" s="38">
        <f t="shared" ref="AH105" si="1251">TRUNC($M105 * AG105,2)</f>
        <v>0</v>
      </c>
      <c r="AI105" s="38"/>
      <c r="AJ105" s="38">
        <f t="shared" ref="AJ105" si="1252">TRUNC($M105 * AI105,2)</f>
        <v>0</v>
      </c>
      <c r="AK105" s="38"/>
      <c r="AL105" s="38">
        <f t="shared" ref="AL105" si="1253">TRUNC($M105 * AK105,2)</f>
        <v>0</v>
      </c>
      <c r="AM105" s="38"/>
      <c r="AN105" s="38">
        <f t="shared" ref="AN105" si="1254">TRUNC($M105 * AM105,2)</f>
        <v>0</v>
      </c>
      <c r="AO105" s="38"/>
      <c r="AP105" s="38">
        <f t="shared" ref="AP105" si="1255">TRUNC($M105 * AO105,2)</f>
        <v>0</v>
      </c>
      <c r="AQ105" s="38"/>
      <c r="AR105" s="38">
        <f t="shared" ref="AR105" si="1256">TRUNC($M105 * AQ105,2)</f>
        <v>0</v>
      </c>
      <c r="AS105" s="38"/>
      <c r="AT105" s="38">
        <f t="shared" ref="AT105" si="1257">TRUNC($M105 * AS105,2)</f>
        <v>0</v>
      </c>
      <c r="AU105" s="38"/>
      <c r="AV105" s="38">
        <f t="shared" ref="AV105" si="1258">TRUNC($M105 * AU105,2)</f>
        <v>0</v>
      </c>
      <c r="AW105" s="38"/>
      <c r="AX105" s="37">
        <f t="shared" ref="AX105" si="1259">TRUNC($M105 * AW105,2)</f>
        <v>0</v>
      </c>
      <c r="AY105" s="36">
        <f t="shared" si="1088"/>
        <v>0</v>
      </c>
      <c r="AZ105" s="38">
        <f t="shared" ref="AZ105" si="1260">TRUNC($M105 * AY105,2)</f>
        <v>0</v>
      </c>
      <c r="BA105" s="38">
        <f t="shared" si="1090"/>
        <v>78.569999999999993</v>
      </c>
      <c r="BB105" s="37">
        <f t="shared" ref="BB105" si="1261">TRUNC($M105 * BA105,2)</f>
        <v>11805.14</v>
      </c>
    </row>
    <row r="106" spans="1:54" ht="24" customHeight="1" x14ac:dyDescent="0.25">
      <c r="A106" s="4" t="s">
        <v>235</v>
      </c>
      <c r="B106" s="4" t="s">
        <v>12</v>
      </c>
      <c r="C106" s="4"/>
      <c r="D106" s="4" t="s">
        <v>236</v>
      </c>
      <c r="E106" s="5"/>
      <c r="F106" s="14"/>
      <c r="G106" s="6"/>
      <c r="H106" s="6"/>
      <c r="I106" s="7">
        <f>SUM(I107:I109)</f>
        <v>1963.3</v>
      </c>
      <c r="J106" s="7"/>
      <c r="K106" s="7">
        <f>SUM(K107:K109)</f>
        <v>2362.56</v>
      </c>
      <c r="L106" s="22">
        <f>K106 / L13</f>
        <v>8.1467586206896531E-4</v>
      </c>
      <c r="M106" s="25"/>
      <c r="N106" s="26">
        <f>SUM(N107:N109)</f>
        <v>1436.51</v>
      </c>
      <c r="O106" s="25"/>
      <c r="P106" s="30">
        <f>SUM(P107:P109)</f>
        <v>0</v>
      </c>
      <c r="Q106" s="30"/>
      <c r="R106" s="30">
        <f>SUM(R107:R109)</f>
        <v>0</v>
      </c>
      <c r="S106" s="30"/>
      <c r="T106" s="26">
        <f>SUM(T107:T109)</f>
        <v>1436.51</v>
      </c>
      <c r="U106" s="25"/>
      <c r="V106" s="30">
        <f>SUM(V107:V109)</f>
        <v>0</v>
      </c>
      <c r="W106" s="30"/>
      <c r="X106" s="30">
        <f>SUM(X107:X109)</f>
        <v>0</v>
      </c>
      <c r="Y106" s="30"/>
      <c r="Z106" s="30">
        <f>SUM(Z107:Z109)</f>
        <v>0</v>
      </c>
      <c r="AA106" s="30"/>
      <c r="AB106" s="30">
        <f>SUM(AB107:AB109)</f>
        <v>0</v>
      </c>
      <c r="AC106" s="30"/>
      <c r="AD106" s="30">
        <f>SUM(AD107:AD109)</f>
        <v>0</v>
      </c>
      <c r="AE106" s="30"/>
      <c r="AF106" s="30">
        <f>SUM(AF107:AF109)</f>
        <v>0</v>
      </c>
      <c r="AG106" s="30"/>
      <c r="AH106" s="30">
        <f>SUM(AH107:AH109)</f>
        <v>0</v>
      </c>
      <c r="AI106" s="30"/>
      <c r="AJ106" s="30">
        <f>SUM(AJ107:AJ109)</f>
        <v>0</v>
      </c>
      <c r="AK106" s="30"/>
      <c r="AL106" s="30">
        <f>SUM(AL107:AL109)</f>
        <v>0</v>
      </c>
      <c r="AM106" s="30"/>
      <c r="AN106" s="30">
        <f>SUM(AN107:AN109)</f>
        <v>0</v>
      </c>
      <c r="AO106" s="30"/>
      <c r="AP106" s="30">
        <f>SUM(AP107:AP109)</f>
        <v>0</v>
      </c>
      <c r="AQ106" s="30"/>
      <c r="AR106" s="30">
        <f>SUM(AR107:AR109)</f>
        <v>0</v>
      </c>
      <c r="AS106" s="30"/>
      <c r="AT106" s="30">
        <f>SUM(AT107:AT109)</f>
        <v>0</v>
      </c>
      <c r="AU106" s="30"/>
      <c r="AV106" s="30">
        <f>SUM(AV107:AV109)</f>
        <v>0</v>
      </c>
      <c r="AW106" s="30"/>
      <c r="AX106" s="26">
        <f>SUM(AX107:AX109)</f>
        <v>0</v>
      </c>
      <c r="AY106" s="25"/>
      <c r="AZ106" s="30">
        <f>SUM(AZ107:AZ109)</f>
        <v>0</v>
      </c>
      <c r="BA106" s="30"/>
      <c r="BB106" s="26">
        <f>SUM(BB107:BB109)</f>
        <v>1436.51</v>
      </c>
    </row>
    <row r="107" spans="1:54" ht="39" customHeight="1" x14ac:dyDescent="0.25">
      <c r="A107" s="31" t="s">
        <v>237</v>
      </c>
      <c r="B107" s="31" t="s">
        <v>238</v>
      </c>
      <c r="C107" s="31" t="s">
        <v>34</v>
      </c>
      <c r="D107" s="31" t="s">
        <v>239</v>
      </c>
      <c r="E107" s="32" t="s">
        <v>26</v>
      </c>
      <c r="F107" s="33">
        <v>0.4</v>
      </c>
      <c r="G107" s="34">
        <v>336.77</v>
      </c>
      <c r="H107" s="34">
        <f t="shared" si="1067"/>
        <v>310.07</v>
      </c>
      <c r="I107" s="34">
        <f t="shared" si="1068"/>
        <v>124.02</v>
      </c>
      <c r="J107" s="34">
        <f>(TRUNC(H107 * L14,2) + H107)</f>
        <v>373.13</v>
      </c>
      <c r="K107" s="34">
        <f>TRUNC(F107 * J107,2)</f>
        <v>149.25</v>
      </c>
      <c r="L107" s="35">
        <f>K107 / L13</f>
        <v>5.1465517241379301E-5</v>
      </c>
      <c r="M107" s="36">
        <v>270.33</v>
      </c>
      <c r="N107" s="37">
        <f t="shared" si="1070"/>
        <v>108.13</v>
      </c>
      <c r="O107" s="36"/>
      <c r="P107" s="38">
        <f t="shared" si="1071"/>
        <v>0</v>
      </c>
      <c r="Q107" s="38"/>
      <c r="R107" s="38">
        <f t="shared" si="1071"/>
        <v>0</v>
      </c>
      <c r="S107" s="38">
        <f t="shared" si="1072"/>
        <v>0.4</v>
      </c>
      <c r="T107" s="37">
        <f t="shared" ref="T107:V107" si="1262">TRUNC($M107 * S107,2)</f>
        <v>108.13</v>
      </c>
      <c r="U107" s="36"/>
      <c r="V107" s="38">
        <f t="shared" si="1262"/>
        <v>0</v>
      </c>
      <c r="W107" s="38"/>
      <c r="X107" s="38">
        <f t="shared" ref="X107" si="1263">TRUNC($M107 * W107,2)</f>
        <v>0</v>
      </c>
      <c r="Y107" s="38"/>
      <c r="Z107" s="38">
        <f t="shared" ref="Z107" si="1264">TRUNC($M107 * Y107,2)</f>
        <v>0</v>
      </c>
      <c r="AA107" s="38"/>
      <c r="AB107" s="38">
        <f t="shared" ref="AB107" si="1265">TRUNC($M107 * AA107,2)</f>
        <v>0</v>
      </c>
      <c r="AC107" s="38"/>
      <c r="AD107" s="38">
        <f t="shared" ref="AD107" si="1266">TRUNC($M107 * AC107,2)</f>
        <v>0</v>
      </c>
      <c r="AE107" s="38"/>
      <c r="AF107" s="38">
        <f t="shared" ref="AF107" si="1267">TRUNC($M107 * AE107,2)</f>
        <v>0</v>
      </c>
      <c r="AG107" s="38"/>
      <c r="AH107" s="38">
        <f t="shared" ref="AH107" si="1268">TRUNC($M107 * AG107,2)</f>
        <v>0</v>
      </c>
      <c r="AI107" s="38"/>
      <c r="AJ107" s="38">
        <f t="shared" ref="AJ107" si="1269">TRUNC($M107 * AI107,2)</f>
        <v>0</v>
      </c>
      <c r="AK107" s="38"/>
      <c r="AL107" s="38">
        <f t="shared" ref="AL107" si="1270">TRUNC($M107 * AK107,2)</f>
        <v>0</v>
      </c>
      <c r="AM107" s="38"/>
      <c r="AN107" s="38">
        <f t="shared" ref="AN107" si="1271">TRUNC($M107 * AM107,2)</f>
        <v>0</v>
      </c>
      <c r="AO107" s="38"/>
      <c r="AP107" s="38">
        <f t="shared" ref="AP107" si="1272">TRUNC($M107 * AO107,2)</f>
        <v>0</v>
      </c>
      <c r="AQ107" s="38"/>
      <c r="AR107" s="38">
        <f t="shared" ref="AR107" si="1273">TRUNC($M107 * AQ107,2)</f>
        <v>0</v>
      </c>
      <c r="AS107" s="38"/>
      <c r="AT107" s="38">
        <f t="shared" ref="AT107" si="1274">TRUNC($M107 * AS107,2)</f>
        <v>0</v>
      </c>
      <c r="AU107" s="38"/>
      <c r="AV107" s="38">
        <f t="shared" ref="AV107" si="1275">TRUNC($M107 * AU107,2)</f>
        <v>0</v>
      </c>
      <c r="AW107" s="38"/>
      <c r="AX107" s="37">
        <f t="shared" ref="AX107" si="1276">TRUNC($M107 * AW107,2)</f>
        <v>0</v>
      </c>
      <c r="AY107" s="36">
        <f t="shared" si="1088"/>
        <v>0</v>
      </c>
      <c r="AZ107" s="38">
        <f t="shared" ref="AZ107" si="1277">TRUNC($M107 * AY107,2)</f>
        <v>0</v>
      </c>
      <c r="BA107" s="38">
        <f t="shared" si="1090"/>
        <v>0.4</v>
      </c>
      <c r="BB107" s="37">
        <f t="shared" ref="BB107" si="1278">TRUNC($M107 * BA107,2)</f>
        <v>108.13</v>
      </c>
    </row>
    <row r="108" spans="1:54" ht="26.1" customHeight="1" x14ac:dyDescent="0.25">
      <c r="A108" s="31" t="s">
        <v>240</v>
      </c>
      <c r="B108" s="31" t="s">
        <v>241</v>
      </c>
      <c r="C108" s="31" t="s">
        <v>24</v>
      </c>
      <c r="D108" s="31" t="s">
        <v>242</v>
      </c>
      <c r="E108" s="32" t="s">
        <v>26</v>
      </c>
      <c r="F108" s="33">
        <v>13.96</v>
      </c>
      <c r="G108" s="34">
        <v>130</v>
      </c>
      <c r="H108" s="34">
        <f t="shared" si="1067"/>
        <v>119.69</v>
      </c>
      <c r="I108" s="34">
        <f t="shared" si="1068"/>
        <v>1670.87</v>
      </c>
      <c r="J108" s="34">
        <f>(TRUNC(H108 * L14,2) + H108)</f>
        <v>144.03</v>
      </c>
      <c r="K108" s="34">
        <f>TRUNC(F108 * J108,2)</f>
        <v>2010.65</v>
      </c>
      <c r="L108" s="35">
        <f>K108 / L13</f>
        <v>6.9332758620689649E-4</v>
      </c>
      <c r="M108" s="36">
        <v>92.42</v>
      </c>
      <c r="N108" s="37">
        <f t="shared" si="1070"/>
        <v>1290.18</v>
      </c>
      <c r="O108" s="36"/>
      <c r="P108" s="38">
        <f t="shared" si="1071"/>
        <v>0</v>
      </c>
      <c r="Q108" s="38"/>
      <c r="R108" s="38">
        <f t="shared" si="1071"/>
        <v>0</v>
      </c>
      <c r="S108" s="38">
        <f t="shared" si="1072"/>
        <v>13.96</v>
      </c>
      <c r="T108" s="37">
        <f t="shared" ref="T108:V108" si="1279">TRUNC($M108 * S108,2)</f>
        <v>1290.18</v>
      </c>
      <c r="U108" s="36"/>
      <c r="V108" s="38">
        <f t="shared" si="1279"/>
        <v>0</v>
      </c>
      <c r="W108" s="38"/>
      <c r="X108" s="38">
        <f t="shared" ref="X108" si="1280">TRUNC($M108 * W108,2)</f>
        <v>0</v>
      </c>
      <c r="Y108" s="38"/>
      <c r="Z108" s="38">
        <f t="shared" ref="Z108" si="1281">TRUNC($M108 * Y108,2)</f>
        <v>0</v>
      </c>
      <c r="AA108" s="38"/>
      <c r="AB108" s="38">
        <f t="shared" ref="AB108" si="1282">TRUNC($M108 * AA108,2)</f>
        <v>0</v>
      </c>
      <c r="AC108" s="38"/>
      <c r="AD108" s="38">
        <f t="shared" ref="AD108" si="1283">TRUNC($M108 * AC108,2)</f>
        <v>0</v>
      </c>
      <c r="AE108" s="38"/>
      <c r="AF108" s="38">
        <f t="shared" ref="AF108" si="1284">TRUNC($M108 * AE108,2)</f>
        <v>0</v>
      </c>
      <c r="AG108" s="38"/>
      <c r="AH108" s="38">
        <f t="shared" ref="AH108" si="1285">TRUNC($M108 * AG108,2)</f>
        <v>0</v>
      </c>
      <c r="AI108" s="38"/>
      <c r="AJ108" s="38">
        <f t="shared" ref="AJ108" si="1286">TRUNC($M108 * AI108,2)</f>
        <v>0</v>
      </c>
      <c r="AK108" s="38"/>
      <c r="AL108" s="38">
        <f t="shared" ref="AL108" si="1287">TRUNC($M108 * AK108,2)</f>
        <v>0</v>
      </c>
      <c r="AM108" s="38"/>
      <c r="AN108" s="38">
        <f t="shared" ref="AN108" si="1288">TRUNC($M108 * AM108,2)</f>
        <v>0</v>
      </c>
      <c r="AO108" s="38"/>
      <c r="AP108" s="38">
        <f t="shared" ref="AP108" si="1289">TRUNC($M108 * AO108,2)</f>
        <v>0</v>
      </c>
      <c r="AQ108" s="38"/>
      <c r="AR108" s="38">
        <f t="shared" ref="AR108" si="1290">TRUNC($M108 * AQ108,2)</f>
        <v>0</v>
      </c>
      <c r="AS108" s="38"/>
      <c r="AT108" s="38">
        <f t="shared" ref="AT108" si="1291">TRUNC($M108 * AS108,2)</f>
        <v>0</v>
      </c>
      <c r="AU108" s="38"/>
      <c r="AV108" s="38">
        <f t="shared" ref="AV108" si="1292">TRUNC($M108 * AU108,2)</f>
        <v>0</v>
      </c>
      <c r="AW108" s="38"/>
      <c r="AX108" s="37">
        <f t="shared" ref="AX108" si="1293">TRUNC($M108 * AW108,2)</f>
        <v>0</v>
      </c>
      <c r="AY108" s="36">
        <f t="shared" si="1088"/>
        <v>0</v>
      </c>
      <c r="AZ108" s="38">
        <f t="shared" ref="AZ108" si="1294">TRUNC($M108 * AY108,2)</f>
        <v>0</v>
      </c>
      <c r="BA108" s="38">
        <f t="shared" si="1090"/>
        <v>13.96</v>
      </c>
      <c r="BB108" s="37">
        <f t="shared" ref="BB108" si="1295">TRUNC($M108 * BA108,2)</f>
        <v>1290.18</v>
      </c>
    </row>
    <row r="109" spans="1:54" ht="24" customHeight="1" x14ac:dyDescent="0.25">
      <c r="A109" s="31" t="s">
        <v>243</v>
      </c>
      <c r="B109" s="31" t="s">
        <v>244</v>
      </c>
      <c r="C109" s="31" t="s">
        <v>245</v>
      </c>
      <c r="D109" s="31" t="s">
        <v>246</v>
      </c>
      <c r="E109" s="32" t="s">
        <v>26</v>
      </c>
      <c r="F109" s="33">
        <v>1.58</v>
      </c>
      <c r="G109" s="34">
        <v>115.77</v>
      </c>
      <c r="H109" s="34">
        <f>TRUNC(G109*$L$1,2)</f>
        <v>106.59</v>
      </c>
      <c r="I109" s="34">
        <f t="shared" si="1068"/>
        <v>168.41</v>
      </c>
      <c r="J109" s="34">
        <f>(TRUNC(H109 * L14,2) + H109)</f>
        <v>128.27000000000001</v>
      </c>
      <c r="K109" s="34">
        <f>TRUNC(F109 * J109,2)</f>
        <v>202.66</v>
      </c>
      <c r="L109" s="35">
        <f>K109 / L13</f>
        <v>6.9882758620689643E-5</v>
      </c>
      <c r="M109" s="36">
        <v>24.178999999999998</v>
      </c>
      <c r="N109" s="37">
        <f>TRUNC(F109 * M109,2)</f>
        <v>38.200000000000003</v>
      </c>
      <c r="O109" s="36"/>
      <c r="P109" s="38">
        <f t="shared" si="1071"/>
        <v>0</v>
      </c>
      <c r="Q109" s="38"/>
      <c r="R109" s="38">
        <f t="shared" si="1071"/>
        <v>0</v>
      </c>
      <c r="S109" s="38">
        <f t="shared" si="1072"/>
        <v>1.58</v>
      </c>
      <c r="T109" s="37">
        <f t="shared" ref="T109:V109" si="1296">TRUNC($M109 * S109,2)</f>
        <v>38.200000000000003</v>
      </c>
      <c r="U109" s="36"/>
      <c r="V109" s="38">
        <f t="shared" si="1296"/>
        <v>0</v>
      </c>
      <c r="W109" s="38"/>
      <c r="X109" s="38">
        <f t="shared" ref="X109" si="1297">TRUNC($M109 * W109,2)</f>
        <v>0</v>
      </c>
      <c r="Y109" s="38"/>
      <c r="Z109" s="38">
        <f t="shared" ref="Z109" si="1298">TRUNC($M109 * Y109,2)</f>
        <v>0</v>
      </c>
      <c r="AA109" s="38"/>
      <c r="AB109" s="38">
        <f t="shared" ref="AB109" si="1299">TRUNC($M109 * AA109,2)</f>
        <v>0</v>
      </c>
      <c r="AC109" s="38"/>
      <c r="AD109" s="38">
        <f t="shared" ref="AD109" si="1300">TRUNC($M109 * AC109,2)</f>
        <v>0</v>
      </c>
      <c r="AE109" s="38"/>
      <c r="AF109" s="38">
        <f t="shared" ref="AF109" si="1301">TRUNC($M109 * AE109,2)</f>
        <v>0</v>
      </c>
      <c r="AG109" s="38"/>
      <c r="AH109" s="38">
        <f t="shared" ref="AH109" si="1302">TRUNC($M109 * AG109,2)</f>
        <v>0</v>
      </c>
      <c r="AI109" s="38"/>
      <c r="AJ109" s="38">
        <f t="shared" ref="AJ109" si="1303">TRUNC($M109 * AI109,2)</f>
        <v>0</v>
      </c>
      <c r="AK109" s="38"/>
      <c r="AL109" s="38">
        <f t="shared" ref="AL109" si="1304">TRUNC($M109 * AK109,2)</f>
        <v>0</v>
      </c>
      <c r="AM109" s="38"/>
      <c r="AN109" s="38">
        <f t="shared" ref="AN109" si="1305">TRUNC($M109 * AM109,2)</f>
        <v>0</v>
      </c>
      <c r="AO109" s="38"/>
      <c r="AP109" s="38">
        <f t="shared" ref="AP109" si="1306">TRUNC($M109 * AO109,2)</f>
        <v>0</v>
      </c>
      <c r="AQ109" s="38"/>
      <c r="AR109" s="38">
        <f t="shared" ref="AR109" si="1307">TRUNC($M109 * AQ109,2)</f>
        <v>0</v>
      </c>
      <c r="AS109" s="38"/>
      <c r="AT109" s="38">
        <f t="shared" ref="AT109" si="1308">TRUNC($M109 * AS109,2)</f>
        <v>0</v>
      </c>
      <c r="AU109" s="38"/>
      <c r="AV109" s="38">
        <f t="shared" ref="AV109" si="1309">TRUNC($M109 * AU109,2)</f>
        <v>0</v>
      </c>
      <c r="AW109" s="38"/>
      <c r="AX109" s="37">
        <f t="shared" ref="AX109" si="1310">TRUNC($M109 * AW109,2)</f>
        <v>0</v>
      </c>
      <c r="AY109" s="36">
        <f t="shared" si="1088"/>
        <v>0</v>
      </c>
      <c r="AZ109" s="38">
        <f t="shared" ref="AZ109" si="1311">TRUNC($M109 * AY109,2)</f>
        <v>0</v>
      </c>
      <c r="BA109" s="38">
        <f t="shared" si="1090"/>
        <v>1.58</v>
      </c>
      <c r="BB109" s="37">
        <f t="shared" ref="BB109" si="1312">TRUNC($M109 * BA109,2)</f>
        <v>38.200000000000003</v>
      </c>
    </row>
    <row r="110" spans="1:54" ht="24" customHeight="1" x14ac:dyDescent="0.25">
      <c r="A110" s="4" t="s">
        <v>247</v>
      </c>
      <c r="B110" s="4" t="s">
        <v>12</v>
      </c>
      <c r="C110" s="4"/>
      <c r="D110" s="4" t="s">
        <v>248</v>
      </c>
      <c r="E110" s="5"/>
      <c r="F110" s="14"/>
      <c r="G110" s="6"/>
      <c r="H110" s="6"/>
      <c r="I110" s="7">
        <f>SUM(I111,I115,I118)</f>
        <v>152073.79999999999</v>
      </c>
      <c r="J110" s="7"/>
      <c r="K110" s="7">
        <f>SUM(K111,K115,K118)</f>
        <v>182994.25000000003</v>
      </c>
      <c r="L110" s="22">
        <f>K110 / L13</f>
        <v>6.3101465517241384E-2</v>
      </c>
      <c r="M110" s="25"/>
      <c r="N110" s="26">
        <f>SUM(N111,N115,N118)</f>
        <v>119892.28</v>
      </c>
      <c r="O110" s="25"/>
      <c r="P110" s="30">
        <f>SUM(P111,P115,P118)</f>
        <v>0</v>
      </c>
      <c r="Q110" s="30"/>
      <c r="R110" s="30">
        <f>SUM(R111,R115,R118)</f>
        <v>0</v>
      </c>
      <c r="S110" s="30"/>
      <c r="T110" s="26">
        <f>SUM(T111,T115,T118)</f>
        <v>119892.28</v>
      </c>
      <c r="U110" s="25"/>
      <c r="V110" s="30">
        <f>SUM(V111,V115,V118)</f>
        <v>0</v>
      </c>
      <c r="W110" s="30"/>
      <c r="X110" s="30">
        <f>SUM(X111,X115,X118)</f>
        <v>0</v>
      </c>
      <c r="Y110" s="30"/>
      <c r="Z110" s="30">
        <f>SUM(Z111,Z115,Z118)</f>
        <v>0</v>
      </c>
      <c r="AA110" s="30"/>
      <c r="AB110" s="30">
        <f>SUM(AB111,AB115,AB118)</f>
        <v>0</v>
      </c>
      <c r="AC110" s="30"/>
      <c r="AD110" s="30">
        <f>SUM(AD111,AD115,AD118)</f>
        <v>0</v>
      </c>
      <c r="AE110" s="30"/>
      <c r="AF110" s="30">
        <f>SUM(AF111,AF115,AF118)</f>
        <v>0</v>
      </c>
      <c r="AG110" s="30"/>
      <c r="AH110" s="30">
        <f>SUM(AH111,AH115,AH118)</f>
        <v>0</v>
      </c>
      <c r="AI110" s="30"/>
      <c r="AJ110" s="30">
        <f>SUM(AJ111,AJ115,AJ118)</f>
        <v>0</v>
      </c>
      <c r="AK110" s="30"/>
      <c r="AL110" s="30">
        <f>SUM(AL111,AL115,AL118)</f>
        <v>0</v>
      </c>
      <c r="AM110" s="30"/>
      <c r="AN110" s="30">
        <f>SUM(AN111,AN115,AN118)</f>
        <v>0</v>
      </c>
      <c r="AO110" s="30"/>
      <c r="AP110" s="30">
        <f>SUM(AP111,AP115,AP118)</f>
        <v>0</v>
      </c>
      <c r="AQ110" s="30"/>
      <c r="AR110" s="30">
        <f>SUM(AR111,AR115,AR118)</f>
        <v>0</v>
      </c>
      <c r="AS110" s="30"/>
      <c r="AT110" s="30">
        <f>SUM(AT111,AT115,AT118)</f>
        <v>0</v>
      </c>
      <c r="AU110" s="30"/>
      <c r="AV110" s="30">
        <f>SUM(AV111,AV115,AV118)</f>
        <v>0</v>
      </c>
      <c r="AW110" s="30"/>
      <c r="AX110" s="26">
        <f>SUM(AX111,AX115,AX118)</f>
        <v>0</v>
      </c>
      <c r="AY110" s="25"/>
      <c r="AZ110" s="30">
        <f>SUM(AZ111,AZ115,AZ118)</f>
        <v>0</v>
      </c>
      <c r="BA110" s="30"/>
      <c r="BB110" s="26">
        <f>SUM(BB111,BB115,BB118)</f>
        <v>119892.28</v>
      </c>
    </row>
    <row r="111" spans="1:54" ht="24" customHeight="1" x14ac:dyDescent="0.25">
      <c r="A111" s="4" t="s">
        <v>249</v>
      </c>
      <c r="B111" s="4" t="s">
        <v>12</v>
      </c>
      <c r="C111" s="4"/>
      <c r="D111" s="4" t="s">
        <v>129</v>
      </c>
      <c r="E111" s="5"/>
      <c r="F111" s="14"/>
      <c r="G111" s="6"/>
      <c r="H111" s="6"/>
      <c r="I111" s="7">
        <f>SUM(I112:I114)</f>
        <v>46992</v>
      </c>
      <c r="J111" s="7"/>
      <c r="K111" s="7">
        <f>SUM(K112:K114)</f>
        <v>56541.87</v>
      </c>
      <c r="L111" s="22">
        <f>K111 / L13</f>
        <v>1.9497196551724136E-2</v>
      </c>
      <c r="M111" s="25"/>
      <c r="N111" s="26">
        <f>SUM(N112:N114)</f>
        <v>38915.119999999995</v>
      </c>
      <c r="O111" s="25"/>
      <c r="P111" s="30">
        <f>SUM(P112:P114)</f>
        <v>0</v>
      </c>
      <c r="Q111" s="30"/>
      <c r="R111" s="30">
        <f>SUM(R112:R114)</f>
        <v>0</v>
      </c>
      <c r="S111" s="30"/>
      <c r="T111" s="26">
        <f>SUM(T112:T114)</f>
        <v>38915.119999999995</v>
      </c>
      <c r="U111" s="25"/>
      <c r="V111" s="30">
        <f>SUM(V112:V114)</f>
        <v>0</v>
      </c>
      <c r="W111" s="30"/>
      <c r="X111" s="30">
        <f>SUM(X112:X114)</f>
        <v>0</v>
      </c>
      <c r="Y111" s="30"/>
      <c r="Z111" s="30">
        <f>SUM(Z112:Z114)</f>
        <v>0</v>
      </c>
      <c r="AA111" s="30"/>
      <c r="AB111" s="30">
        <f>SUM(AB112:AB114)</f>
        <v>0</v>
      </c>
      <c r="AC111" s="30"/>
      <c r="AD111" s="30">
        <f>SUM(AD112:AD114)</f>
        <v>0</v>
      </c>
      <c r="AE111" s="30"/>
      <c r="AF111" s="30">
        <f>SUM(AF112:AF114)</f>
        <v>0</v>
      </c>
      <c r="AG111" s="30"/>
      <c r="AH111" s="30">
        <f>SUM(AH112:AH114)</f>
        <v>0</v>
      </c>
      <c r="AI111" s="30"/>
      <c r="AJ111" s="30">
        <f>SUM(AJ112:AJ114)</f>
        <v>0</v>
      </c>
      <c r="AK111" s="30"/>
      <c r="AL111" s="30">
        <f>SUM(AL112:AL114)</f>
        <v>0</v>
      </c>
      <c r="AM111" s="30"/>
      <c r="AN111" s="30">
        <f>SUM(AN112:AN114)</f>
        <v>0</v>
      </c>
      <c r="AO111" s="30"/>
      <c r="AP111" s="30">
        <f>SUM(AP112:AP114)</f>
        <v>0</v>
      </c>
      <c r="AQ111" s="30"/>
      <c r="AR111" s="30">
        <f>SUM(AR112:AR114)</f>
        <v>0</v>
      </c>
      <c r="AS111" s="30"/>
      <c r="AT111" s="30">
        <f>SUM(AT112:AT114)</f>
        <v>0</v>
      </c>
      <c r="AU111" s="30"/>
      <c r="AV111" s="30">
        <f>SUM(AV112:AV114)</f>
        <v>0</v>
      </c>
      <c r="AW111" s="30"/>
      <c r="AX111" s="26">
        <f>SUM(AX112:AX114)</f>
        <v>0</v>
      </c>
      <c r="AY111" s="25"/>
      <c r="AZ111" s="30">
        <f>SUM(AZ112:AZ114)</f>
        <v>0</v>
      </c>
      <c r="BA111" s="30"/>
      <c r="BB111" s="26">
        <f>SUM(BB112:BB114)</f>
        <v>38915.119999999995</v>
      </c>
    </row>
    <row r="112" spans="1:54" ht="51.9" customHeight="1" x14ac:dyDescent="0.25">
      <c r="A112" s="31" t="s">
        <v>250</v>
      </c>
      <c r="B112" s="31" t="s">
        <v>251</v>
      </c>
      <c r="C112" s="31" t="s">
        <v>34</v>
      </c>
      <c r="D112" s="31" t="s">
        <v>252</v>
      </c>
      <c r="E112" s="32" t="s">
        <v>76</v>
      </c>
      <c r="F112" s="33">
        <v>1345</v>
      </c>
      <c r="G112" s="34">
        <v>19.559999999999999</v>
      </c>
      <c r="H112" s="34">
        <f t="shared" ref="H112:H123" si="1313">TRUNC(G112*$L$1,2)</f>
        <v>18</v>
      </c>
      <c r="I112" s="34">
        <f t="shared" ref="I112:I123" si="1314">TRUNC(F112 * H112,2)</f>
        <v>24210</v>
      </c>
      <c r="J112" s="34">
        <f>(TRUNC(H112 * L14,2) + H112)</f>
        <v>21.66</v>
      </c>
      <c r="K112" s="34">
        <f>TRUNC(F112 * J112,2)</f>
        <v>29132.7</v>
      </c>
      <c r="L112" s="35">
        <f>K112 / L13</f>
        <v>1.0045758620689654E-2</v>
      </c>
      <c r="M112" s="36">
        <v>14.4</v>
      </c>
      <c r="N112" s="37">
        <f t="shared" ref="N112:N123" si="1315">TRUNC(F112 * M112,2)</f>
        <v>19368</v>
      </c>
      <c r="O112" s="36"/>
      <c r="P112" s="38">
        <f t="shared" ref="P112:R123" si="1316">TRUNC($M112 * O112,2)</f>
        <v>0</v>
      </c>
      <c r="Q112" s="38"/>
      <c r="R112" s="38">
        <f t="shared" si="1316"/>
        <v>0</v>
      </c>
      <c r="S112" s="38">
        <f t="shared" ref="S112:S123" si="1317">F112+O112-Q112</f>
        <v>1345</v>
      </c>
      <c r="T112" s="37">
        <f t="shared" ref="T112:V112" si="1318">TRUNC($M112 * S112,2)</f>
        <v>19368</v>
      </c>
      <c r="U112" s="36"/>
      <c r="V112" s="38">
        <f t="shared" si="1318"/>
        <v>0</v>
      </c>
      <c r="W112" s="38"/>
      <c r="X112" s="38">
        <f t="shared" ref="X112" si="1319">TRUNC($M112 * W112,2)</f>
        <v>0</v>
      </c>
      <c r="Y112" s="38"/>
      <c r="Z112" s="38">
        <f t="shared" ref="Z112" si="1320">TRUNC($M112 * Y112,2)</f>
        <v>0</v>
      </c>
      <c r="AA112" s="38"/>
      <c r="AB112" s="38">
        <f t="shared" ref="AB112" si="1321">TRUNC($M112 * AA112,2)</f>
        <v>0</v>
      </c>
      <c r="AC112" s="38"/>
      <c r="AD112" s="38">
        <f t="shared" ref="AD112" si="1322">TRUNC($M112 * AC112,2)</f>
        <v>0</v>
      </c>
      <c r="AE112" s="38"/>
      <c r="AF112" s="38">
        <f t="shared" ref="AF112" si="1323">TRUNC($M112 * AE112,2)</f>
        <v>0</v>
      </c>
      <c r="AG112" s="38"/>
      <c r="AH112" s="38">
        <f t="shared" ref="AH112" si="1324">TRUNC($M112 * AG112,2)</f>
        <v>0</v>
      </c>
      <c r="AI112" s="38"/>
      <c r="AJ112" s="38">
        <f t="shared" ref="AJ112" si="1325">TRUNC($M112 * AI112,2)</f>
        <v>0</v>
      </c>
      <c r="AK112" s="38"/>
      <c r="AL112" s="38">
        <f t="shared" ref="AL112" si="1326">TRUNC($M112 * AK112,2)</f>
        <v>0</v>
      </c>
      <c r="AM112" s="38"/>
      <c r="AN112" s="38">
        <f t="shared" ref="AN112" si="1327">TRUNC($M112 * AM112,2)</f>
        <v>0</v>
      </c>
      <c r="AO112" s="38"/>
      <c r="AP112" s="38">
        <f t="shared" ref="AP112" si="1328">TRUNC($M112 * AO112,2)</f>
        <v>0</v>
      </c>
      <c r="AQ112" s="38"/>
      <c r="AR112" s="38">
        <f t="shared" ref="AR112" si="1329">TRUNC($M112 * AQ112,2)</f>
        <v>0</v>
      </c>
      <c r="AS112" s="38"/>
      <c r="AT112" s="38">
        <f t="shared" ref="AT112" si="1330">TRUNC($M112 * AS112,2)</f>
        <v>0</v>
      </c>
      <c r="AU112" s="38"/>
      <c r="AV112" s="38">
        <f t="shared" ref="AV112" si="1331">TRUNC($M112 * AU112,2)</f>
        <v>0</v>
      </c>
      <c r="AW112" s="38"/>
      <c r="AX112" s="37">
        <f t="shared" ref="AX112" si="1332">TRUNC($M112 * AW112,2)</f>
        <v>0</v>
      </c>
      <c r="AY112" s="36">
        <f t="shared" ref="AY112:AY123" si="1333">SUM(U112,W112,Y112,AA112,AC112,AE112,AG112,AI112,AK112,AM112,AO112,AQ112,AS112,AU112,AW112)</f>
        <v>0</v>
      </c>
      <c r="AZ112" s="38">
        <f t="shared" ref="AZ112" si="1334">TRUNC($M112 * AY112,2)</f>
        <v>0</v>
      </c>
      <c r="BA112" s="38">
        <f t="shared" ref="BA112:BA123" si="1335">S112-AY112</f>
        <v>1345</v>
      </c>
      <c r="BB112" s="37">
        <f t="shared" ref="BB112" si="1336">TRUNC($M112 * BA112,2)</f>
        <v>19368</v>
      </c>
    </row>
    <row r="113" spans="1:54" ht="65.099999999999994" customHeight="1" x14ac:dyDescent="0.25">
      <c r="A113" s="31" t="s">
        <v>253</v>
      </c>
      <c r="B113" s="31" t="s">
        <v>254</v>
      </c>
      <c r="C113" s="31" t="s">
        <v>34</v>
      </c>
      <c r="D113" s="31" t="s">
        <v>255</v>
      </c>
      <c r="E113" s="32" t="s">
        <v>26</v>
      </c>
      <c r="F113" s="33">
        <v>459.5</v>
      </c>
      <c r="G113" s="34">
        <v>27.76</v>
      </c>
      <c r="H113" s="34">
        <f t="shared" si="1313"/>
        <v>25.55</v>
      </c>
      <c r="I113" s="34">
        <f t="shared" si="1314"/>
        <v>11740.22</v>
      </c>
      <c r="J113" s="34">
        <f>(TRUNC(H113 * L14,2) + H113)</f>
        <v>30.740000000000002</v>
      </c>
      <c r="K113" s="34">
        <f>TRUNC(F113 * J113,2)</f>
        <v>14125.03</v>
      </c>
      <c r="L113" s="35">
        <f>K113 / L13</f>
        <v>4.8706999999999995E-3</v>
      </c>
      <c r="M113" s="36">
        <v>22.03</v>
      </c>
      <c r="N113" s="37">
        <f t="shared" si="1315"/>
        <v>10122.780000000001</v>
      </c>
      <c r="O113" s="36"/>
      <c r="P113" s="38">
        <f t="shared" si="1316"/>
        <v>0</v>
      </c>
      <c r="Q113" s="38"/>
      <c r="R113" s="38">
        <f t="shared" si="1316"/>
        <v>0</v>
      </c>
      <c r="S113" s="38">
        <f t="shared" si="1317"/>
        <v>459.5</v>
      </c>
      <c r="T113" s="37">
        <f t="shared" ref="T113:V113" si="1337">TRUNC($M113 * S113,2)</f>
        <v>10122.780000000001</v>
      </c>
      <c r="U113" s="36"/>
      <c r="V113" s="38">
        <f t="shared" si="1337"/>
        <v>0</v>
      </c>
      <c r="W113" s="38"/>
      <c r="X113" s="38">
        <f t="shared" ref="X113" si="1338">TRUNC($M113 * W113,2)</f>
        <v>0</v>
      </c>
      <c r="Y113" s="38"/>
      <c r="Z113" s="38">
        <f t="shared" ref="Z113" si="1339">TRUNC($M113 * Y113,2)</f>
        <v>0</v>
      </c>
      <c r="AA113" s="38"/>
      <c r="AB113" s="38">
        <f t="shared" ref="AB113" si="1340">TRUNC($M113 * AA113,2)</f>
        <v>0</v>
      </c>
      <c r="AC113" s="38"/>
      <c r="AD113" s="38">
        <f t="shared" ref="AD113" si="1341">TRUNC($M113 * AC113,2)</f>
        <v>0</v>
      </c>
      <c r="AE113" s="38"/>
      <c r="AF113" s="38">
        <f t="shared" ref="AF113" si="1342">TRUNC($M113 * AE113,2)</f>
        <v>0</v>
      </c>
      <c r="AG113" s="38"/>
      <c r="AH113" s="38">
        <f t="shared" ref="AH113" si="1343">TRUNC($M113 * AG113,2)</f>
        <v>0</v>
      </c>
      <c r="AI113" s="38"/>
      <c r="AJ113" s="38">
        <f t="shared" ref="AJ113" si="1344">TRUNC($M113 * AI113,2)</f>
        <v>0</v>
      </c>
      <c r="AK113" s="38"/>
      <c r="AL113" s="38">
        <f t="shared" ref="AL113" si="1345">TRUNC($M113 * AK113,2)</f>
        <v>0</v>
      </c>
      <c r="AM113" s="38"/>
      <c r="AN113" s="38">
        <f t="shared" ref="AN113" si="1346">TRUNC($M113 * AM113,2)</f>
        <v>0</v>
      </c>
      <c r="AO113" s="38"/>
      <c r="AP113" s="38">
        <f t="shared" ref="AP113" si="1347">TRUNC($M113 * AO113,2)</f>
        <v>0</v>
      </c>
      <c r="AQ113" s="38"/>
      <c r="AR113" s="38">
        <f t="shared" ref="AR113" si="1348">TRUNC($M113 * AQ113,2)</f>
        <v>0</v>
      </c>
      <c r="AS113" s="38"/>
      <c r="AT113" s="38">
        <f t="shared" ref="AT113" si="1349">TRUNC($M113 * AS113,2)</f>
        <v>0</v>
      </c>
      <c r="AU113" s="38"/>
      <c r="AV113" s="38">
        <f t="shared" ref="AV113" si="1350">TRUNC($M113 * AU113,2)</f>
        <v>0</v>
      </c>
      <c r="AW113" s="38"/>
      <c r="AX113" s="37">
        <f t="shared" ref="AX113" si="1351">TRUNC($M113 * AW113,2)</f>
        <v>0</v>
      </c>
      <c r="AY113" s="36">
        <f t="shared" si="1333"/>
        <v>0</v>
      </c>
      <c r="AZ113" s="38">
        <f t="shared" ref="AZ113" si="1352">TRUNC($M113 * AY113,2)</f>
        <v>0</v>
      </c>
      <c r="BA113" s="38">
        <f t="shared" si="1335"/>
        <v>459.5</v>
      </c>
      <c r="BB113" s="37">
        <f t="shared" ref="BB113" si="1353">TRUNC($M113 * BA113,2)</f>
        <v>10122.780000000001</v>
      </c>
    </row>
    <row r="114" spans="1:54" ht="51.9" customHeight="1" x14ac:dyDescent="0.25">
      <c r="A114" s="31" t="s">
        <v>256</v>
      </c>
      <c r="B114" s="31" t="s">
        <v>257</v>
      </c>
      <c r="C114" s="31" t="s">
        <v>34</v>
      </c>
      <c r="D114" s="31" t="s">
        <v>258</v>
      </c>
      <c r="E114" s="32" t="s">
        <v>26</v>
      </c>
      <c r="F114" s="33">
        <v>459.5</v>
      </c>
      <c r="G114" s="34">
        <v>26.1</v>
      </c>
      <c r="H114" s="34">
        <f t="shared" si="1313"/>
        <v>24.03</v>
      </c>
      <c r="I114" s="34">
        <f t="shared" si="1314"/>
        <v>11041.78</v>
      </c>
      <c r="J114" s="34">
        <f>(TRUNC(H114 * L14,2) + H114)</f>
        <v>28.91</v>
      </c>
      <c r="K114" s="34">
        <f>TRUNC(F114 * J114,2)</f>
        <v>13284.14</v>
      </c>
      <c r="L114" s="35">
        <f>K114 / L13</f>
        <v>4.5807379310344818E-3</v>
      </c>
      <c r="M114" s="36">
        <v>20.51</v>
      </c>
      <c r="N114" s="37">
        <f t="shared" si="1315"/>
        <v>9424.34</v>
      </c>
      <c r="O114" s="36"/>
      <c r="P114" s="38">
        <f t="shared" si="1316"/>
        <v>0</v>
      </c>
      <c r="Q114" s="38"/>
      <c r="R114" s="38">
        <f t="shared" si="1316"/>
        <v>0</v>
      </c>
      <c r="S114" s="38">
        <f t="shared" si="1317"/>
        <v>459.5</v>
      </c>
      <c r="T114" s="37">
        <f t="shared" ref="T114:V114" si="1354">TRUNC($M114 * S114,2)</f>
        <v>9424.34</v>
      </c>
      <c r="U114" s="36"/>
      <c r="V114" s="38">
        <f t="shared" si="1354"/>
        <v>0</v>
      </c>
      <c r="W114" s="38"/>
      <c r="X114" s="38">
        <f t="shared" ref="X114" si="1355">TRUNC($M114 * W114,2)</f>
        <v>0</v>
      </c>
      <c r="Y114" s="38"/>
      <c r="Z114" s="38">
        <f t="shared" ref="Z114" si="1356">TRUNC($M114 * Y114,2)</f>
        <v>0</v>
      </c>
      <c r="AA114" s="38"/>
      <c r="AB114" s="38">
        <f t="shared" ref="AB114" si="1357">TRUNC($M114 * AA114,2)</f>
        <v>0</v>
      </c>
      <c r="AC114" s="38"/>
      <c r="AD114" s="38">
        <f t="shared" ref="AD114" si="1358">TRUNC($M114 * AC114,2)</f>
        <v>0</v>
      </c>
      <c r="AE114" s="38"/>
      <c r="AF114" s="38">
        <f t="shared" ref="AF114" si="1359">TRUNC($M114 * AE114,2)</f>
        <v>0</v>
      </c>
      <c r="AG114" s="38"/>
      <c r="AH114" s="38">
        <f t="shared" ref="AH114" si="1360">TRUNC($M114 * AG114,2)</f>
        <v>0</v>
      </c>
      <c r="AI114" s="38"/>
      <c r="AJ114" s="38">
        <f t="shared" ref="AJ114" si="1361">TRUNC($M114 * AI114,2)</f>
        <v>0</v>
      </c>
      <c r="AK114" s="38"/>
      <c r="AL114" s="38">
        <f t="shared" ref="AL114" si="1362">TRUNC($M114 * AK114,2)</f>
        <v>0</v>
      </c>
      <c r="AM114" s="38"/>
      <c r="AN114" s="38">
        <f t="shared" ref="AN114" si="1363">TRUNC($M114 * AM114,2)</f>
        <v>0</v>
      </c>
      <c r="AO114" s="38"/>
      <c r="AP114" s="38">
        <f t="shared" ref="AP114" si="1364">TRUNC($M114 * AO114,2)</f>
        <v>0</v>
      </c>
      <c r="AQ114" s="38"/>
      <c r="AR114" s="38">
        <f t="shared" ref="AR114" si="1365">TRUNC($M114 * AQ114,2)</f>
        <v>0</v>
      </c>
      <c r="AS114" s="38"/>
      <c r="AT114" s="38">
        <f t="shared" ref="AT114" si="1366">TRUNC($M114 * AS114,2)</f>
        <v>0</v>
      </c>
      <c r="AU114" s="38"/>
      <c r="AV114" s="38">
        <f t="shared" ref="AV114" si="1367">TRUNC($M114 * AU114,2)</f>
        <v>0</v>
      </c>
      <c r="AW114" s="38"/>
      <c r="AX114" s="37">
        <f t="shared" ref="AX114" si="1368">TRUNC($M114 * AW114,2)</f>
        <v>0</v>
      </c>
      <c r="AY114" s="36">
        <f t="shared" si="1333"/>
        <v>0</v>
      </c>
      <c r="AZ114" s="38">
        <f t="shared" ref="AZ114" si="1369">TRUNC($M114 * AY114,2)</f>
        <v>0</v>
      </c>
      <c r="BA114" s="38">
        <f t="shared" si="1335"/>
        <v>459.5</v>
      </c>
      <c r="BB114" s="37">
        <f t="shared" ref="BB114" si="1370">TRUNC($M114 * BA114,2)</f>
        <v>9424.34</v>
      </c>
    </row>
    <row r="115" spans="1:54" ht="24" customHeight="1" x14ac:dyDescent="0.25">
      <c r="A115" s="4" t="s">
        <v>259</v>
      </c>
      <c r="B115" s="4" t="s">
        <v>12</v>
      </c>
      <c r="C115" s="4"/>
      <c r="D115" s="4" t="s">
        <v>260</v>
      </c>
      <c r="E115" s="5"/>
      <c r="F115" s="14"/>
      <c r="G115" s="6"/>
      <c r="H115" s="6"/>
      <c r="I115" s="7">
        <f>SUM(I116:I117)</f>
        <v>87072.03</v>
      </c>
      <c r="J115" s="7"/>
      <c r="K115" s="7">
        <f>SUM(K116:K117)</f>
        <v>104779.78000000001</v>
      </c>
      <c r="L115" s="22">
        <f>K115 / L13</f>
        <v>3.6130958620689657E-2</v>
      </c>
      <c r="M115" s="25"/>
      <c r="N115" s="26">
        <f>SUM(N116:N117)</f>
        <v>65794.070000000007</v>
      </c>
      <c r="O115" s="25"/>
      <c r="P115" s="30">
        <f>SUM(P116:P117)</f>
        <v>0</v>
      </c>
      <c r="Q115" s="30"/>
      <c r="R115" s="30">
        <f>SUM(R116:R117)</f>
        <v>0</v>
      </c>
      <c r="S115" s="30"/>
      <c r="T115" s="26">
        <f>SUM(T116:T117)</f>
        <v>65794.070000000007</v>
      </c>
      <c r="U115" s="25"/>
      <c r="V115" s="30">
        <f>SUM(V116:V117)</f>
        <v>0</v>
      </c>
      <c r="W115" s="30"/>
      <c r="X115" s="30">
        <f>SUM(X116:X117)</f>
        <v>0</v>
      </c>
      <c r="Y115" s="30"/>
      <c r="Z115" s="30">
        <f>SUM(Z116:Z117)</f>
        <v>0</v>
      </c>
      <c r="AA115" s="30"/>
      <c r="AB115" s="30">
        <f>SUM(AB116:AB117)</f>
        <v>0</v>
      </c>
      <c r="AC115" s="30"/>
      <c r="AD115" s="30">
        <f>SUM(AD116:AD117)</f>
        <v>0</v>
      </c>
      <c r="AE115" s="30"/>
      <c r="AF115" s="30">
        <f>SUM(AF116:AF117)</f>
        <v>0</v>
      </c>
      <c r="AG115" s="30"/>
      <c r="AH115" s="30">
        <f>SUM(AH116:AH117)</f>
        <v>0</v>
      </c>
      <c r="AI115" s="30"/>
      <c r="AJ115" s="30">
        <f>SUM(AJ116:AJ117)</f>
        <v>0</v>
      </c>
      <c r="AK115" s="30"/>
      <c r="AL115" s="30">
        <f>SUM(AL116:AL117)</f>
        <v>0</v>
      </c>
      <c r="AM115" s="30"/>
      <c r="AN115" s="30">
        <f>SUM(AN116:AN117)</f>
        <v>0</v>
      </c>
      <c r="AO115" s="30"/>
      <c r="AP115" s="30">
        <f>SUM(AP116:AP117)</f>
        <v>0</v>
      </c>
      <c r="AQ115" s="30"/>
      <c r="AR115" s="30">
        <f>SUM(AR116:AR117)</f>
        <v>0</v>
      </c>
      <c r="AS115" s="30"/>
      <c r="AT115" s="30">
        <f>SUM(AT116:AT117)</f>
        <v>0</v>
      </c>
      <c r="AU115" s="30"/>
      <c r="AV115" s="30">
        <f>SUM(AV116:AV117)</f>
        <v>0</v>
      </c>
      <c r="AW115" s="30"/>
      <c r="AX115" s="26">
        <f>SUM(AX116:AX117)</f>
        <v>0</v>
      </c>
      <c r="AY115" s="25"/>
      <c r="AZ115" s="30">
        <f>SUM(AZ116:AZ117)</f>
        <v>0</v>
      </c>
      <c r="BA115" s="30"/>
      <c r="BB115" s="26">
        <f>SUM(BB116:BB117)</f>
        <v>65794.070000000007</v>
      </c>
    </row>
    <row r="116" spans="1:54" ht="39" customHeight="1" x14ac:dyDescent="0.25">
      <c r="A116" s="31" t="s">
        <v>261</v>
      </c>
      <c r="B116" s="31" t="s">
        <v>262</v>
      </c>
      <c r="C116" s="31" t="s">
        <v>34</v>
      </c>
      <c r="D116" s="31" t="s">
        <v>263</v>
      </c>
      <c r="E116" s="32" t="s">
        <v>26</v>
      </c>
      <c r="F116" s="33">
        <v>459.5</v>
      </c>
      <c r="G116" s="34">
        <v>197.98</v>
      </c>
      <c r="H116" s="34">
        <f t="shared" si="1313"/>
        <v>182.28</v>
      </c>
      <c r="I116" s="34">
        <f t="shared" si="1314"/>
        <v>83757.66</v>
      </c>
      <c r="J116" s="34">
        <f>(TRUNC(H116 * L14,2) + H116)</f>
        <v>219.35</v>
      </c>
      <c r="K116" s="34">
        <f>TRUNC(F116 * J116,2)</f>
        <v>100791.32</v>
      </c>
      <c r="L116" s="35">
        <f>K116 / L13</f>
        <v>3.4755627586206893E-2</v>
      </c>
      <c r="M116" s="36">
        <v>141.55000000000001</v>
      </c>
      <c r="N116" s="37">
        <f t="shared" si="1315"/>
        <v>65042.22</v>
      </c>
      <c r="O116" s="36"/>
      <c r="P116" s="38">
        <f t="shared" si="1316"/>
        <v>0</v>
      </c>
      <c r="Q116" s="38"/>
      <c r="R116" s="38">
        <f t="shared" si="1316"/>
        <v>0</v>
      </c>
      <c r="S116" s="38">
        <f t="shared" si="1317"/>
        <v>459.5</v>
      </c>
      <c r="T116" s="37">
        <f t="shared" ref="T116:V116" si="1371">TRUNC($M116 * S116,2)</f>
        <v>65042.22</v>
      </c>
      <c r="U116" s="36"/>
      <c r="V116" s="38">
        <f t="shared" si="1371"/>
        <v>0</v>
      </c>
      <c r="W116" s="38"/>
      <c r="X116" s="38">
        <f t="shared" ref="X116" si="1372">TRUNC($M116 * W116,2)</f>
        <v>0</v>
      </c>
      <c r="Y116" s="38"/>
      <c r="Z116" s="38">
        <f t="shared" ref="Z116" si="1373">TRUNC($M116 * Y116,2)</f>
        <v>0</v>
      </c>
      <c r="AA116" s="38"/>
      <c r="AB116" s="38">
        <f t="shared" ref="AB116" si="1374">TRUNC($M116 * AA116,2)</f>
        <v>0</v>
      </c>
      <c r="AC116" s="38"/>
      <c r="AD116" s="38">
        <f t="shared" ref="AD116" si="1375">TRUNC($M116 * AC116,2)</f>
        <v>0</v>
      </c>
      <c r="AE116" s="38"/>
      <c r="AF116" s="38">
        <f t="shared" ref="AF116" si="1376">TRUNC($M116 * AE116,2)</f>
        <v>0</v>
      </c>
      <c r="AG116" s="38"/>
      <c r="AH116" s="38">
        <f t="shared" ref="AH116" si="1377">TRUNC($M116 * AG116,2)</f>
        <v>0</v>
      </c>
      <c r="AI116" s="38"/>
      <c r="AJ116" s="38">
        <f t="shared" ref="AJ116" si="1378">TRUNC($M116 * AI116,2)</f>
        <v>0</v>
      </c>
      <c r="AK116" s="38"/>
      <c r="AL116" s="38">
        <f t="shared" ref="AL116" si="1379">TRUNC($M116 * AK116,2)</f>
        <v>0</v>
      </c>
      <c r="AM116" s="38"/>
      <c r="AN116" s="38">
        <f t="shared" ref="AN116" si="1380">TRUNC($M116 * AM116,2)</f>
        <v>0</v>
      </c>
      <c r="AO116" s="38"/>
      <c r="AP116" s="38">
        <f t="shared" ref="AP116" si="1381">TRUNC($M116 * AO116,2)</f>
        <v>0</v>
      </c>
      <c r="AQ116" s="38"/>
      <c r="AR116" s="38">
        <f t="shared" ref="AR116" si="1382">TRUNC($M116 * AQ116,2)</f>
        <v>0</v>
      </c>
      <c r="AS116" s="38"/>
      <c r="AT116" s="38">
        <f t="shared" ref="AT116" si="1383">TRUNC($M116 * AS116,2)</f>
        <v>0</v>
      </c>
      <c r="AU116" s="38"/>
      <c r="AV116" s="38">
        <f t="shared" ref="AV116" si="1384">TRUNC($M116 * AU116,2)</f>
        <v>0</v>
      </c>
      <c r="AW116" s="38"/>
      <c r="AX116" s="37">
        <f t="shared" ref="AX116" si="1385">TRUNC($M116 * AW116,2)</f>
        <v>0</v>
      </c>
      <c r="AY116" s="36">
        <f t="shared" si="1333"/>
        <v>0</v>
      </c>
      <c r="AZ116" s="38">
        <f t="shared" ref="AZ116" si="1386">TRUNC($M116 * AY116,2)</f>
        <v>0</v>
      </c>
      <c r="BA116" s="38">
        <f t="shared" si="1335"/>
        <v>459.5</v>
      </c>
      <c r="BB116" s="37">
        <f t="shared" ref="BB116" si="1387">TRUNC($M116 * BA116,2)</f>
        <v>65042.22</v>
      </c>
    </row>
    <row r="117" spans="1:54" ht="24" customHeight="1" x14ac:dyDescent="0.25">
      <c r="A117" s="31" t="s">
        <v>264</v>
      </c>
      <c r="B117" s="31" t="s">
        <v>265</v>
      </c>
      <c r="C117" s="31" t="s">
        <v>245</v>
      </c>
      <c r="D117" s="31" t="s">
        <v>266</v>
      </c>
      <c r="E117" s="32" t="s">
        <v>26</v>
      </c>
      <c r="F117" s="33">
        <v>34.409999999999997</v>
      </c>
      <c r="G117" s="34">
        <v>104.62</v>
      </c>
      <c r="H117" s="34">
        <f t="shared" si="1313"/>
        <v>96.32</v>
      </c>
      <c r="I117" s="34">
        <f t="shared" si="1314"/>
        <v>3314.37</v>
      </c>
      <c r="J117" s="34">
        <f>(TRUNC(H117 * L14,2) + H117)</f>
        <v>115.91</v>
      </c>
      <c r="K117" s="34">
        <f>TRUNC(F117 * J117,2)</f>
        <v>3988.46</v>
      </c>
      <c r="L117" s="35">
        <f>K117 / L13</f>
        <v>1.3753310344827585E-3</v>
      </c>
      <c r="M117" s="36">
        <v>21.85</v>
      </c>
      <c r="N117" s="37">
        <f t="shared" si="1315"/>
        <v>751.85</v>
      </c>
      <c r="O117" s="36"/>
      <c r="P117" s="38">
        <f t="shared" si="1316"/>
        <v>0</v>
      </c>
      <c r="Q117" s="38"/>
      <c r="R117" s="38">
        <f t="shared" si="1316"/>
        <v>0</v>
      </c>
      <c r="S117" s="38">
        <f t="shared" si="1317"/>
        <v>34.409999999999997</v>
      </c>
      <c r="T117" s="37">
        <f t="shared" ref="T117:V117" si="1388">TRUNC($M117 * S117,2)</f>
        <v>751.85</v>
      </c>
      <c r="U117" s="36"/>
      <c r="V117" s="38">
        <f t="shared" si="1388"/>
        <v>0</v>
      </c>
      <c r="W117" s="38"/>
      <c r="X117" s="38">
        <f t="shared" ref="X117" si="1389">TRUNC($M117 * W117,2)</f>
        <v>0</v>
      </c>
      <c r="Y117" s="38"/>
      <c r="Z117" s="38">
        <f t="shared" ref="Z117" si="1390">TRUNC($M117 * Y117,2)</f>
        <v>0</v>
      </c>
      <c r="AA117" s="38"/>
      <c r="AB117" s="38">
        <f t="shared" ref="AB117" si="1391">TRUNC($M117 * AA117,2)</f>
        <v>0</v>
      </c>
      <c r="AC117" s="38"/>
      <c r="AD117" s="38">
        <f t="shared" ref="AD117" si="1392">TRUNC($M117 * AC117,2)</f>
        <v>0</v>
      </c>
      <c r="AE117" s="38"/>
      <c r="AF117" s="38">
        <f t="shared" ref="AF117" si="1393">TRUNC($M117 * AE117,2)</f>
        <v>0</v>
      </c>
      <c r="AG117" s="38"/>
      <c r="AH117" s="38">
        <f t="shared" ref="AH117" si="1394">TRUNC($M117 * AG117,2)</f>
        <v>0</v>
      </c>
      <c r="AI117" s="38"/>
      <c r="AJ117" s="38">
        <f t="shared" ref="AJ117" si="1395">TRUNC($M117 * AI117,2)</f>
        <v>0</v>
      </c>
      <c r="AK117" s="38"/>
      <c r="AL117" s="38">
        <f t="shared" ref="AL117" si="1396">TRUNC($M117 * AK117,2)</f>
        <v>0</v>
      </c>
      <c r="AM117" s="38"/>
      <c r="AN117" s="38">
        <f t="shared" ref="AN117" si="1397">TRUNC($M117 * AM117,2)</f>
        <v>0</v>
      </c>
      <c r="AO117" s="38"/>
      <c r="AP117" s="38">
        <f t="shared" ref="AP117" si="1398">TRUNC($M117 * AO117,2)</f>
        <v>0</v>
      </c>
      <c r="AQ117" s="38"/>
      <c r="AR117" s="38">
        <f t="shared" ref="AR117" si="1399">TRUNC($M117 * AQ117,2)</f>
        <v>0</v>
      </c>
      <c r="AS117" s="38"/>
      <c r="AT117" s="38">
        <f t="shared" ref="AT117" si="1400">TRUNC($M117 * AS117,2)</f>
        <v>0</v>
      </c>
      <c r="AU117" s="38"/>
      <c r="AV117" s="38">
        <f t="shared" ref="AV117" si="1401">TRUNC($M117 * AU117,2)</f>
        <v>0</v>
      </c>
      <c r="AW117" s="38"/>
      <c r="AX117" s="37">
        <f t="shared" ref="AX117" si="1402">TRUNC($M117 * AW117,2)</f>
        <v>0</v>
      </c>
      <c r="AY117" s="36">
        <f t="shared" si="1333"/>
        <v>0</v>
      </c>
      <c r="AZ117" s="38">
        <f t="shared" ref="AZ117" si="1403">TRUNC($M117 * AY117,2)</f>
        <v>0</v>
      </c>
      <c r="BA117" s="38">
        <f t="shared" si="1335"/>
        <v>34.409999999999997</v>
      </c>
      <c r="BB117" s="37">
        <f t="shared" ref="BB117" si="1404">TRUNC($M117 * BA117,2)</f>
        <v>751.85</v>
      </c>
    </row>
    <row r="118" spans="1:54" ht="24" customHeight="1" x14ac:dyDescent="0.25">
      <c r="A118" s="4" t="s">
        <v>267</v>
      </c>
      <c r="B118" s="4" t="s">
        <v>12</v>
      </c>
      <c r="C118" s="4"/>
      <c r="D118" s="4" t="s">
        <v>268</v>
      </c>
      <c r="E118" s="5"/>
      <c r="F118" s="14"/>
      <c r="G118" s="6"/>
      <c r="H118" s="6"/>
      <c r="I118" s="7">
        <f>SUM(I119:I120)</f>
        <v>18009.77</v>
      </c>
      <c r="J118" s="7"/>
      <c r="K118" s="7">
        <f>SUM(K119:K120)</f>
        <v>21672.6</v>
      </c>
      <c r="L118" s="22">
        <f>K118 / L13</f>
        <v>7.4733103448275844E-3</v>
      </c>
      <c r="M118" s="25"/>
      <c r="N118" s="26">
        <f>SUM(N119:N120)</f>
        <v>15183.09</v>
      </c>
      <c r="O118" s="25"/>
      <c r="P118" s="30">
        <f>SUM(P119:P120)</f>
        <v>0</v>
      </c>
      <c r="Q118" s="30"/>
      <c r="R118" s="30">
        <f>SUM(R119:R120)</f>
        <v>0</v>
      </c>
      <c r="S118" s="30"/>
      <c r="T118" s="26">
        <f>SUM(T119:T120)</f>
        <v>15183.09</v>
      </c>
      <c r="U118" s="25"/>
      <c r="V118" s="30">
        <f>SUM(V119:V120)</f>
        <v>0</v>
      </c>
      <c r="W118" s="30"/>
      <c r="X118" s="30">
        <f>SUM(X119:X120)</f>
        <v>0</v>
      </c>
      <c r="Y118" s="30"/>
      <c r="Z118" s="30">
        <f>SUM(Z119:Z120)</f>
        <v>0</v>
      </c>
      <c r="AA118" s="30"/>
      <c r="AB118" s="30">
        <f>SUM(AB119:AB120)</f>
        <v>0</v>
      </c>
      <c r="AC118" s="30"/>
      <c r="AD118" s="30">
        <f>SUM(AD119:AD120)</f>
        <v>0</v>
      </c>
      <c r="AE118" s="30"/>
      <c r="AF118" s="30">
        <f>SUM(AF119:AF120)</f>
        <v>0</v>
      </c>
      <c r="AG118" s="30"/>
      <c r="AH118" s="30">
        <f>SUM(AH119:AH120)</f>
        <v>0</v>
      </c>
      <c r="AI118" s="30"/>
      <c r="AJ118" s="30">
        <f>SUM(AJ119:AJ120)</f>
        <v>0</v>
      </c>
      <c r="AK118" s="30"/>
      <c r="AL118" s="30">
        <f>SUM(AL119:AL120)</f>
        <v>0</v>
      </c>
      <c r="AM118" s="30"/>
      <c r="AN118" s="30">
        <f>SUM(AN119:AN120)</f>
        <v>0</v>
      </c>
      <c r="AO118" s="30"/>
      <c r="AP118" s="30">
        <f>SUM(AP119:AP120)</f>
        <v>0</v>
      </c>
      <c r="AQ118" s="30"/>
      <c r="AR118" s="30">
        <f>SUM(AR119:AR120)</f>
        <v>0</v>
      </c>
      <c r="AS118" s="30"/>
      <c r="AT118" s="30">
        <f>SUM(AT119:AT120)</f>
        <v>0</v>
      </c>
      <c r="AU118" s="30"/>
      <c r="AV118" s="30">
        <f>SUM(AV119:AV120)</f>
        <v>0</v>
      </c>
      <c r="AW118" s="30"/>
      <c r="AX118" s="26">
        <f>SUM(AX119:AX120)</f>
        <v>0</v>
      </c>
      <c r="AY118" s="25"/>
      <c r="AZ118" s="30">
        <f>SUM(AZ119:AZ120)</f>
        <v>0</v>
      </c>
      <c r="BA118" s="30"/>
      <c r="BB118" s="26">
        <f>SUM(BB119:BB120)</f>
        <v>15183.09</v>
      </c>
    </row>
    <row r="119" spans="1:54" ht="39" customHeight="1" x14ac:dyDescent="0.25">
      <c r="A119" s="31" t="s">
        <v>269</v>
      </c>
      <c r="B119" s="31" t="s">
        <v>270</v>
      </c>
      <c r="C119" s="31" t="s">
        <v>34</v>
      </c>
      <c r="D119" s="31" t="s">
        <v>271</v>
      </c>
      <c r="E119" s="32" t="s">
        <v>218</v>
      </c>
      <c r="F119" s="33">
        <v>90.1</v>
      </c>
      <c r="G119" s="34">
        <v>172.33</v>
      </c>
      <c r="H119" s="34">
        <f t="shared" si="1313"/>
        <v>158.66999999999999</v>
      </c>
      <c r="I119" s="34">
        <f t="shared" si="1314"/>
        <v>14296.16</v>
      </c>
      <c r="J119" s="34">
        <f>(TRUNC(H119 * L14,2) + H119)</f>
        <v>190.94</v>
      </c>
      <c r="K119" s="34">
        <f>TRUNC(F119 * J119,2)</f>
        <v>17203.689999999999</v>
      </c>
      <c r="L119" s="35">
        <f>K119 / L13</f>
        <v>5.9323068965517227E-3</v>
      </c>
      <c r="M119" s="36">
        <v>133.91</v>
      </c>
      <c r="N119" s="37">
        <f t="shared" si="1315"/>
        <v>12065.29</v>
      </c>
      <c r="O119" s="36"/>
      <c r="P119" s="38">
        <f t="shared" si="1316"/>
        <v>0</v>
      </c>
      <c r="Q119" s="38"/>
      <c r="R119" s="38">
        <f t="shared" si="1316"/>
        <v>0</v>
      </c>
      <c r="S119" s="38">
        <f t="shared" si="1317"/>
        <v>90.1</v>
      </c>
      <c r="T119" s="37">
        <f t="shared" ref="T119:V119" si="1405">TRUNC($M119 * S119,2)</f>
        <v>12065.29</v>
      </c>
      <c r="U119" s="36"/>
      <c r="V119" s="38">
        <f t="shared" si="1405"/>
        <v>0</v>
      </c>
      <c r="W119" s="38"/>
      <c r="X119" s="38">
        <f t="shared" ref="X119" si="1406">TRUNC($M119 * W119,2)</f>
        <v>0</v>
      </c>
      <c r="Y119" s="38"/>
      <c r="Z119" s="38">
        <f t="shared" ref="Z119" si="1407">TRUNC($M119 * Y119,2)</f>
        <v>0</v>
      </c>
      <c r="AA119" s="38"/>
      <c r="AB119" s="38">
        <f t="shared" ref="AB119" si="1408">TRUNC($M119 * AA119,2)</f>
        <v>0</v>
      </c>
      <c r="AC119" s="38"/>
      <c r="AD119" s="38">
        <f t="shared" ref="AD119" si="1409">TRUNC($M119 * AC119,2)</f>
        <v>0</v>
      </c>
      <c r="AE119" s="38"/>
      <c r="AF119" s="38">
        <f t="shared" ref="AF119" si="1410">TRUNC($M119 * AE119,2)</f>
        <v>0</v>
      </c>
      <c r="AG119" s="38"/>
      <c r="AH119" s="38">
        <f t="shared" ref="AH119" si="1411">TRUNC($M119 * AG119,2)</f>
        <v>0</v>
      </c>
      <c r="AI119" s="38"/>
      <c r="AJ119" s="38">
        <f t="shared" ref="AJ119" si="1412">TRUNC($M119 * AI119,2)</f>
        <v>0</v>
      </c>
      <c r="AK119" s="38"/>
      <c r="AL119" s="38">
        <f t="shared" ref="AL119" si="1413">TRUNC($M119 * AK119,2)</f>
        <v>0</v>
      </c>
      <c r="AM119" s="38"/>
      <c r="AN119" s="38">
        <f t="shared" ref="AN119" si="1414">TRUNC($M119 * AM119,2)</f>
        <v>0</v>
      </c>
      <c r="AO119" s="38"/>
      <c r="AP119" s="38">
        <f t="shared" ref="AP119" si="1415">TRUNC($M119 * AO119,2)</f>
        <v>0</v>
      </c>
      <c r="AQ119" s="38"/>
      <c r="AR119" s="38">
        <f t="shared" ref="AR119" si="1416">TRUNC($M119 * AQ119,2)</f>
        <v>0</v>
      </c>
      <c r="AS119" s="38"/>
      <c r="AT119" s="38">
        <f t="shared" ref="AT119" si="1417">TRUNC($M119 * AS119,2)</f>
        <v>0</v>
      </c>
      <c r="AU119" s="38"/>
      <c r="AV119" s="38">
        <f t="shared" ref="AV119" si="1418">TRUNC($M119 * AU119,2)</f>
        <v>0</v>
      </c>
      <c r="AW119" s="38"/>
      <c r="AX119" s="37">
        <f t="shared" ref="AX119" si="1419">TRUNC($M119 * AW119,2)</f>
        <v>0</v>
      </c>
      <c r="AY119" s="36">
        <f t="shared" si="1333"/>
        <v>0</v>
      </c>
      <c r="AZ119" s="38">
        <f t="shared" ref="AZ119" si="1420">TRUNC($M119 * AY119,2)</f>
        <v>0</v>
      </c>
      <c r="BA119" s="38">
        <f t="shared" si="1335"/>
        <v>90.1</v>
      </c>
      <c r="BB119" s="37">
        <f t="shared" ref="BB119" si="1421">TRUNC($M119 * BA119,2)</f>
        <v>12065.29</v>
      </c>
    </row>
    <row r="120" spans="1:54" ht="26.1" customHeight="1" x14ac:dyDescent="0.25">
      <c r="A120" s="31" t="s">
        <v>272</v>
      </c>
      <c r="B120" s="31" t="s">
        <v>273</v>
      </c>
      <c r="C120" s="31" t="s">
        <v>34</v>
      </c>
      <c r="D120" s="31" t="s">
        <v>274</v>
      </c>
      <c r="E120" s="32" t="s">
        <v>218</v>
      </c>
      <c r="F120" s="33">
        <v>76.680000000000007</v>
      </c>
      <c r="G120" s="34">
        <v>52.6</v>
      </c>
      <c r="H120" s="34">
        <f t="shared" si="1313"/>
        <v>48.43</v>
      </c>
      <c r="I120" s="34">
        <f t="shared" si="1314"/>
        <v>3713.61</v>
      </c>
      <c r="J120" s="34">
        <f>(TRUNC(H120 * L14,2) + H120)</f>
        <v>58.28</v>
      </c>
      <c r="K120" s="34">
        <f>TRUNC(F120 * J120,2)</f>
        <v>4468.91</v>
      </c>
      <c r="L120" s="35">
        <f>K120 / L13</f>
        <v>1.5410034482758617E-3</v>
      </c>
      <c r="M120" s="36">
        <v>40.659999999999997</v>
      </c>
      <c r="N120" s="37">
        <f t="shared" si="1315"/>
        <v>3117.8</v>
      </c>
      <c r="O120" s="36"/>
      <c r="P120" s="38">
        <f t="shared" si="1316"/>
        <v>0</v>
      </c>
      <c r="Q120" s="38"/>
      <c r="R120" s="38">
        <f t="shared" si="1316"/>
        <v>0</v>
      </c>
      <c r="S120" s="38">
        <f t="shared" si="1317"/>
        <v>76.680000000000007</v>
      </c>
      <c r="T120" s="37">
        <f t="shared" ref="T120:V120" si="1422">TRUNC($M120 * S120,2)</f>
        <v>3117.8</v>
      </c>
      <c r="U120" s="36"/>
      <c r="V120" s="38">
        <f t="shared" si="1422"/>
        <v>0</v>
      </c>
      <c r="W120" s="38"/>
      <c r="X120" s="38">
        <f t="shared" ref="X120" si="1423">TRUNC($M120 * W120,2)</f>
        <v>0</v>
      </c>
      <c r="Y120" s="38"/>
      <c r="Z120" s="38">
        <f t="shared" ref="Z120" si="1424">TRUNC($M120 * Y120,2)</f>
        <v>0</v>
      </c>
      <c r="AA120" s="38"/>
      <c r="AB120" s="38">
        <f t="shared" ref="AB120" si="1425">TRUNC($M120 * AA120,2)</f>
        <v>0</v>
      </c>
      <c r="AC120" s="38"/>
      <c r="AD120" s="38">
        <f t="shared" ref="AD120" si="1426">TRUNC($M120 * AC120,2)</f>
        <v>0</v>
      </c>
      <c r="AE120" s="38"/>
      <c r="AF120" s="38">
        <f t="shared" ref="AF120" si="1427">TRUNC($M120 * AE120,2)</f>
        <v>0</v>
      </c>
      <c r="AG120" s="38"/>
      <c r="AH120" s="38">
        <f t="shared" ref="AH120" si="1428">TRUNC($M120 * AG120,2)</f>
        <v>0</v>
      </c>
      <c r="AI120" s="38"/>
      <c r="AJ120" s="38">
        <f t="shared" ref="AJ120" si="1429">TRUNC($M120 * AI120,2)</f>
        <v>0</v>
      </c>
      <c r="AK120" s="38"/>
      <c r="AL120" s="38">
        <f t="shared" ref="AL120" si="1430">TRUNC($M120 * AK120,2)</f>
        <v>0</v>
      </c>
      <c r="AM120" s="38"/>
      <c r="AN120" s="38">
        <f t="shared" ref="AN120" si="1431">TRUNC($M120 * AM120,2)</f>
        <v>0</v>
      </c>
      <c r="AO120" s="38"/>
      <c r="AP120" s="38">
        <f t="shared" ref="AP120" si="1432">TRUNC($M120 * AO120,2)</f>
        <v>0</v>
      </c>
      <c r="AQ120" s="38"/>
      <c r="AR120" s="38">
        <f t="shared" ref="AR120" si="1433">TRUNC($M120 * AQ120,2)</f>
        <v>0</v>
      </c>
      <c r="AS120" s="38"/>
      <c r="AT120" s="38">
        <f t="shared" ref="AT120" si="1434">TRUNC($M120 * AS120,2)</f>
        <v>0</v>
      </c>
      <c r="AU120" s="38"/>
      <c r="AV120" s="38">
        <f t="shared" ref="AV120" si="1435">TRUNC($M120 * AU120,2)</f>
        <v>0</v>
      </c>
      <c r="AW120" s="38"/>
      <c r="AX120" s="37">
        <f t="shared" ref="AX120" si="1436">TRUNC($M120 * AW120,2)</f>
        <v>0</v>
      </c>
      <c r="AY120" s="36">
        <f t="shared" si="1333"/>
        <v>0</v>
      </c>
      <c r="AZ120" s="38">
        <f t="shared" ref="AZ120" si="1437">TRUNC($M120 * AY120,2)</f>
        <v>0</v>
      </c>
      <c r="BA120" s="38">
        <f t="shared" si="1335"/>
        <v>76.680000000000007</v>
      </c>
      <c r="BB120" s="37">
        <f t="shared" ref="BB120" si="1438">TRUNC($M120 * BA120,2)</f>
        <v>3117.8</v>
      </c>
    </row>
    <row r="121" spans="1:54" ht="24" customHeight="1" x14ac:dyDescent="0.25">
      <c r="A121" s="4" t="s">
        <v>275</v>
      </c>
      <c r="B121" s="4" t="s">
        <v>12</v>
      </c>
      <c r="C121" s="4"/>
      <c r="D121" s="4" t="s">
        <v>276</v>
      </c>
      <c r="E121" s="5"/>
      <c r="F121" s="14"/>
      <c r="G121" s="6"/>
      <c r="H121" s="6"/>
      <c r="I121" s="7">
        <f>SUM(I122:I123)</f>
        <v>13084.93</v>
      </c>
      <c r="J121" s="7"/>
      <c r="K121" s="7">
        <f>SUM(K122:K123)</f>
        <v>15744.439999999999</v>
      </c>
      <c r="L121" s="22">
        <f>K121 / L13</f>
        <v>5.4291172413793087E-3</v>
      </c>
      <c r="M121" s="25"/>
      <c r="N121" s="26">
        <f>SUM(N122:N123)</f>
        <v>13189.58</v>
      </c>
      <c r="O121" s="25"/>
      <c r="P121" s="30">
        <f>SUM(P122:P123)</f>
        <v>0</v>
      </c>
      <c r="Q121" s="30"/>
      <c r="R121" s="30">
        <f>SUM(R122:R123)</f>
        <v>0</v>
      </c>
      <c r="S121" s="30"/>
      <c r="T121" s="26">
        <f>SUM(T122:T123)</f>
        <v>13189.58</v>
      </c>
      <c r="U121" s="25"/>
      <c r="V121" s="30">
        <f>SUM(V122:V123)</f>
        <v>0</v>
      </c>
      <c r="W121" s="30"/>
      <c r="X121" s="30">
        <f>SUM(X122:X123)</f>
        <v>0</v>
      </c>
      <c r="Y121" s="30"/>
      <c r="Z121" s="30">
        <f>SUM(Z122:Z123)</f>
        <v>0</v>
      </c>
      <c r="AA121" s="30"/>
      <c r="AB121" s="30">
        <f>SUM(AB122:AB123)</f>
        <v>0</v>
      </c>
      <c r="AC121" s="30"/>
      <c r="AD121" s="30">
        <f>SUM(AD122:AD123)</f>
        <v>0</v>
      </c>
      <c r="AE121" s="30"/>
      <c r="AF121" s="30">
        <f>SUM(AF122:AF123)</f>
        <v>0</v>
      </c>
      <c r="AG121" s="30"/>
      <c r="AH121" s="30">
        <f>SUM(AH122:AH123)</f>
        <v>0</v>
      </c>
      <c r="AI121" s="30"/>
      <c r="AJ121" s="30">
        <f>SUM(AJ122:AJ123)</f>
        <v>0</v>
      </c>
      <c r="AK121" s="30"/>
      <c r="AL121" s="30">
        <f>SUM(AL122:AL123)</f>
        <v>0</v>
      </c>
      <c r="AM121" s="30"/>
      <c r="AN121" s="30">
        <f>SUM(AN122:AN123)</f>
        <v>0</v>
      </c>
      <c r="AO121" s="30"/>
      <c r="AP121" s="30">
        <f>SUM(AP122:AP123)</f>
        <v>0</v>
      </c>
      <c r="AQ121" s="30"/>
      <c r="AR121" s="30">
        <f>SUM(AR122:AR123)</f>
        <v>0</v>
      </c>
      <c r="AS121" s="30"/>
      <c r="AT121" s="30">
        <f>SUM(AT122:AT123)</f>
        <v>0</v>
      </c>
      <c r="AU121" s="30"/>
      <c r="AV121" s="30">
        <f>SUM(AV122:AV123)</f>
        <v>0</v>
      </c>
      <c r="AW121" s="30"/>
      <c r="AX121" s="26">
        <f>SUM(AX122:AX123)</f>
        <v>0</v>
      </c>
      <c r="AY121" s="25"/>
      <c r="AZ121" s="30">
        <f>SUM(AZ122:AZ123)</f>
        <v>0</v>
      </c>
      <c r="BA121" s="30"/>
      <c r="BB121" s="26">
        <f>SUM(BB122:BB123)</f>
        <v>13189.58</v>
      </c>
    </row>
    <row r="122" spans="1:54" ht="39" customHeight="1" x14ac:dyDescent="0.25">
      <c r="A122" s="31" t="s">
        <v>277</v>
      </c>
      <c r="B122" s="31" t="s">
        <v>278</v>
      </c>
      <c r="C122" s="31" t="s">
        <v>34</v>
      </c>
      <c r="D122" s="31" t="s">
        <v>279</v>
      </c>
      <c r="E122" s="32" t="s">
        <v>26</v>
      </c>
      <c r="F122" s="33">
        <v>158.86000000000001</v>
      </c>
      <c r="G122" s="34">
        <v>61.08</v>
      </c>
      <c r="H122" s="34">
        <f t="shared" si="1313"/>
        <v>56.23</v>
      </c>
      <c r="I122" s="34">
        <f t="shared" si="1314"/>
        <v>8932.69</v>
      </c>
      <c r="J122" s="34">
        <f>(TRUNC(H122 * L14,2) + H122)</f>
        <v>67.66</v>
      </c>
      <c r="K122" s="34">
        <f>TRUNC(F122 * J122,2)</f>
        <v>10748.46</v>
      </c>
      <c r="L122" s="35">
        <f>K122 / L13</f>
        <v>3.7063655172413783E-3</v>
      </c>
      <c r="M122" s="36">
        <v>56.18</v>
      </c>
      <c r="N122" s="37">
        <f t="shared" si="1315"/>
        <v>8924.75</v>
      </c>
      <c r="O122" s="36"/>
      <c r="P122" s="38">
        <f t="shared" si="1316"/>
        <v>0</v>
      </c>
      <c r="Q122" s="38"/>
      <c r="R122" s="38">
        <f t="shared" si="1316"/>
        <v>0</v>
      </c>
      <c r="S122" s="38">
        <f t="shared" si="1317"/>
        <v>158.86000000000001</v>
      </c>
      <c r="T122" s="37">
        <f t="shared" ref="T122:V122" si="1439">TRUNC($M122 * S122,2)</f>
        <v>8924.75</v>
      </c>
      <c r="U122" s="36"/>
      <c r="V122" s="38">
        <f t="shared" si="1439"/>
        <v>0</v>
      </c>
      <c r="W122" s="38"/>
      <c r="X122" s="38">
        <f t="shared" ref="X122" si="1440">TRUNC($M122 * W122,2)</f>
        <v>0</v>
      </c>
      <c r="Y122" s="38"/>
      <c r="Z122" s="38">
        <f t="shared" ref="Z122" si="1441">TRUNC($M122 * Y122,2)</f>
        <v>0</v>
      </c>
      <c r="AA122" s="38"/>
      <c r="AB122" s="38">
        <f t="shared" ref="AB122" si="1442">TRUNC($M122 * AA122,2)</f>
        <v>0</v>
      </c>
      <c r="AC122" s="38"/>
      <c r="AD122" s="38">
        <f t="shared" ref="AD122" si="1443">TRUNC($M122 * AC122,2)</f>
        <v>0</v>
      </c>
      <c r="AE122" s="38"/>
      <c r="AF122" s="38">
        <f t="shared" ref="AF122" si="1444">TRUNC($M122 * AE122,2)</f>
        <v>0</v>
      </c>
      <c r="AG122" s="38"/>
      <c r="AH122" s="38">
        <f t="shared" ref="AH122" si="1445">TRUNC($M122 * AG122,2)</f>
        <v>0</v>
      </c>
      <c r="AI122" s="38"/>
      <c r="AJ122" s="38">
        <f t="shared" ref="AJ122" si="1446">TRUNC($M122 * AI122,2)</f>
        <v>0</v>
      </c>
      <c r="AK122" s="38"/>
      <c r="AL122" s="38">
        <f t="shared" ref="AL122" si="1447">TRUNC($M122 * AK122,2)</f>
        <v>0</v>
      </c>
      <c r="AM122" s="38"/>
      <c r="AN122" s="38">
        <f t="shared" ref="AN122" si="1448">TRUNC($M122 * AM122,2)</f>
        <v>0</v>
      </c>
      <c r="AO122" s="38"/>
      <c r="AP122" s="38">
        <f t="shared" ref="AP122" si="1449">TRUNC($M122 * AO122,2)</f>
        <v>0</v>
      </c>
      <c r="AQ122" s="38"/>
      <c r="AR122" s="38">
        <f t="shared" ref="AR122" si="1450">TRUNC($M122 * AQ122,2)</f>
        <v>0</v>
      </c>
      <c r="AS122" s="38"/>
      <c r="AT122" s="38">
        <f t="shared" ref="AT122" si="1451">TRUNC($M122 * AS122,2)</f>
        <v>0</v>
      </c>
      <c r="AU122" s="38"/>
      <c r="AV122" s="38">
        <f t="shared" ref="AV122" si="1452">TRUNC($M122 * AU122,2)</f>
        <v>0</v>
      </c>
      <c r="AW122" s="38"/>
      <c r="AX122" s="37">
        <f t="shared" ref="AX122" si="1453">TRUNC($M122 * AW122,2)</f>
        <v>0</v>
      </c>
      <c r="AY122" s="36">
        <f t="shared" si="1333"/>
        <v>0</v>
      </c>
      <c r="AZ122" s="38">
        <f t="shared" ref="AZ122" si="1454">TRUNC($M122 * AY122,2)</f>
        <v>0</v>
      </c>
      <c r="BA122" s="38">
        <f t="shared" si="1335"/>
        <v>158.86000000000001</v>
      </c>
      <c r="BB122" s="37">
        <f t="shared" ref="BB122" si="1455">TRUNC($M122 * BA122,2)</f>
        <v>8924.75</v>
      </c>
    </row>
    <row r="123" spans="1:54" ht="26.1" customHeight="1" x14ac:dyDescent="0.25">
      <c r="A123" s="31" t="s">
        <v>280</v>
      </c>
      <c r="B123" s="31" t="s">
        <v>281</v>
      </c>
      <c r="C123" s="31" t="s">
        <v>34</v>
      </c>
      <c r="D123" s="31" t="s">
        <v>282</v>
      </c>
      <c r="E123" s="32" t="s">
        <v>26</v>
      </c>
      <c r="F123" s="33">
        <v>135.65</v>
      </c>
      <c r="G123" s="34">
        <v>33.25</v>
      </c>
      <c r="H123" s="34">
        <f t="shared" si="1313"/>
        <v>30.61</v>
      </c>
      <c r="I123" s="34">
        <f t="shared" si="1314"/>
        <v>4152.24</v>
      </c>
      <c r="J123" s="34">
        <f>(TRUNC(H123 * L14,2) + H123)</f>
        <v>36.83</v>
      </c>
      <c r="K123" s="34">
        <f>TRUNC(F123 * J123,2)</f>
        <v>4995.9799999999996</v>
      </c>
      <c r="L123" s="35">
        <f>K123 / L13</f>
        <v>1.7227517241379306E-3</v>
      </c>
      <c r="M123" s="36">
        <v>31.44</v>
      </c>
      <c r="N123" s="37">
        <f t="shared" si="1315"/>
        <v>4264.83</v>
      </c>
      <c r="O123" s="36"/>
      <c r="P123" s="38">
        <f t="shared" si="1316"/>
        <v>0</v>
      </c>
      <c r="Q123" s="38"/>
      <c r="R123" s="38">
        <f t="shared" si="1316"/>
        <v>0</v>
      </c>
      <c r="S123" s="38">
        <f t="shared" si="1317"/>
        <v>135.65</v>
      </c>
      <c r="T123" s="37">
        <f t="shared" ref="T123:V123" si="1456">TRUNC($M123 * S123,2)</f>
        <v>4264.83</v>
      </c>
      <c r="U123" s="36"/>
      <c r="V123" s="38">
        <f t="shared" si="1456"/>
        <v>0</v>
      </c>
      <c r="W123" s="38"/>
      <c r="X123" s="38">
        <f t="shared" ref="X123" si="1457">TRUNC($M123 * W123,2)</f>
        <v>0</v>
      </c>
      <c r="Y123" s="38"/>
      <c r="Z123" s="38">
        <f t="shared" ref="Z123" si="1458">TRUNC($M123 * Y123,2)</f>
        <v>0</v>
      </c>
      <c r="AA123" s="38"/>
      <c r="AB123" s="38">
        <f t="shared" ref="AB123" si="1459">TRUNC($M123 * AA123,2)</f>
        <v>0</v>
      </c>
      <c r="AC123" s="38"/>
      <c r="AD123" s="38">
        <f t="shared" ref="AD123" si="1460">TRUNC($M123 * AC123,2)</f>
        <v>0</v>
      </c>
      <c r="AE123" s="38"/>
      <c r="AF123" s="38">
        <f t="shared" ref="AF123" si="1461">TRUNC($M123 * AE123,2)</f>
        <v>0</v>
      </c>
      <c r="AG123" s="38"/>
      <c r="AH123" s="38">
        <f t="shared" ref="AH123" si="1462">TRUNC($M123 * AG123,2)</f>
        <v>0</v>
      </c>
      <c r="AI123" s="38"/>
      <c r="AJ123" s="38">
        <f t="shared" ref="AJ123" si="1463">TRUNC($M123 * AI123,2)</f>
        <v>0</v>
      </c>
      <c r="AK123" s="38"/>
      <c r="AL123" s="38">
        <f t="shared" ref="AL123" si="1464">TRUNC($M123 * AK123,2)</f>
        <v>0</v>
      </c>
      <c r="AM123" s="38"/>
      <c r="AN123" s="38">
        <f t="shared" ref="AN123" si="1465">TRUNC($M123 * AM123,2)</f>
        <v>0</v>
      </c>
      <c r="AO123" s="38"/>
      <c r="AP123" s="38">
        <f t="shared" ref="AP123" si="1466">TRUNC($M123 * AO123,2)</f>
        <v>0</v>
      </c>
      <c r="AQ123" s="38"/>
      <c r="AR123" s="38">
        <f t="shared" ref="AR123" si="1467">TRUNC($M123 * AQ123,2)</f>
        <v>0</v>
      </c>
      <c r="AS123" s="38"/>
      <c r="AT123" s="38">
        <f t="shared" ref="AT123" si="1468">TRUNC($M123 * AS123,2)</f>
        <v>0</v>
      </c>
      <c r="AU123" s="38"/>
      <c r="AV123" s="38">
        <f t="shared" ref="AV123" si="1469">TRUNC($M123 * AU123,2)</f>
        <v>0</v>
      </c>
      <c r="AW123" s="38"/>
      <c r="AX123" s="37">
        <f t="shared" ref="AX123" si="1470">TRUNC($M123 * AW123,2)</f>
        <v>0</v>
      </c>
      <c r="AY123" s="36">
        <f t="shared" si="1333"/>
        <v>0</v>
      </c>
      <c r="AZ123" s="38">
        <f t="shared" ref="AZ123" si="1471">TRUNC($M123 * AY123,2)</f>
        <v>0</v>
      </c>
      <c r="BA123" s="38">
        <f t="shared" si="1335"/>
        <v>135.65</v>
      </c>
      <c r="BB123" s="37">
        <f t="shared" ref="BB123" si="1472">TRUNC($M123 * BA123,2)</f>
        <v>4264.83</v>
      </c>
    </row>
    <row r="124" spans="1:54" ht="24" customHeight="1" x14ac:dyDescent="0.25">
      <c r="A124" s="4" t="s">
        <v>283</v>
      </c>
      <c r="B124" s="4" t="s">
        <v>12</v>
      </c>
      <c r="C124" s="4"/>
      <c r="D124" s="4" t="s">
        <v>284</v>
      </c>
      <c r="E124" s="5"/>
      <c r="F124" s="14"/>
      <c r="G124" s="6"/>
      <c r="H124" s="6"/>
      <c r="I124" s="7">
        <f>SUM(I125,I132,I144,I147)</f>
        <v>175150.89</v>
      </c>
      <c r="J124" s="7"/>
      <c r="K124" s="7">
        <f>SUM(K125,K132,K144,K147)</f>
        <v>210773.31</v>
      </c>
      <c r="L124" s="22">
        <f>K124 / L13</f>
        <v>7.2680451724137923E-2</v>
      </c>
      <c r="M124" s="25"/>
      <c r="N124" s="26">
        <f>SUM(N125,N132,N144,N147)</f>
        <v>122865.73000000001</v>
      </c>
      <c r="O124" s="25"/>
      <c r="P124" s="30">
        <f>SUM(P125,P132,P144,P147)</f>
        <v>0</v>
      </c>
      <c r="Q124" s="30"/>
      <c r="R124" s="30">
        <f>SUM(R125,R132,R144,R147)</f>
        <v>0</v>
      </c>
      <c r="S124" s="30"/>
      <c r="T124" s="26">
        <f>SUM(T125,T132,T144,T147)</f>
        <v>122865.73000000001</v>
      </c>
      <c r="U124" s="25"/>
      <c r="V124" s="30">
        <f>SUM(V125,V132,V144,V147)</f>
        <v>0</v>
      </c>
      <c r="W124" s="30"/>
      <c r="X124" s="30">
        <f>SUM(X125,X132,X144,X147)</f>
        <v>0</v>
      </c>
      <c r="Y124" s="30"/>
      <c r="Z124" s="30">
        <f>SUM(Z125,Z132,Z144,Z147)</f>
        <v>0</v>
      </c>
      <c r="AA124" s="30"/>
      <c r="AB124" s="30">
        <f>SUM(AB125,AB132,AB144,AB147)</f>
        <v>0</v>
      </c>
      <c r="AC124" s="30"/>
      <c r="AD124" s="30">
        <f>SUM(AD125,AD132,AD144,AD147)</f>
        <v>0</v>
      </c>
      <c r="AE124" s="30"/>
      <c r="AF124" s="30">
        <f>SUM(AF125,AF132,AF144,AF147)</f>
        <v>0</v>
      </c>
      <c r="AG124" s="30"/>
      <c r="AH124" s="30">
        <f>SUM(AH125,AH132,AH144,AH147)</f>
        <v>0</v>
      </c>
      <c r="AI124" s="30"/>
      <c r="AJ124" s="30">
        <f>SUM(AJ125,AJ132,AJ144,AJ147)</f>
        <v>0</v>
      </c>
      <c r="AK124" s="30"/>
      <c r="AL124" s="30">
        <f>SUM(AL125,AL132,AL144,AL147)</f>
        <v>0</v>
      </c>
      <c r="AM124" s="30"/>
      <c r="AN124" s="30">
        <f>SUM(AN125,AN132,AN144,AN147)</f>
        <v>0</v>
      </c>
      <c r="AO124" s="30"/>
      <c r="AP124" s="30">
        <f>SUM(AP125,AP132,AP144,AP147)</f>
        <v>0</v>
      </c>
      <c r="AQ124" s="30"/>
      <c r="AR124" s="30">
        <f>SUM(AR125,AR132,AR144,AR147)</f>
        <v>0</v>
      </c>
      <c r="AS124" s="30"/>
      <c r="AT124" s="30">
        <f>SUM(AT125,AT132,AT144,AT147)</f>
        <v>0</v>
      </c>
      <c r="AU124" s="30"/>
      <c r="AV124" s="30">
        <f>SUM(AV125,AV132,AV144,AV147)</f>
        <v>0</v>
      </c>
      <c r="AW124" s="30"/>
      <c r="AX124" s="26">
        <f>SUM(AX125,AX132,AX144,AX147)</f>
        <v>0</v>
      </c>
      <c r="AY124" s="25"/>
      <c r="AZ124" s="30">
        <f>SUM(AZ125,AZ132,AZ144,AZ147)</f>
        <v>0</v>
      </c>
      <c r="BA124" s="30"/>
      <c r="BB124" s="26">
        <f>SUM(BB125,BB132,BB144,BB147)</f>
        <v>122865.73000000001</v>
      </c>
    </row>
    <row r="125" spans="1:54" ht="24" customHeight="1" x14ac:dyDescent="0.25">
      <c r="A125" s="4" t="s">
        <v>285</v>
      </c>
      <c r="B125" s="4" t="s">
        <v>12</v>
      </c>
      <c r="C125" s="4"/>
      <c r="D125" s="4" t="s">
        <v>286</v>
      </c>
      <c r="E125" s="5"/>
      <c r="F125" s="14"/>
      <c r="G125" s="6"/>
      <c r="H125" s="6"/>
      <c r="I125" s="7">
        <f>I126</f>
        <v>44849.49</v>
      </c>
      <c r="J125" s="7"/>
      <c r="K125" s="7">
        <f>K126</f>
        <v>53971.61</v>
      </c>
      <c r="L125" s="22">
        <f>K125 / L13</f>
        <v>1.8610899999999996E-2</v>
      </c>
      <c r="M125" s="25"/>
      <c r="N125" s="26">
        <f>N126</f>
        <v>35139.370000000003</v>
      </c>
      <c r="O125" s="25"/>
      <c r="P125" s="30">
        <f>P126</f>
        <v>0</v>
      </c>
      <c r="Q125" s="30"/>
      <c r="R125" s="30">
        <f>R126</f>
        <v>0</v>
      </c>
      <c r="S125" s="30"/>
      <c r="T125" s="26">
        <f>T126</f>
        <v>35139.370000000003</v>
      </c>
      <c r="U125" s="25"/>
      <c r="V125" s="30">
        <f>V126</f>
        <v>0</v>
      </c>
      <c r="W125" s="30"/>
      <c r="X125" s="30">
        <f>X126</f>
        <v>0</v>
      </c>
      <c r="Y125" s="30"/>
      <c r="Z125" s="30">
        <f>Z126</f>
        <v>0</v>
      </c>
      <c r="AA125" s="30"/>
      <c r="AB125" s="30">
        <f>AB126</f>
        <v>0</v>
      </c>
      <c r="AC125" s="30"/>
      <c r="AD125" s="30">
        <f>AD126</f>
        <v>0</v>
      </c>
      <c r="AE125" s="30"/>
      <c r="AF125" s="30">
        <f>AF126</f>
        <v>0</v>
      </c>
      <c r="AG125" s="30"/>
      <c r="AH125" s="30">
        <f>AH126</f>
        <v>0</v>
      </c>
      <c r="AI125" s="30"/>
      <c r="AJ125" s="30">
        <f>AJ126</f>
        <v>0</v>
      </c>
      <c r="AK125" s="30"/>
      <c r="AL125" s="30">
        <f>AL126</f>
        <v>0</v>
      </c>
      <c r="AM125" s="30"/>
      <c r="AN125" s="30">
        <f>AN126</f>
        <v>0</v>
      </c>
      <c r="AO125" s="30"/>
      <c r="AP125" s="30">
        <f>AP126</f>
        <v>0</v>
      </c>
      <c r="AQ125" s="30"/>
      <c r="AR125" s="30">
        <f>AR126</f>
        <v>0</v>
      </c>
      <c r="AS125" s="30"/>
      <c r="AT125" s="30">
        <f>AT126</f>
        <v>0</v>
      </c>
      <c r="AU125" s="30"/>
      <c r="AV125" s="30">
        <f>AV126</f>
        <v>0</v>
      </c>
      <c r="AW125" s="30"/>
      <c r="AX125" s="26">
        <f>AX126</f>
        <v>0</v>
      </c>
      <c r="AY125" s="25"/>
      <c r="AZ125" s="30">
        <f>AZ126</f>
        <v>0</v>
      </c>
      <c r="BA125" s="30"/>
      <c r="BB125" s="26">
        <f>BB126</f>
        <v>35139.370000000003</v>
      </c>
    </row>
    <row r="126" spans="1:54" ht="24" customHeight="1" x14ac:dyDescent="0.25">
      <c r="A126" s="4" t="s">
        <v>287</v>
      </c>
      <c r="B126" s="4" t="s">
        <v>12</v>
      </c>
      <c r="C126" s="4"/>
      <c r="D126" s="4" t="s">
        <v>288</v>
      </c>
      <c r="E126" s="5"/>
      <c r="F126" s="14"/>
      <c r="G126" s="6"/>
      <c r="H126" s="6"/>
      <c r="I126" s="7">
        <f>SUM(I127:I131)</f>
        <v>44849.49</v>
      </c>
      <c r="J126" s="7"/>
      <c r="K126" s="7">
        <f>SUM(K127:K131)</f>
        <v>53971.61</v>
      </c>
      <c r="L126" s="22">
        <f>K126 / L13</f>
        <v>1.8610899999999996E-2</v>
      </c>
      <c r="M126" s="25"/>
      <c r="N126" s="26">
        <f>SUM(N127:N131)</f>
        <v>35139.370000000003</v>
      </c>
      <c r="O126" s="25"/>
      <c r="P126" s="30">
        <f>SUM(P127:P131)</f>
        <v>0</v>
      </c>
      <c r="Q126" s="30"/>
      <c r="R126" s="30">
        <f>SUM(R127:R131)</f>
        <v>0</v>
      </c>
      <c r="S126" s="30"/>
      <c r="T126" s="26">
        <f>SUM(T127:T131)</f>
        <v>35139.370000000003</v>
      </c>
      <c r="U126" s="25"/>
      <c r="V126" s="30">
        <f>SUM(V127:V131)</f>
        <v>0</v>
      </c>
      <c r="W126" s="30"/>
      <c r="X126" s="30">
        <f>SUM(X127:X131)</f>
        <v>0</v>
      </c>
      <c r="Y126" s="30"/>
      <c r="Z126" s="30">
        <f>SUM(Z127:Z131)</f>
        <v>0</v>
      </c>
      <c r="AA126" s="30"/>
      <c r="AB126" s="30">
        <f>SUM(AB127:AB131)</f>
        <v>0</v>
      </c>
      <c r="AC126" s="30"/>
      <c r="AD126" s="30">
        <f>SUM(AD127:AD131)</f>
        <v>0</v>
      </c>
      <c r="AE126" s="30"/>
      <c r="AF126" s="30">
        <f>SUM(AF127:AF131)</f>
        <v>0</v>
      </c>
      <c r="AG126" s="30"/>
      <c r="AH126" s="30">
        <f>SUM(AH127:AH131)</f>
        <v>0</v>
      </c>
      <c r="AI126" s="30"/>
      <c r="AJ126" s="30">
        <f>SUM(AJ127:AJ131)</f>
        <v>0</v>
      </c>
      <c r="AK126" s="30"/>
      <c r="AL126" s="30">
        <f>SUM(AL127:AL131)</f>
        <v>0</v>
      </c>
      <c r="AM126" s="30"/>
      <c r="AN126" s="30">
        <f>SUM(AN127:AN131)</f>
        <v>0</v>
      </c>
      <c r="AO126" s="30"/>
      <c r="AP126" s="30">
        <f>SUM(AP127:AP131)</f>
        <v>0</v>
      </c>
      <c r="AQ126" s="30"/>
      <c r="AR126" s="30">
        <f>SUM(AR127:AR131)</f>
        <v>0</v>
      </c>
      <c r="AS126" s="30"/>
      <c r="AT126" s="30">
        <f>SUM(AT127:AT131)</f>
        <v>0</v>
      </c>
      <c r="AU126" s="30"/>
      <c r="AV126" s="30">
        <f>SUM(AV127:AV131)</f>
        <v>0</v>
      </c>
      <c r="AW126" s="30"/>
      <c r="AX126" s="26">
        <f>SUM(AX127:AX131)</f>
        <v>0</v>
      </c>
      <c r="AY126" s="25"/>
      <c r="AZ126" s="30">
        <f>SUM(AZ127:AZ131)</f>
        <v>0</v>
      </c>
      <c r="BA126" s="30"/>
      <c r="BB126" s="26">
        <f>SUM(BB127:BB131)</f>
        <v>35139.370000000003</v>
      </c>
    </row>
    <row r="127" spans="1:54" ht="65.099999999999994" customHeight="1" x14ac:dyDescent="0.25">
      <c r="A127" s="31" t="s">
        <v>289</v>
      </c>
      <c r="B127" s="31" t="s">
        <v>290</v>
      </c>
      <c r="C127" s="31" t="s">
        <v>34</v>
      </c>
      <c r="D127" s="31" t="s">
        <v>291</v>
      </c>
      <c r="E127" s="32" t="s">
        <v>36</v>
      </c>
      <c r="F127" s="33">
        <v>13</v>
      </c>
      <c r="G127" s="34">
        <v>1358.9</v>
      </c>
      <c r="H127" s="34">
        <f t="shared" ref="H127:H131" si="1473">TRUNC(G127*$L$1,2)</f>
        <v>1251.19</v>
      </c>
      <c r="I127" s="34">
        <f t="shared" ref="I127:I131" si="1474">TRUNC(F127 * H127,2)</f>
        <v>16265.47</v>
      </c>
      <c r="J127" s="34">
        <f>(TRUNC(H127 * L14,2) + H127)</f>
        <v>1505.68</v>
      </c>
      <c r="K127" s="34">
        <f>TRUNC(F127 * J127,2)</f>
        <v>19573.84</v>
      </c>
      <c r="L127" s="35">
        <f>K127 / L13</f>
        <v>6.7495999999999988E-3</v>
      </c>
      <c r="M127" s="36">
        <v>1075.22</v>
      </c>
      <c r="N127" s="37">
        <f t="shared" ref="N127:N131" si="1475">TRUNC(F127 * M127,2)</f>
        <v>13977.86</v>
      </c>
      <c r="O127" s="36"/>
      <c r="P127" s="38">
        <f t="shared" ref="P127:R131" si="1476">TRUNC($M127 * O127,2)</f>
        <v>0</v>
      </c>
      <c r="Q127" s="38"/>
      <c r="R127" s="38">
        <f t="shared" si="1476"/>
        <v>0</v>
      </c>
      <c r="S127" s="38">
        <f t="shared" ref="S127:S131" si="1477">F127+O127-Q127</f>
        <v>13</v>
      </c>
      <c r="T127" s="37">
        <f t="shared" ref="T127:V127" si="1478">TRUNC($M127 * S127,2)</f>
        <v>13977.86</v>
      </c>
      <c r="U127" s="36"/>
      <c r="V127" s="38">
        <f t="shared" si="1478"/>
        <v>0</v>
      </c>
      <c r="W127" s="38"/>
      <c r="X127" s="38">
        <f t="shared" ref="X127" si="1479">TRUNC($M127 * W127,2)</f>
        <v>0</v>
      </c>
      <c r="Y127" s="38"/>
      <c r="Z127" s="38">
        <f t="shared" ref="Z127" si="1480">TRUNC($M127 * Y127,2)</f>
        <v>0</v>
      </c>
      <c r="AA127" s="38"/>
      <c r="AB127" s="38">
        <f t="shared" ref="AB127" si="1481">TRUNC($M127 * AA127,2)</f>
        <v>0</v>
      </c>
      <c r="AC127" s="38"/>
      <c r="AD127" s="38">
        <f t="shared" ref="AD127" si="1482">TRUNC($M127 * AC127,2)</f>
        <v>0</v>
      </c>
      <c r="AE127" s="38"/>
      <c r="AF127" s="38">
        <f t="shared" ref="AF127" si="1483">TRUNC($M127 * AE127,2)</f>
        <v>0</v>
      </c>
      <c r="AG127" s="38"/>
      <c r="AH127" s="38">
        <f t="shared" ref="AH127" si="1484">TRUNC($M127 * AG127,2)</f>
        <v>0</v>
      </c>
      <c r="AI127" s="38"/>
      <c r="AJ127" s="38">
        <f t="shared" ref="AJ127" si="1485">TRUNC($M127 * AI127,2)</f>
        <v>0</v>
      </c>
      <c r="AK127" s="38"/>
      <c r="AL127" s="38">
        <f t="shared" ref="AL127" si="1486">TRUNC($M127 * AK127,2)</f>
        <v>0</v>
      </c>
      <c r="AM127" s="38"/>
      <c r="AN127" s="38">
        <f t="shared" ref="AN127" si="1487">TRUNC($M127 * AM127,2)</f>
        <v>0</v>
      </c>
      <c r="AO127" s="38"/>
      <c r="AP127" s="38">
        <f t="shared" ref="AP127" si="1488">TRUNC($M127 * AO127,2)</f>
        <v>0</v>
      </c>
      <c r="AQ127" s="38"/>
      <c r="AR127" s="38">
        <f t="shared" ref="AR127" si="1489">TRUNC($M127 * AQ127,2)</f>
        <v>0</v>
      </c>
      <c r="AS127" s="38"/>
      <c r="AT127" s="38">
        <f t="shared" ref="AT127" si="1490">TRUNC($M127 * AS127,2)</f>
        <v>0</v>
      </c>
      <c r="AU127" s="38"/>
      <c r="AV127" s="38">
        <f t="shared" ref="AV127" si="1491">TRUNC($M127 * AU127,2)</f>
        <v>0</v>
      </c>
      <c r="AW127" s="38"/>
      <c r="AX127" s="37">
        <f t="shared" ref="AX127" si="1492">TRUNC($M127 * AW127,2)</f>
        <v>0</v>
      </c>
      <c r="AY127" s="36">
        <f t="shared" ref="AY127:AY131" si="1493">SUM(U127,W127,Y127,AA127,AC127,AE127,AG127,AI127,AK127,AM127,AO127,AQ127,AS127,AU127,AW127)</f>
        <v>0</v>
      </c>
      <c r="AZ127" s="38">
        <f t="shared" ref="AZ127" si="1494">TRUNC($M127 * AY127,2)</f>
        <v>0</v>
      </c>
      <c r="BA127" s="38">
        <f t="shared" ref="BA127:BA131" si="1495">S127-AY127</f>
        <v>13</v>
      </c>
      <c r="BB127" s="37">
        <f t="shared" ref="BB127" si="1496">TRUNC($M127 * BA127,2)</f>
        <v>13977.86</v>
      </c>
    </row>
    <row r="128" spans="1:54" ht="65.099999999999994" customHeight="1" x14ac:dyDescent="0.25">
      <c r="A128" s="31" t="s">
        <v>292</v>
      </c>
      <c r="B128" s="31" t="s">
        <v>293</v>
      </c>
      <c r="C128" s="31" t="s">
        <v>34</v>
      </c>
      <c r="D128" s="31" t="s">
        <v>294</v>
      </c>
      <c r="E128" s="32" t="s">
        <v>36</v>
      </c>
      <c r="F128" s="33">
        <v>12</v>
      </c>
      <c r="G128" s="34">
        <v>1268.5899999999999</v>
      </c>
      <c r="H128" s="34">
        <f t="shared" si="1473"/>
        <v>1168.04</v>
      </c>
      <c r="I128" s="34">
        <f t="shared" si="1474"/>
        <v>14016.48</v>
      </c>
      <c r="J128" s="34">
        <f>(TRUNC(H128 * L14,2) + H128)</f>
        <v>1405.61</v>
      </c>
      <c r="K128" s="34">
        <f>TRUNC(F128 * J128,2)</f>
        <v>16867.32</v>
      </c>
      <c r="L128" s="35">
        <f>K128 / L13</f>
        <v>5.8163172413793094E-3</v>
      </c>
      <c r="M128" s="36">
        <v>1009.03</v>
      </c>
      <c r="N128" s="37">
        <f t="shared" si="1475"/>
        <v>12108.36</v>
      </c>
      <c r="O128" s="36"/>
      <c r="P128" s="38">
        <f t="shared" si="1476"/>
        <v>0</v>
      </c>
      <c r="Q128" s="38"/>
      <c r="R128" s="38">
        <f t="shared" si="1476"/>
        <v>0</v>
      </c>
      <c r="S128" s="38">
        <f t="shared" si="1477"/>
        <v>12</v>
      </c>
      <c r="T128" s="37">
        <f t="shared" ref="T128:V128" si="1497">TRUNC($M128 * S128,2)</f>
        <v>12108.36</v>
      </c>
      <c r="U128" s="36"/>
      <c r="V128" s="38">
        <f t="shared" si="1497"/>
        <v>0</v>
      </c>
      <c r="W128" s="38"/>
      <c r="X128" s="38">
        <f t="shared" ref="X128" si="1498">TRUNC($M128 * W128,2)</f>
        <v>0</v>
      </c>
      <c r="Y128" s="38"/>
      <c r="Z128" s="38">
        <f t="shared" ref="Z128" si="1499">TRUNC($M128 * Y128,2)</f>
        <v>0</v>
      </c>
      <c r="AA128" s="38"/>
      <c r="AB128" s="38">
        <f t="shared" ref="AB128" si="1500">TRUNC($M128 * AA128,2)</f>
        <v>0</v>
      </c>
      <c r="AC128" s="38"/>
      <c r="AD128" s="38">
        <f t="shared" ref="AD128" si="1501">TRUNC($M128 * AC128,2)</f>
        <v>0</v>
      </c>
      <c r="AE128" s="38"/>
      <c r="AF128" s="38">
        <f t="shared" ref="AF128" si="1502">TRUNC($M128 * AE128,2)</f>
        <v>0</v>
      </c>
      <c r="AG128" s="38"/>
      <c r="AH128" s="38">
        <f t="shared" ref="AH128" si="1503">TRUNC($M128 * AG128,2)</f>
        <v>0</v>
      </c>
      <c r="AI128" s="38"/>
      <c r="AJ128" s="38">
        <f t="shared" ref="AJ128" si="1504">TRUNC($M128 * AI128,2)</f>
        <v>0</v>
      </c>
      <c r="AK128" s="38"/>
      <c r="AL128" s="38">
        <f t="shared" ref="AL128" si="1505">TRUNC($M128 * AK128,2)</f>
        <v>0</v>
      </c>
      <c r="AM128" s="38"/>
      <c r="AN128" s="38">
        <f t="shared" ref="AN128" si="1506">TRUNC($M128 * AM128,2)</f>
        <v>0</v>
      </c>
      <c r="AO128" s="38"/>
      <c r="AP128" s="38">
        <f t="shared" ref="AP128" si="1507">TRUNC($M128 * AO128,2)</f>
        <v>0</v>
      </c>
      <c r="AQ128" s="38"/>
      <c r="AR128" s="38">
        <f t="shared" ref="AR128" si="1508">TRUNC($M128 * AQ128,2)</f>
        <v>0</v>
      </c>
      <c r="AS128" s="38"/>
      <c r="AT128" s="38">
        <f t="shared" ref="AT128" si="1509">TRUNC($M128 * AS128,2)</f>
        <v>0</v>
      </c>
      <c r="AU128" s="38"/>
      <c r="AV128" s="38">
        <f t="shared" ref="AV128" si="1510">TRUNC($M128 * AU128,2)</f>
        <v>0</v>
      </c>
      <c r="AW128" s="38"/>
      <c r="AX128" s="37">
        <f t="shared" ref="AX128" si="1511">TRUNC($M128 * AW128,2)</f>
        <v>0</v>
      </c>
      <c r="AY128" s="36">
        <f t="shared" si="1493"/>
        <v>0</v>
      </c>
      <c r="AZ128" s="38">
        <f t="shared" ref="AZ128" si="1512">TRUNC($M128 * AY128,2)</f>
        <v>0</v>
      </c>
      <c r="BA128" s="38">
        <f t="shared" si="1495"/>
        <v>12</v>
      </c>
      <c r="BB128" s="37">
        <f t="shared" ref="BB128" si="1513">TRUNC($M128 * BA128,2)</f>
        <v>12108.36</v>
      </c>
    </row>
    <row r="129" spans="1:54" ht="24" customHeight="1" x14ac:dyDescent="0.25">
      <c r="A129" s="31" t="s">
        <v>295</v>
      </c>
      <c r="B129" s="31" t="s">
        <v>296</v>
      </c>
      <c r="C129" s="31" t="s">
        <v>245</v>
      </c>
      <c r="D129" s="31" t="s">
        <v>297</v>
      </c>
      <c r="E129" s="32" t="s">
        <v>36</v>
      </c>
      <c r="F129" s="33">
        <v>1</v>
      </c>
      <c r="G129" s="34">
        <v>1553.47</v>
      </c>
      <c r="H129" s="34">
        <f t="shared" si="1473"/>
        <v>1430.34</v>
      </c>
      <c r="I129" s="34">
        <f t="shared" si="1474"/>
        <v>1430.34</v>
      </c>
      <c r="J129" s="34">
        <f>(TRUNC(H129 * L14,2) + H129)</f>
        <v>1721.27</v>
      </c>
      <c r="K129" s="34">
        <f>TRUNC(F129 * J129,2)</f>
        <v>1721.27</v>
      </c>
      <c r="L129" s="35">
        <f>K129 / L13</f>
        <v>5.9354137931034469E-4</v>
      </c>
      <c r="M129" s="36">
        <v>324.52</v>
      </c>
      <c r="N129" s="37">
        <f t="shared" si="1475"/>
        <v>324.52</v>
      </c>
      <c r="O129" s="36"/>
      <c r="P129" s="38">
        <f t="shared" si="1476"/>
        <v>0</v>
      </c>
      <c r="Q129" s="38"/>
      <c r="R129" s="38">
        <f t="shared" si="1476"/>
        <v>0</v>
      </c>
      <c r="S129" s="38">
        <f t="shared" si="1477"/>
        <v>1</v>
      </c>
      <c r="T129" s="37">
        <f t="shared" ref="T129:V129" si="1514">TRUNC($M129 * S129,2)</f>
        <v>324.52</v>
      </c>
      <c r="U129" s="36"/>
      <c r="V129" s="38">
        <f t="shared" si="1514"/>
        <v>0</v>
      </c>
      <c r="W129" s="38"/>
      <c r="X129" s="38">
        <f t="shared" ref="X129" si="1515">TRUNC($M129 * W129,2)</f>
        <v>0</v>
      </c>
      <c r="Y129" s="38"/>
      <c r="Z129" s="38">
        <f t="shared" ref="Z129" si="1516">TRUNC($M129 * Y129,2)</f>
        <v>0</v>
      </c>
      <c r="AA129" s="38"/>
      <c r="AB129" s="38">
        <f t="shared" ref="AB129" si="1517">TRUNC($M129 * AA129,2)</f>
        <v>0</v>
      </c>
      <c r="AC129" s="38"/>
      <c r="AD129" s="38">
        <f t="shared" ref="AD129" si="1518">TRUNC($M129 * AC129,2)</f>
        <v>0</v>
      </c>
      <c r="AE129" s="38"/>
      <c r="AF129" s="38">
        <f t="shared" ref="AF129" si="1519">TRUNC($M129 * AE129,2)</f>
        <v>0</v>
      </c>
      <c r="AG129" s="38"/>
      <c r="AH129" s="38">
        <f t="shared" ref="AH129" si="1520">TRUNC($M129 * AG129,2)</f>
        <v>0</v>
      </c>
      <c r="AI129" s="38"/>
      <c r="AJ129" s="38">
        <f t="shared" ref="AJ129" si="1521">TRUNC($M129 * AI129,2)</f>
        <v>0</v>
      </c>
      <c r="AK129" s="38"/>
      <c r="AL129" s="38">
        <f t="shared" ref="AL129" si="1522">TRUNC($M129 * AK129,2)</f>
        <v>0</v>
      </c>
      <c r="AM129" s="38"/>
      <c r="AN129" s="38">
        <f t="shared" ref="AN129" si="1523">TRUNC($M129 * AM129,2)</f>
        <v>0</v>
      </c>
      <c r="AO129" s="38"/>
      <c r="AP129" s="38">
        <f t="shared" ref="AP129" si="1524">TRUNC($M129 * AO129,2)</f>
        <v>0</v>
      </c>
      <c r="AQ129" s="38"/>
      <c r="AR129" s="38">
        <f t="shared" ref="AR129" si="1525">TRUNC($M129 * AQ129,2)</f>
        <v>0</v>
      </c>
      <c r="AS129" s="38"/>
      <c r="AT129" s="38">
        <f t="shared" ref="AT129" si="1526">TRUNC($M129 * AS129,2)</f>
        <v>0</v>
      </c>
      <c r="AU129" s="38"/>
      <c r="AV129" s="38">
        <f t="shared" ref="AV129" si="1527">TRUNC($M129 * AU129,2)</f>
        <v>0</v>
      </c>
      <c r="AW129" s="38"/>
      <c r="AX129" s="37">
        <f t="shared" ref="AX129" si="1528">TRUNC($M129 * AW129,2)</f>
        <v>0</v>
      </c>
      <c r="AY129" s="36">
        <f t="shared" si="1493"/>
        <v>0</v>
      </c>
      <c r="AZ129" s="38">
        <f t="shared" ref="AZ129" si="1529">TRUNC($M129 * AY129,2)</f>
        <v>0</v>
      </c>
      <c r="BA129" s="38">
        <f t="shared" si="1495"/>
        <v>1</v>
      </c>
      <c r="BB129" s="37">
        <f t="shared" ref="BB129" si="1530">TRUNC($M129 * BA129,2)</f>
        <v>324.52</v>
      </c>
    </row>
    <row r="130" spans="1:54" ht="26.1" customHeight="1" x14ac:dyDescent="0.25">
      <c r="A130" s="31" t="s">
        <v>298</v>
      </c>
      <c r="B130" s="31" t="s">
        <v>299</v>
      </c>
      <c r="C130" s="31" t="s">
        <v>19</v>
      </c>
      <c r="D130" s="31" t="s">
        <v>300</v>
      </c>
      <c r="E130" s="32" t="s">
        <v>26</v>
      </c>
      <c r="F130" s="33">
        <v>17.96</v>
      </c>
      <c r="G130" s="34">
        <v>605.88</v>
      </c>
      <c r="H130" s="34">
        <f t="shared" si="1473"/>
        <v>557.85</v>
      </c>
      <c r="I130" s="34">
        <f t="shared" si="1474"/>
        <v>10018.98</v>
      </c>
      <c r="J130" s="34">
        <f>(TRUNC(H130 * L14,2) + H130)</f>
        <v>671.31000000000006</v>
      </c>
      <c r="K130" s="34">
        <f>TRUNC(F130 * J130,2)</f>
        <v>12056.72</v>
      </c>
      <c r="L130" s="35">
        <f>K130 / L13</f>
        <v>4.1574896551724132E-3</v>
      </c>
      <c r="M130" s="36">
        <v>446.59</v>
      </c>
      <c r="N130" s="37">
        <f t="shared" si="1475"/>
        <v>8020.75</v>
      </c>
      <c r="O130" s="36"/>
      <c r="P130" s="38">
        <f t="shared" si="1476"/>
        <v>0</v>
      </c>
      <c r="Q130" s="38"/>
      <c r="R130" s="38">
        <f t="shared" si="1476"/>
        <v>0</v>
      </c>
      <c r="S130" s="38">
        <f t="shared" si="1477"/>
        <v>17.96</v>
      </c>
      <c r="T130" s="37">
        <f t="shared" ref="T130:V130" si="1531">TRUNC($M130 * S130,2)</f>
        <v>8020.75</v>
      </c>
      <c r="U130" s="36"/>
      <c r="V130" s="38">
        <f t="shared" si="1531"/>
        <v>0</v>
      </c>
      <c r="W130" s="38"/>
      <c r="X130" s="38">
        <f t="shared" ref="X130" si="1532">TRUNC($M130 * W130,2)</f>
        <v>0</v>
      </c>
      <c r="Y130" s="38"/>
      <c r="Z130" s="38">
        <f t="shared" ref="Z130" si="1533">TRUNC($M130 * Y130,2)</f>
        <v>0</v>
      </c>
      <c r="AA130" s="38"/>
      <c r="AB130" s="38">
        <f t="shared" ref="AB130" si="1534">TRUNC($M130 * AA130,2)</f>
        <v>0</v>
      </c>
      <c r="AC130" s="38"/>
      <c r="AD130" s="38">
        <f t="shared" ref="AD130" si="1535">TRUNC($M130 * AC130,2)</f>
        <v>0</v>
      </c>
      <c r="AE130" s="38"/>
      <c r="AF130" s="38">
        <f t="shared" ref="AF130" si="1536">TRUNC($M130 * AE130,2)</f>
        <v>0</v>
      </c>
      <c r="AG130" s="38"/>
      <c r="AH130" s="38">
        <f t="shared" ref="AH130" si="1537">TRUNC($M130 * AG130,2)</f>
        <v>0</v>
      </c>
      <c r="AI130" s="38"/>
      <c r="AJ130" s="38">
        <f t="shared" ref="AJ130" si="1538">TRUNC($M130 * AI130,2)</f>
        <v>0</v>
      </c>
      <c r="AK130" s="38"/>
      <c r="AL130" s="38">
        <f t="shared" ref="AL130" si="1539">TRUNC($M130 * AK130,2)</f>
        <v>0</v>
      </c>
      <c r="AM130" s="38"/>
      <c r="AN130" s="38">
        <f t="shared" ref="AN130" si="1540">TRUNC($M130 * AM130,2)</f>
        <v>0</v>
      </c>
      <c r="AO130" s="38"/>
      <c r="AP130" s="38">
        <f t="shared" ref="AP130" si="1541">TRUNC($M130 * AO130,2)</f>
        <v>0</v>
      </c>
      <c r="AQ130" s="38"/>
      <c r="AR130" s="38">
        <f t="shared" ref="AR130" si="1542">TRUNC($M130 * AQ130,2)</f>
        <v>0</v>
      </c>
      <c r="AS130" s="38"/>
      <c r="AT130" s="38">
        <f t="shared" ref="AT130" si="1543">TRUNC($M130 * AS130,2)</f>
        <v>0</v>
      </c>
      <c r="AU130" s="38"/>
      <c r="AV130" s="38">
        <f t="shared" ref="AV130" si="1544">TRUNC($M130 * AU130,2)</f>
        <v>0</v>
      </c>
      <c r="AW130" s="38"/>
      <c r="AX130" s="37">
        <f t="shared" ref="AX130" si="1545">TRUNC($M130 * AW130,2)</f>
        <v>0</v>
      </c>
      <c r="AY130" s="36">
        <f t="shared" si="1493"/>
        <v>0</v>
      </c>
      <c r="AZ130" s="38">
        <f t="shared" ref="AZ130" si="1546">TRUNC($M130 * AY130,2)</f>
        <v>0</v>
      </c>
      <c r="BA130" s="38">
        <f t="shared" si="1495"/>
        <v>17.96</v>
      </c>
      <c r="BB130" s="37">
        <f t="shared" ref="BB130" si="1547">TRUNC($M130 * BA130,2)</f>
        <v>8020.75</v>
      </c>
    </row>
    <row r="131" spans="1:54" ht="26.1" customHeight="1" x14ac:dyDescent="0.25">
      <c r="A131" s="31" t="s">
        <v>301</v>
      </c>
      <c r="B131" s="31" t="s">
        <v>302</v>
      </c>
      <c r="C131" s="31" t="s">
        <v>245</v>
      </c>
      <c r="D131" s="31" t="s">
        <v>303</v>
      </c>
      <c r="E131" s="32" t="s">
        <v>36</v>
      </c>
      <c r="F131" s="33">
        <v>2</v>
      </c>
      <c r="G131" s="34">
        <v>1693.33</v>
      </c>
      <c r="H131" s="34">
        <f t="shared" si="1473"/>
        <v>1559.11</v>
      </c>
      <c r="I131" s="34">
        <f t="shared" si="1474"/>
        <v>3118.22</v>
      </c>
      <c r="J131" s="34">
        <f>(TRUNC(H131 * L14,2) + H131)</f>
        <v>1876.23</v>
      </c>
      <c r="K131" s="34">
        <f>TRUNC(F131 * J131,2)</f>
        <v>3752.46</v>
      </c>
      <c r="L131" s="35">
        <f>K131 / L13</f>
        <v>1.2939517241379308E-3</v>
      </c>
      <c r="M131" s="36">
        <v>353.94</v>
      </c>
      <c r="N131" s="37">
        <f t="shared" si="1475"/>
        <v>707.88</v>
      </c>
      <c r="O131" s="36"/>
      <c r="P131" s="38">
        <f t="shared" si="1476"/>
        <v>0</v>
      </c>
      <c r="Q131" s="38"/>
      <c r="R131" s="38">
        <f t="shared" si="1476"/>
        <v>0</v>
      </c>
      <c r="S131" s="38">
        <f t="shared" si="1477"/>
        <v>2</v>
      </c>
      <c r="T131" s="37">
        <f t="shared" ref="T131:V131" si="1548">TRUNC($M131 * S131,2)</f>
        <v>707.88</v>
      </c>
      <c r="U131" s="36"/>
      <c r="V131" s="38">
        <f t="shared" si="1548"/>
        <v>0</v>
      </c>
      <c r="W131" s="38"/>
      <c r="X131" s="38">
        <f t="shared" ref="X131" si="1549">TRUNC($M131 * W131,2)</f>
        <v>0</v>
      </c>
      <c r="Y131" s="38"/>
      <c r="Z131" s="38">
        <f t="shared" ref="Z131" si="1550">TRUNC($M131 * Y131,2)</f>
        <v>0</v>
      </c>
      <c r="AA131" s="38"/>
      <c r="AB131" s="38">
        <f t="shared" ref="AB131" si="1551">TRUNC($M131 * AA131,2)</f>
        <v>0</v>
      </c>
      <c r="AC131" s="38"/>
      <c r="AD131" s="38">
        <f t="shared" ref="AD131" si="1552">TRUNC($M131 * AC131,2)</f>
        <v>0</v>
      </c>
      <c r="AE131" s="38"/>
      <c r="AF131" s="38">
        <f t="shared" ref="AF131" si="1553">TRUNC($M131 * AE131,2)</f>
        <v>0</v>
      </c>
      <c r="AG131" s="38"/>
      <c r="AH131" s="38">
        <f t="shared" ref="AH131" si="1554">TRUNC($M131 * AG131,2)</f>
        <v>0</v>
      </c>
      <c r="AI131" s="38"/>
      <c r="AJ131" s="38">
        <f t="shared" ref="AJ131" si="1555">TRUNC($M131 * AI131,2)</f>
        <v>0</v>
      </c>
      <c r="AK131" s="38"/>
      <c r="AL131" s="38">
        <f t="shared" ref="AL131" si="1556">TRUNC($M131 * AK131,2)</f>
        <v>0</v>
      </c>
      <c r="AM131" s="38"/>
      <c r="AN131" s="38">
        <f t="shared" ref="AN131" si="1557">TRUNC($M131 * AM131,2)</f>
        <v>0</v>
      </c>
      <c r="AO131" s="38"/>
      <c r="AP131" s="38">
        <f t="shared" ref="AP131" si="1558">TRUNC($M131 * AO131,2)</f>
        <v>0</v>
      </c>
      <c r="AQ131" s="38"/>
      <c r="AR131" s="38">
        <f t="shared" ref="AR131" si="1559">TRUNC($M131 * AQ131,2)</f>
        <v>0</v>
      </c>
      <c r="AS131" s="38"/>
      <c r="AT131" s="38">
        <f t="shared" ref="AT131" si="1560">TRUNC($M131 * AS131,2)</f>
        <v>0</v>
      </c>
      <c r="AU131" s="38"/>
      <c r="AV131" s="38">
        <f t="shared" ref="AV131" si="1561">TRUNC($M131 * AU131,2)</f>
        <v>0</v>
      </c>
      <c r="AW131" s="38"/>
      <c r="AX131" s="37">
        <f t="shared" ref="AX131" si="1562">TRUNC($M131 * AW131,2)</f>
        <v>0</v>
      </c>
      <c r="AY131" s="36">
        <f t="shared" si="1493"/>
        <v>0</v>
      </c>
      <c r="AZ131" s="38">
        <f t="shared" ref="AZ131" si="1563">TRUNC($M131 * AY131,2)</f>
        <v>0</v>
      </c>
      <c r="BA131" s="38">
        <f t="shared" si="1495"/>
        <v>2</v>
      </c>
      <c r="BB131" s="37">
        <f t="shared" ref="BB131" si="1564">TRUNC($M131 * BA131,2)</f>
        <v>707.88</v>
      </c>
    </row>
    <row r="132" spans="1:54" ht="24" customHeight="1" x14ac:dyDescent="0.25">
      <c r="A132" s="4" t="s">
        <v>304</v>
      </c>
      <c r="B132" s="4" t="s">
        <v>12</v>
      </c>
      <c r="C132" s="4"/>
      <c r="D132" s="4" t="s">
        <v>305</v>
      </c>
      <c r="E132" s="5"/>
      <c r="F132" s="14"/>
      <c r="G132" s="6"/>
      <c r="H132" s="6"/>
      <c r="I132" s="7">
        <f>SUM(I133,I140)</f>
        <v>84962.159999999989</v>
      </c>
      <c r="J132" s="7"/>
      <c r="K132" s="7">
        <f>SUM(K133,K140)</f>
        <v>102242.88</v>
      </c>
      <c r="L132" s="22">
        <f>K132 / L13</f>
        <v>3.5256165517241374E-2</v>
      </c>
      <c r="M132" s="25"/>
      <c r="N132" s="26">
        <f>SUM(N133,N140)</f>
        <v>66657.45</v>
      </c>
      <c r="O132" s="25"/>
      <c r="P132" s="30">
        <f>SUM(P133,P140)</f>
        <v>0</v>
      </c>
      <c r="Q132" s="30"/>
      <c r="R132" s="30">
        <f>SUM(R133,R140)</f>
        <v>0</v>
      </c>
      <c r="S132" s="30"/>
      <c r="T132" s="26">
        <f>SUM(T133,T140)</f>
        <v>66657.45</v>
      </c>
      <c r="U132" s="25"/>
      <c r="V132" s="30">
        <f>SUM(V133,V140)</f>
        <v>0</v>
      </c>
      <c r="W132" s="30"/>
      <c r="X132" s="30">
        <f>SUM(X133,X140)</f>
        <v>0</v>
      </c>
      <c r="Y132" s="30"/>
      <c r="Z132" s="30">
        <f>SUM(Z133,Z140)</f>
        <v>0</v>
      </c>
      <c r="AA132" s="30"/>
      <c r="AB132" s="30">
        <f>SUM(AB133,AB140)</f>
        <v>0</v>
      </c>
      <c r="AC132" s="30"/>
      <c r="AD132" s="30">
        <f>SUM(AD133,AD140)</f>
        <v>0</v>
      </c>
      <c r="AE132" s="30"/>
      <c r="AF132" s="30">
        <f>SUM(AF133,AF140)</f>
        <v>0</v>
      </c>
      <c r="AG132" s="30"/>
      <c r="AH132" s="30">
        <f>SUM(AH133,AH140)</f>
        <v>0</v>
      </c>
      <c r="AI132" s="30"/>
      <c r="AJ132" s="30">
        <f>SUM(AJ133,AJ140)</f>
        <v>0</v>
      </c>
      <c r="AK132" s="30"/>
      <c r="AL132" s="30">
        <f>SUM(AL133,AL140)</f>
        <v>0</v>
      </c>
      <c r="AM132" s="30"/>
      <c r="AN132" s="30">
        <f>SUM(AN133,AN140)</f>
        <v>0</v>
      </c>
      <c r="AO132" s="30"/>
      <c r="AP132" s="30">
        <f>SUM(AP133,AP140)</f>
        <v>0</v>
      </c>
      <c r="AQ132" s="30"/>
      <c r="AR132" s="30">
        <f>SUM(AR133,AR140)</f>
        <v>0</v>
      </c>
      <c r="AS132" s="30"/>
      <c r="AT132" s="30">
        <f>SUM(AT133,AT140)</f>
        <v>0</v>
      </c>
      <c r="AU132" s="30"/>
      <c r="AV132" s="30">
        <f>SUM(AV133,AV140)</f>
        <v>0</v>
      </c>
      <c r="AW132" s="30"/>
      <c r="AX132" s="26">
        <f>SUM(AX133,AX140)</f>
        <v>0</v>
      </c>
      <c r="AY132" s="25"/>
      <c r="AZ132" s="30">
        <f>SUM(AZ133,AZ140)</f>
        <v>0</v>
      </c>
      <c r="BA132" s="30"/>
      <c r="BB132" s="26">
        <f>SUM(BB133,BB140)</f>
        <v>66657.45</v>
      </c>
    </row>
    <row r="133" spans="1:54" ht="24" customHeight="1" x14ac:dyDescent="0.25">
      <c r="A133" s="4" t="s">
        <v>306</v>
      </c>
      <c r="B133" s="4" t="s">
        <v>12</v>
      </c>
      <c r="C133" s="4"/>
      <c r="D133" s="4" t="s">
        <v>307</v>
      </c>
      <c r="E133" s="5"/>
      <c r="F133" s="14"/>
      <c r="G133" s="6"/>
      <c r="H133" s="6"/>
      <c r="I133" s="7">
        <f>SUM(I134:I139)</f>
        <v>50834.989999999991</v>
      </c>
      <c r="J133" s="7"/>
      <c r="K133" s="7">
        <f>SUM(K134:K139)</f>
        <v>61174.539999999994</v>
      </c>
      <c r="L133" s="22">
        <f>K133 / L13</f>
        <v>2.1094668965517236E-2</v>
      </c>
      <c r="M133" s="25"/>
      <c r="N133" s="26">
        <f>SUM(N134:N139)</f>
        <v>39712.82</v>
      </c>
      <c r="O133" s="25"/>
      <c r="P133" s="30">
        <f>SUM(P134:P139)</f>
        <v>0</v>
      </c>
      <c r="Q133" s="30"/>
      <c r="R133" s="30">
        <f>SUM(R134:R139)</f>
        <v>0</v>
      </c>
      <c r="S133" s="30"/>
      <c r="T133" s="26">
        <f>SUM(T134:T139)</f>
        <v>39712.82</v>
      </c>
      <c r="U133" s="25"/>
      <c r="V133" s="30">
        <f>SUM(V134:V139)</f>
        <v>0</v>
      </c>
      <c r="W133" s="30"/>
      <c r="X133" s="30">
        <f>SUM(X134:X139)</f>
        <v>0</v>
      </c>
      <c r="Y133" s="30"/>
      <c r="Z133" s="30">
        <f>SUM(Z134:Z139)</f>
        <v>0</v>
      </c>
      <c r="AA133" s="30"/>
      <c r="AB133" s="30">
        <f>SUM(AB134:AB139)</f>
        <v>0</v>
      </c>
      <c r="AC133" s="30"/>
      <c r="AD133" s="30">
        <f>SUM(AD134:AD139)</f>
        <v>0</v>
      </c>
      <c r="AE133" s="30"/>
      <c r="AF133" s="30">
        <f>SUM(AF134:AF139)</f>
        <v>0</v>
      </c>
      <c r="AG133" s="30"/>
      <c r="AH133" s="30">
        <f>SUM(AH134:AH139)</f>
        <v>0</v>
      </c>
      <c r="AI133" s="30"/>
      <c r="AJ133" s="30">
        <f>SUM(AJ134:AJ139)</f>
        <v>0</v>
      </c>
      <c r="AK133" s="30"/>
      <c r="AL133" s="30">
        <f>SUM(AL134:AL139)</f>
        <v>0</v>
      </c>
      <c r="AM133" s="30"/>
      <c r="AN133" s="30">
        <f>SUM(AN134:AN139)</f>
        <v>0</v>
      </c>
      <c r="AO133" s="30"/>
      <c r="AP133" s="30">
        <f>SUM(AP134:AP139)</f>
        <v>0</v>
      </c>
      <c r="AQ133" s="30"/>
      <c r="AR133" s="30">
        <f>SUM(AR134:AR139)</f>
        <v>0</v>
      </c>
      <c r="AS133" s="30"/>
      <c r="AT133" s="30">
        <f>SUM(AT134:AT139)</f>
        <v>0</v>
      </c>
      <c r="AU133" s="30"/>
      <c r="AV133" s="30">
        <f>SUM(AV134:AV139)</f>
        <v>0</v>
      </c>
      <c r="AW133" s="30"/>
      <c r="AX133" s="26">
        <f>SUM(AX134:AX139)</f>
        <v>0</v>
      </c>
      <c r="AY133" s="25"/>
      <c r="AZ133" s="30">
        <f>SUM(AZ134:AZ139)</f>
        <v>0</v>
      </c>
      <c r="BA133" s="30"/>
      <c r="BB133" s="26">
        <f>SUM(BB134:BB139)</f>
        <v>39712.82</v>
      </c>
    </row>
    <row r="134" spans="1:54" ht="39" customHeight="1" x14ac:dyDescent="0.25">
      <c r="A134" s="31" t="s">
        <v>308</v>
      </c>
      <c r="B134" s="31" t="s">
        <v>309</v>
      </c>
      <c r="C134" s="31" t="s">
        <v>34</v>
      </c>
      <c r="D134" s="31" t="s">
        <v>310</v>
      </c>
      <c r="E134" s="32" t="s">
        <v>26</v>
      </c>
      <c r="F134" s="33">
        <v>14.07</v>
      </c>
      <c r="G134" s="34">
        <v>867.28</v>
      </c>
      <c r="H134" s="34">
        <f t="shared" ref="H134:H143" si="1565">TRUNC(G134*$L$1,2)</f>
        <v>798.54</v>
      </c>
      <c r="I134" s="34">
        <f t="shared" ref="I134:I143" si="1566">TRUNC(F134 * H134,2)</f>
        <v>11235.45</v>
      </c>
      <c r="J134" s="34">
        <f>(TRUNC(H134 * L14,2) + H134)</f>
        <v>960.95999999999992</v>
      </c>
      <c r="K134" s="34">
        <f t="shared" ref="K134:K139" si="1567">TRUNC(F134 * J134,2)</f>
        <v>13520.7</v>
      </c>
      <c r="L134" s="35">
        <f>K134 / L13</f>
        <v>4.662310344827586E-3</v>
      </c>
      <c r="M134" s="36">
        <v>620.44000000000005</v>
      </c>
      <c r="N134" s="37">
        <f t="shared" ref="N134:N143" si="1568">TRUNC(F134 * M134,2)</f>
        <v>8729.59</v>
      </c>
      <c r="O134" s="36"/>
      <c r="P134" s="38">
        <f t="shared" ref="P134:R143" si="1569">TRUNC($M134 * O134,2)</f>
        <v>0</v>
      </c>
      <c r="Q134" s="38"/>
      <c r="R134" s="38">
        <f t="shared" si="1569"/>
        <v>0</v>
      </c>
      <c r="S134" s="38">
        <f t="shared" ref="S134:S143" si="1570">F134+O134-Q134</f>
        <v>14.07</v>
      </c>
      <c r="T134" s="37">
        <f t="shared" ref="T134:V134" si="1571">TRUNC($M134 * S134,2)</f>
        <v>8729.59</v>
      </c>
      <c r="U134" s="36"/>
      <c r="V134" s="38">
        <f t="shared" si="1571"/>
        <v>0</v>
      </c>
      <c r="W134" s="38"/>
      <c r="X134" s="38">
        <f t="shared" ref="X134" si="1572">TRUNC($M134 * W134,2)</f>
        <v>0</v>
      </c>
      <c r="Y134" s="38"/>
      <c r="Z134" s="38">
        <f t="shared" ref="Z134" si="1573">TRUNC($M134 * Y134,2)</f>
        <v>0</v>
      </c>
      <c r="AA134" s="38"/>
      <c r="AB134" s="38">
        <f t="shared" ref="AB134" si="1574">TRUNC($M134 * AA134,2)</f>
        <v>0</v>
      </c>
      <c r="AC134" s="38"/>
      <c r="AD134" s="38">
        <f t="shared" ref="AD134" si="1575">TRUNC($M134 * AC134,2)</f>
        <v>0</v>
      </c>
      <c r="AE134" s="38"/>
      <c r="AF134" s="38">
        <f t="shared" ref="AF134" si="1576">TRUNC($M134 * AE134,2)</f>
        <v>0</v>
      </c>
      <c r="AG134" s="38"/>
      <c r="AH134" s="38">
        <f t="shared" ref="AH134" si="1577">TRUNC($M134 * AG134,2)</f>
        <v>0</v>
      </c>
      <c r="AI134" s="38"/>
      <c r="AJ134" s="38">
        <f t="shared" ref="AJ134" si="1578">TRUNC($M134 * AI134,2)</f>
        <v>0</v>
      </c>
      <c r="AK134" s="38"/>
      <c r="AL134" s="38">
        <f t="shared" ref="AL134" si="1579">TRUNC($M134 * AK134,2)</f>
        <v>0</v>
      </c>
      <c r="AM134" s="38"/>
      <c r="AN134" s="38">
        <f t="shared" ref="AN134" si="1580">TRUNC($M134 * AM134,2)</f>
        <v>0</v>
      </c>
      <c r="AO134" s="38"/>
      <c r="AP134" s="38">
        <f t="shared" ref="AP134" si="1581">TRUNC($M134 * AO134,2)</f>
        <v>0</v>
      </c>
      <c r="AQ134" s="38"/>
      <c r="AR134" s="38">
        <f t="shared" ref="AR134" si="1582">TRUNC($M134 * AQ134,2)</f>
        <v>0</v>
      </c>
      <c r="AS134" s="38"/>
      <c r="AT134" s="38">
        <f t="shared" ref="AT134" si="1583">TRUNC($M134 * AS134,2)</f>
        <v>0</v>
      </c>
      <c r="AU134" s="38"/>
      <c r="AV134" s="38">
        <f t="shared" ref="AV134" si="1584">TRUNC($M134 * AU134,2)</f>
        <v>0</v>
      </c>
      <c r="AW134" s="38"/>
      <c r="AX134" s="37">
        <f t="shared" ref="AX134" si="1585">TRUNC($M134 * AW134,2)</f>
        <v>0</v>
      </c>
      <c r="AY134" s="36">
        <f t="shared" ref="AY134:AY143" si="1586">SUM(U134,W134,Y134,AA134,AC134,AE134,AG134,AI134,AK134,AM134,AO134,AQ134,AS134,AU134,AW134)</f>
        <v>0</v>
      </c>
      <c r="AZ134" s="38">
        <f t="shared" ref="AZ134" si="1587">TRUNC($M134 * AY134,2)</f>
        <v>0</v>
      </c>
      <c r="BA134" s="38">
        <f t="shared" ref="BA134:BA143" si="1588">S134-AY134</f>
        <v>14.07</v>
      </c>
      <c r="BB134" s="37">
        <f t="shared" ref="BB134" si="1589">TRUNC($M134 * BA134,2)</f>
        <v>8729.59</v>
      </c>
    </row>
    <row r="135" spans="1:54" ht="24" customHeight="1" x14ac:dyDescent="0.25">
      <c r="A135" s="31" t="s">
        <v>311</v>
      </c>
      <c r="B135" s="31" t="s">
        <v>312</v>
      </c>
      <c r="C135" s="31" t="s">
        <v>19</v>
      </c>
      <c r="D135" s="31" t="s">
        <v>313</v>
      </c>
      <c r="E135" s="32" t="s">
        <v>26</v>
      </c>
      <c r="F135" s="33">
        <v>6.93</v>
      </c>
      <c r="G135" s="34">
        <v>1097.52</v>
      </c>
      <c r="H135" s="34">
        <f t="shared" si="1565"/>
        <v>1010.53</v>
      </c>
      <c r="I135" s="34">
        <f t="shared" si="1566"/>
        <v>7002.97</v>
      </c>
      <c r="J135" s="34">
        <f>(TRUNC(H135 * L14,2) + H135)</f>
        <v>1216.07</v>
      </c>
      <c r="K135" s="34">
        <f t="shared" si="1567"/>
        <v>8427.36</v>
      </c>
      <c r="L135" s="35">
        <f>K135 / L13</f>
        <v>2.9059862068965513E-3</v>
      </c>
      <c r="M135" s="36">
        <v>840.04</v>
      </c>
      <c r="N135" s="37">
        <f t="shared" si="1568"/>
        <v>5821.47</v>
      </c>
      <c r="O135" s="36"/>
      <c r="P135" s="38">
        <f t="shared" si="1569"/>
        <v>0</v>
      </c>
      <c r="Q135" s="38"/>
      <c r="R135" s="38">
        <f t="shared" si="1569"/>
        <v>0</v>
      </c>
      <c r="S135" s="38">
        <f t="shared" si="1570"/>
        <v>6.93</v>
      </c>
      <c r="T135" s="37">
        <f t="shared" ref="T135:V135" si="1590">TRUNC($M135 * S135,2)</f>
        <v>5821.47</v>
      </c>
      <c r="U135" s="36"/>
      <c r="V135" s="38">
        <f t="shared" si="1590"/>
        <v>0</v>
      </c>
      <c r="W135" s="38"/>
      <c r="X135" s="38">
        <f t="shared" ref="X135" si="1591">TRUNC($M135 * W135,2)</f>
        <v>0</v>
      </c>
      <c r="Y135" s="38"/>
      <c r="Z135" s="38">
        <f t="shared" ref="Z135" si="1592">TRUNC($M135 * Y135,2)</f>
        <v>0</v>
      </c>
      <c r="AA135" s="38"/>
      <c r="AB135" s="38">
        <f t="shared" ref="AB135" si="1593">TRUNC($M135 * AA135,2)</f>
        <v>0</v>
      </c>
      <c r="AC135" s="38"/>
      <c r="AD135" s="38">
        <f t="shared" ref="AD135" si="1594">TRUNC($M135 * AC135,2)</f>
        <v>0</v>
      </c>
      <c r="AE135" s="38"/>
      <c r="AF135" s="38">
        <f t="shared" ref="AF135" si="1595">TRUNC($M135 * AE135,2)</f>
        <v>0</v>
      </c>
      <c r="AG135" s="38"/>
      <c r="AH135" s="38">
        <f t="shared" ref="AH135" si="1596">TRUNC($M135 * AG135,2)</f>
        <v>0</v>
      </c>
      <c r="AI135" s="38"/>
      <c r="AJ135" s="38">
        <f t="shared" ref="AJ135" si="1597">TRUNC($M135 * AI135,2)</f>
        <v>0</v>
      </c>
      <c r="AK135" s="38"/>
      <c r="AL135" s="38">
        <f t="shared" ref="AL135" si="1598">TRUNC($M135 * AK135,2)</f>
        <v>0</v>
      </c>
      <c r="AM135" s="38"/>
      <c r="AN135" s="38">
        <f t="shared" ref="AN135" si="1599">TRUNC($M135 * AM135,2)</f>
        <v>0</v>
      </c>
      <c r="AO135" s="38"/>
      <c r="AP135" s="38">
        <f t="shared" ref="AP135" si="1600">TRUNC($M135 * AO135,2)</f>
        <v>0</v>
      </c>
      <c r="AQ135" s="38"/>
      <c r="AR135" s="38">
        <f t="shared" ref="AR135" si="1601">TRUNC($M135 * AQ135,2)</f>
        <v>0</v>
      </c>
      <c r="AS135" s="38"/>
      <c r="AT135" s="38">
        <f t="shared" ref="AT135" si="1602">TRUNC($M135 * AS135,2)</f>
        <v>0</v>
      </c>
      <c r="AU135" s="38"/>
      <c r="AV135" s="38">
        <f t="shared" ref="AV135" si="1603">TRUNC($M135 * AU135,2)</f>
        <v>0</v>
      </c>
      <c r="AW135" s="38"/>
      <c r="AX135" s="37">
        <f t="shared" ref="AX135" si="1604">TRUNC($M135 * AW135,2)</f>
        <v>0</v>
      </c>
      <c r="AY135" s="36">
        <f t="shared" si="1586"/>
        <v>0</v>
      </c>
      <c r="AZ135" s="38">
        <f t="shared" ref="AZ135" si="1605">TRUNC($M135 * AY135,2)</f>
        <v>0</v>
      </c>
      <c r="BA135" s="38">
        <f t="shared" si="1588"/>
        <v>6.93</v>
      </c>
      <c r="BB135" s="37">
        <f t="shared" ref="BB135" si="1606">TRUNC($M135 * BA135,2)</f>
        <v>5821.47</v>
      </c>
    </row>
    <row r="136" spans="1:54" ht="78" customHeight="1" x14ac:dyDescent="0.25">
      <c r="A136" s="31" t="s">
        <v>314</v>
      </c>
      <c r="B136" s="31" t="s">
        <v>315</v>
      </c>
      <c r="C136" s="31" t="s">
        <v>316</v>
      </c>
      <c r="D136" s="31" t="s">
        <v>317</v>
      </c>
      <c r="E136" s="32" t="s">
        <v>26</v>
      </c>
      <c r="F136" s="33">
        <v>17.760000000000002</v>
      </c>
      <c r="G136" s="34">
        <v>1119.23</v>
      </c>
      <c r="H136" s="34">
        <f t="shared" si="1565"/>
        <v>1030.52</v>
      </c>
      <c r="I136" s="34">
        <f t="shared" si="1566"/>
        <v>18302.03</v>
      </c>
      <c r="J136" s="34">
        <f>(TRUNC(H136 * L14,2) + H136)</f>
        <v>1240.1199999999999</v>
      </c>
      <c r="K136" s="34">
        <f t="shared" si="1567"/>
        <v>22024.53</v>
      </c>
      <c r="L136" s="35">
        <f>K136 / L13</f>
        <v>7.5946655172413778E-3</v>
      </c>
      <c r="M136" s="36">
        <v>860.94</v>
      </c>
      <c r="N136" s="37">
        <f t="shared" si="1568"/>
        <v>15290.29</v>
      </c>
      <c r="O136" s="36"/>
      <c r="P136" s="38">
        <f t="shared" si="1569"/>
        <v>0</v>
      </c>
      <c r="Q136" s="38"/>
      <c r="R136" s="38">
        <f t="shared" si="1569"/>
        <v>0</v>
      </c>
      <c r="S136" s="38">
        <f t="shared" si="1570"/>
        <v>17.760000000000002</v>
      </c>
      <c r="T136" s="37">
        <f t="shared" ref="T136:V136" si="1607">TRUNC($M136 * S136,2)</f>
        <v>15290.29</v>
      </c>
      <c r="U136" s="36"/>
      <c r="V136" s="38">
        <f t="shared" si="1607"/>
        <v>0</v>
      </c>
      <c r="W136" s="38"/>
      <c r="X136" s="38">
        <f t="shared" ref="X136" si="1608">TRUNC($M136 * W136,2)</f>
        <v>0</v>
      </c>
      <c r="Y136" s="38"/>
      <c r="Z136" s="38">
        <f t="shared" ref="Z136" si="1609">TRUNC($M136 * Y136,2)</f>
        <v>0</v>
      </c>
      <c r="AA136" s="38"/>
      <c r="AB136" s="38">
        <f t="shared" ref="AB136" si="1610">TRUNC($M136 * AA136,2)</f>
        <v>0</v>
      </c>
      <c r="AC136" s="38"/>
      <c r="AD136" s="38">
        <f t="shared" ref="AD136" si="1611">TRUNC($M136 * AC136,2)</f>
        <v>0</v>
      </c>
      <c r="AE136" s="38"/>
      <c r="AF136" s="38">
        <f t="shared" ref="AF136" si="1612">TRUNC($M136 * AE136,2)</f>
        <v>0</v>
      </c>
      <c r="AG136" s="38"/>
      <c r="AH136" s="38">
        <f t="shared" ref="AH136" si="1613">TRUNC($M136 * AG136,2)</f>
        <v>0</v>
      </c>
      <c r="AI136" s="38"/>
      <c r="AJ136" s="38">
        <f t="shared" ref="AJ136" si="1614">TRUNC($M136 * AI136,2)</f>
        <v>0</v>
      </c>
      <c r="AK136" s="38"/>
      <c r="AL136" s="38">
        <f t="shared" ref="AL136" si="1615">TRUNC($M136 * AK136,2)</f>
        <v>0</v>
      </c>
      <c r="AM136" s="38"/>
      <c r="AN136" s="38">
        <f t="shared" ref="AN136" si="1616">TRUNC($M136 * AM136,2)</f>
        <v>0</v>
      </c>
      <c r="AO136" s="38"/>
      <c r="AP136" s="38">
        <f t="shared" ref="AP136" si="1617">TRUNC($M136 * AO136,2)</f>
        <v>0</v>
      </c>
      <c r="AQ136" s="38"/>
      <c r="AR136" s="38">
        <f t="shared" ref="AR136" si="1618">TRUNC($M136 * AQ136,2)</f>
        <v>0</v>
      </c>
      <c r="AS136" s="38"/>
      <c r="AT136" s="38">
        <f t="shared" ref="AT136" si="1619">TRUNC($M136 * AS136,2)</f>
        <v>0</v>
      </c>
      <c r="AU136" s="38"/>
      <c r="AV136" s="38">
        <f t="shared" ref="AV136" si="1620">TRUNC($M136 * AU136,2)</f>
        <v>0</v>
      </c>
      <c r="AW136" s="38"/>
      <c r="AX136" s="37">
        <f t="shared" ref="AX136" si="1621">TRUNC($M136 * AW136,2)</f>
        <v>0</v>
      </c>
      <c r="AY136" s="36">
        <f t="shared" si="1586"/>
        <v>0</v>
      </c>
      <c r="AZ136" s="38">
        <f t="shared" ref="AZ136" si="1622">TRUNC($M136 * AY136,2)</f>
        <v>0</v>
      </c>
      <c r="BA136" s="38">
        <f t="shared" si="1588"/>
        <v>17.760000000000002</v>
      </c>
      <c r="BB136" s="37">
        <f t="shared" ref="BB136" si="1623">TRUNC($M136 * BA136,2)</f>
        <v>15290.29</v>
      </c>
    </row>
    <row r="137" spans="1:54" ht="26.1" customHeight="1" x14ac:dyDescent="0.25">
      <c r="A137" s="31" t="s">
        <v>318</v>
      </c>
      <c r="B137" s="31" t="s">
        <v>319</v>
      </c>
      <c r="C137" s="31" t="s">
        <v>19</v>
      </c>
      <c r="D137" s="31" t="s">
        <v>320</v>
      </c>
      <c r="E137" s="32" t="s">
        <v>26</v>
      </c>
      <c r="F137" s="33">
        <v>8.08</v>
      </c>
      <c r="G137" s="34">
        <v>1036.1600000000001</v>
      </c>
      <c r="H137" s="34">
        <f t="shared" si="1565"/>
        <v>954.03</v>
      </c>
      <c r="I137" s="34">
        <f t="shared" si="1566"/>
        <v>7708.56</v>
      </c>
      <c r="J137" s="34">
        <f>(TRUNC(H137 * L14,2) + H137)</f>
        <v>1148.07</v>
      </c>
      <c r="K137" s="34">
        <f t="shared" si="1567"/>
        <v>9276.4</v>
      </c>
      <c r="L137" s="35">
        <f>K137 / L13</f>
        <v>3.1987586206896545E-3</v>
      </c>
      <c r="M137" s="36">
        <v>764.62</v>
      </c>
      <c r="N137" s="37">
        <f t="shared" si="1568"/>
        <v>6178.12</v>
      </c>
      <c r="O137" s="36"/>
      <c r="P137" s="38">
        <f t="shared" si="1569"/>
        <v>0</v>
      </c>
      <c r="Q137" s="38"/>
      <c r="R137" s="38">
        <f t="shared" si="1569"/>
        <v>0</v>
      </c>
      <c r="S137" s="38">
        <f t="shared" si="1570"/>
        <v>8.08</v>
      </c>
      <c r="T137" s="37">
        <f t="shared" ref="T137:V137" si="1624">TRUNC($M137 * S137,2)</f>
        <v>6178.12</v>
      </c>
      <c r="U137" s="36"/>
      <c r="V137" s="38">
        <f t="shared" si="1624"/>
        <v>0</v>
      </c>
      <c r="W137" s="38"/>
      <c r="X137" s="38">
        <f t="shared" ref="X137" si="1625">TRUNC($M137 * W137,2)</f>
        <v>0</v>
      </c>
      <c r="Y137" s="38"/>
      <c r="Z137" s="38">
        <f t="shared" ref="Z137" si="1626">TRUNC($M137 * Y137,2)</f>
        <v>0</v>
      </c>
      <c r="AA137" s="38"/>
      <c r="AB137" s="38">
        <f t="shared" ref="AB137" si="1627">TRUNC($M137 * AA137,2)</f>
        <v>0</v>
      </c>
      <c r="AC137" s="38"/>
      <c r="AD137" s="38">
        <f t="shared" ref="AD137" si="1628">TRUNC($M137 * AC137,2)</f>
        <v>0</v>
      </c>
      <c r="AE137" s="38"/>
      <c r="AF137" s="38">
        <f t="shared" ref="AF137" si="1629">TRUNC($M137 * AE137,2)</f>
        <v>0</v>
      </c>
      <c r="AG137" s="38"/>
      <c r="AH137" s="38">
        <f t="shared" ref="AH137" si="1630">TRUNC($M137 * AG137,2)</f>
        <v>0</v>
      </c>
      <c r="AI137" s="38"/>
      <c r="AJ137" s="38">
        <f t="shared" ref="AJ137" si="1631">TRUNC($M137 * AI137,2)</f>
        <v>0</v>
      </c>
      <c r="AK137" s="38"/>
      <c r="AL137" s="38">
        <f t="shared" ref="AL137" si="1632">TRUNC($M137 * AK137,2)</f>
        <v>0</v>
      </c>
      <c r="AM137" s="38"/>
      <c r="AN137" s="38">
        <f t="shared" ref="AN137" si="1633">TRUNC($M137 * AM137,2)</f>
        <v>0</v>
      </c>
      <c r="AO137" s="38"/>
      <c r="AP137" s="38">
        <f t="shared" ref="AP137" si="1634">TRUNC($M137 * AO137,2)</f>
        <v>0</v>
      </c>
      <c r="AQ137" s="38"/>
      <c r="AR137" s="38">
        <f t="shared" ref="AR137" si="1635">TRUNC($M137 * AQ137,2)</f>
        <v>0</v>
      </c>
      <c r="AS137" s="38"/>
      <c r="AT137" s="38">
        <f t="shared" ref="AT137" si="1636">TRUNC($M137 * AS137,2)</f>
        <v>0</v>
      </c>
      <c r="AU137" s="38"/>
      <c r="AV137" s="38">
        <f t="shared" ref="AV137" si="1637">TRUNC($M137 * AU137,2)</f>
        <v>0</v>
      </c>
      <c r="AW137" s="38"/>
      <c r="AX137" s="37">
        <f t="shared" ref="AX137" si="1638">TRUNC($M137 * AW137,2)</f>
        <v>0</v>
      </c>
      <c r="AY137" s="36">
        <f t="shared" si="1586"/>
        <v>0</v>
      </c>
      <c r="AZ137" s="38">
        <f t="shared" ref="AZ137" si="1639">TRUNC($M137 * AY137,2)</f>
        <v>0</v>
      </c>
      <c r="BA137" s="38">
        <f t="shared" si="1588"/>
        <v>8.08</v>
      </c>
      <c r="BB137" s="37">
        <f t="shared" ref="BB137" si="1640">TRUNC($M137 * BA137,2)</f>
        <v>6178.12</v>
      </c>
    </row>
    <row r="138" spans="1:54" ht="24" customHeight="1" x14ac:dyDescent="0.25">
      <c r="A138" s="31" t="s">
        <v>321</v>
      </c>
      <c r="B138" s="31" t="s">
        <v>322</v>
      </c>
      <c r="C138" s="31" t="s">
        <v>245</v>
      </c>
      <c r="D138" s="31" t="s">
        <v>323</v>
      </c>
      <c r="E138" s="32" t="s">
        <v>26</v>
      </c>
      <c r="F138" s="33">
        <v>2.52</v>
      </c>
      <c r="G138" s="34">
        <v>1280.6600000000001</v>
      </c>
      <c r="H138" s="34">
        <f t="shared" si="1565"/>
        <v>1179.1500000000001</v>
      </c>
      <c r="I138" s="34">
        <f t="shared" si="1566"/>
        <v>2971.45</v>
      </c>
      <c r="J138" s="34">
        <f>(TRUNC(H138 * L14,2) + H138)</f>
        <v>1418.98</v>
      </c>
      <c r="K138" s="34">
        <f t="shared" si="1567"/>
        <v>3575.82</v>
      </c>
      <c r="L138" s="35">
        <f>K138 / L13</f>
        <v>1.2330413793103447E-3</v>
      </c>
      <c r="M138" s="36">
        <v>267.52999999999997</v>
      </c>
      <c r="N138" s="37">
        <f t="shared" si="1568"/>
        <v>674.17</v>
      </c>
      <c r="O138" s="36"/>
      <c r="P138" s="38">
        <f t="shared" si="1569"/>
        <v>0</v>
      </c>
      <c r="Q138" s="38"/>
      <c r="R138" s="38">
        <f t="shared" si="1569"/>
        <v>0</v>
      </c>
      <c r="S138" s="38">
        <f t="shared" si="1570"/>
        <v>2.52</v>
      </c>
      <c r="T138" s="37">
        <f t="shared" ref="T138:V138" si="1641">TRUNC($M138 * S138,2)</f>
        <v>674.17</v>
      </c>
      <c r="U138" s="36"/>
      <c r="V138" s="38">
        <f t="shared" si="1641"/>
        <v>0</v>
      </c>
      <c r="W138" s="38"/>
      <c r="X138" s="38">
        <f t="shared" ref="X138" si="1642">TRUNC($M138 * W138,2)</f>
        <v>0</v>
      </c>
      <c r="Y138" s="38"/>
      <c r="Z138" s="38">
        <f t="shared" ref="Z138" si="1643">TRUNC($M138 * Y138,2)</f>
        <v>0</v>
      </c>
      <c r="AA138" s="38"/>
      <c r="AB138" s="38">
        <f t="shared" ref="AB138" si="1644">TRUNC($M138 * AA138,2)</f>
        <v>0</v>
      </c>
      <c r="AC138" s="38"/>
      <c r="AD138" s="38">
        <f t="shared" ref="AD138" si="1645">TRUNC($M138 * AC138,2)</f>
        <v>0</v>
      </c>
      <c r="AE138" s="38"/>
      <c r="AF138" s="38">
        <f t="shared" ref="AF138" si="1646">TRUNC($M138 * AE138,2)</f>
        <v>0</v>
      </c>
      <c r="AG138" s="38"/>
      <c r="AH138" s="38">
        <f t="shared" ref="AH138" si="1647">TRUNC($M138 * AG138,2)</f>
        <v>0</v>
      </c>
      <c r="AI138" s="38"/>
      <c r="AJ138" s="38">
        <f t="shared" ref="AJ138" si="1648">TRUNC($M138 * AI138,2)</f>
        <v>0</v>
      </c>
      <c r="AK138" s="38"/>
      <c r="AL138" s="38">
        <f t="shared" ref="AL138" si="1649">TRUNC($M138 * AK138,2)</f>
        <v>0</v>
      </c>
      <c r="AM138" s="38"/>
      <c r="AN138" s="38">
        <f t="shared" ref="AN138" si="1650">TRUNC($M138 * AM138,2)</f>
        <v>0</v>
      </c>
      <c r="AO138" s="38"/>
      <c r="AP138" s="38">
        <f t="shared" ref="AP138" si="1651">TRUNC($M138 * AO138,2)</f>
        <v>0</v>
      </c>
      <c r="AQ138" s="38"/>
      <c r="AR138" s="38">
        <f t="shared" ref="AR138" si="1652">TRUNC($M138 * AQ138,2)</f>
        <v>0</v>
      </c>
      <c r="AS138" s="38"/>
      <c r="AT138" s="38">
        <f t="shared" ref="AT138" si="1653">TRUNC($M138 * AS138,2)</f>
        <v>0</v>
      </c>
      <c r="AU138" s="38"/>
      <c r="AV138" s="38">
        <f t="shared" ref="AV138" si="1654">TRUNC($M138 * AU138,2)</f>
        <v>0</v>
      </c>
      <c r="AW138" s="38"/>
      <c r="AX138" s="37">
        <f t="shared" ref="AX138" si="1655">TRUNC($M138 * AW138,2)</f>
        <v>0</v>
      </c>
      <c r="AY138" s="36">
        <f t="shared" si="1586"/>
        <v>0</v>
      </c>
      <c r="AZ138" s="38">
        <f t="shared" ref="AZ138" si="1656">TRUNC($M138 * AY138,2)</f>
        <v>0</v>
      </c>
      <c r="BA138" s="38">
        <f t="shared" si="1588"/>
        <v>2.52</v>
      </c>
      <c r="BB138" s="37">
        <f t="shared" ref="BB138" si="1657">TRUNC($M138 * BA138,2)</f>
        <v>674.17</v>
      </c>
    </row>
    <row r="139" spans="1:54" ht="51.9" customHeight="1" x14ac:dyDescent="0.25">
      <c r="A139" s="31" t="s">
        <v>324</v>
      </c>
      <c r="B139" s="31" t="s">
        <v>325</v>
      </c>
      <c r="C139" s="31" t="s">
        <v>24</v>
      </c>
      <c r="D139" s="31" t="s">
        <v>326</v>
      </c>
      <c r="E139" s="32" t="s">
        <v>26</v>
      </c>
      <c r="F139" s="33">
        <v>9.8000000000000007</v>
      </c>
      <c r="G139" s="34">
        <v>400.59</v>
      </c>
      <c r="H139" s="34">
        <f t="shared" si="1565"/>
        <v>368.83</v>
      </c>
      <c r="I139" s="34">
        <f t="shared" si="1566"/>
        <v>3614.53</v>
      </c>
      <c r="J139" s="34">
        <f>(TRUNC(H139 * L14,2) + H139)</f>
        <v>443.84999999999997</v>
      </c>
      <c r="K139" s="34">
        <f t="shared" si="1567"/>
        <v>4349.7299999999996</v>
      </c>
      <c r="L139" s="35">
        <f>K139 / L13</f>
        <v>1.4999068965517238E-3</v>
      </c>
      <c r="M139" s="36">
        <v>308.08</v>
      </c>
      <c r="N139" s="37">
        <f t="shared" si="1568"/>
        <v>3019.18</v>
      </c>
      <c r="O139" s="36"/>
      <c r="P139" s="38">
        <f t="shared" si="1569"/>
        <v>0</v>
      </c>
      <c r="Q139" s="38"/>
      <c r="R139" s="38">
        <f t="shared" si="1569"/>
        <v>0</v>
      </c>
      <c r="S139" s="38">
        <f t="shared" si="1570"/>
        <v>9.8000000000000007</v>
      </c>
      <c r="T139" s="37">
        <f t="shared" ref="T139:V139" si="1658">TRUNC($M139 * S139,2)</f>
        <v>3019.18</v>
      </c>
      <c r="U139" s="36"/>
      <c r="V139" s="38">
        <f t="shared" si="1658"/>
        <v>0</v>
      </c>
      <c r="W139" s="38"/>
      <c r="X139" s="38">
        <f t="shared" ref="X139" si="1659">TRUNC($M139 * W139,2)</f>
        <v>0</v>
      </c>
      <c r="Y139" s="38"/>
      <c r="Z139" s="38">
        <f t="shared" ref="Z139" si="1660">TRUNC($M139 * Y139,2)</f>
        <v>0</v>
      </c>
      <c r="AA139" s="38"/>
      <c r="AB139" s="38">
        <f t="shared" ref="AB139" si="1661">TRUNC($M139 * AA139,2)</f>
        <v>0</v>
      </c>
      <c r="AC139" s="38"/>
      <c r="AD139" s="38">
        <f t="shared" ref="AD139" si="1662">TRUNC($M139 * AC139,2)</f>
        <v>0</v>
      </c>
      <c r="AE139" s="38"/>
      <c r="AF139" s="38">
        <f t="shared" ref="AF139" si="1663">TRUNC($M139 * AE139,2)</f>
        <v>0</v>
      </c>
      <c r="AG139" s="38"/>
      <c r="AH139" s="38">
        <f t="shared" ref="AH139" si="1664">TRUNC($M139 * AG139,2)</f>
        <v>0</v>
      </c>
      <c r="AI139" s="38"/>
      <c r="AJ139" s="38">
        <f t="shared" ref="AJ139" si="1665">TRUNC($M139 * AI139,2)</f>
        <v>0</v>
      </c>
      <c r="AK139" s="38"/>
      <c r="AL139" s="38">
        <f t="shared" ref="AL139" si="1666">TRUNC($M139 * AK139,2)</f>
        <v>0</v>
      </c>
      <c r="AM139" s="38"/>
      <c r="AN139" s="38">
        <f t="shared" ref="AN139" si="1667">TRUNC($M139 * AM139,2)</f>
        <v>0</v>
      </c>
      <c r="AO139" s="38"/>
      <c r="AP139" s="38">
        <f t="shared" ref="AP139" si="1668">TRUNC($M139 * AO139,2)</f>
        <v>0</v>
      </c>
      <c r="AQ139" s="38"/>
      <c r="AR139" s="38">
        <f t="shared" ref="AR139" si="1669">TRUNC($M139 * AQ139,2)</f>
        <v>0</v>
      </c>
      <c r="AS139" s="38"/>
      <c r="AT139" s="38">
        <f t="shared" ref="AT139" si="1670">TRUNC($M139 * AS139,2)</f>
        <v>0</v>
      </c>
      <c r="AU139" s="38"/>
      <c r="AV139" s="38">
        <f t="shared" ref="AV139" si="1671">TRUNC($M139 * AU139,2)</f>
        <v>0</v>
      </c>
      <c r="AW139" s="38"/>
      <c r="AX139" s="37">
        <f t="shared" ref="AX139" si="1672">TRUNC($M139 * AW139,2)</f>
        <v>0</v>
      </c>
      <c r="AY139" s="36">
        <f t="shared" si="1586"/>
        <v>0</v>
      </c>
      <c r="AZ139" s="38">
        <f t="shared" ref="AZ139" si="1673">TRUNC($M139 * AY139,2)</f>
        <v>0</v>
      </c>
      <c r="BA139" s="38">
        <f t="shared" si="1588"/>
        <v>9.8000000000000007</v>
      </c>
      <c r="BB139" s="37">
        <f t="shared" ref="BB139" si="1674">TRUNC($M139 * BA139,2)</f>
        <v>3019.18</v>
      </c>
    </row>
    <row r="140" spans="1:54" ht="24" customHeight="1" x14ac:dyDescent="0.25">
      <c r="A140" s="4" t="s">
        <v>327</v>
      </c>
      <c r="B140" s="4" t="s">
        <v>12</v>
      </c>
      <c r="C140" s="4"/>
      <c r="D140" s="4" t="s">
        <v>328</v>
      </c>
      <c r="E140" s="5"/>
      <c r="F140" s="14"/>
      <c r="G140" s="6"/>
      <c r="H140" s="6"/>
      <c r="I140" s="7">
        <f>SUM(I141:I143)</f>
        <v>34127.17</v>
      </c>
      <c r="J140" s="7"/>
      <c r="K140" s="7">
        <f>SUM(K141:K143)</f>
        <v>41068.340000000004</v>
      </c>
      <c r="L140" s="22">
        <f>K140 / L13</f>
        <v>1.4161496551724138E-2</v>
      </c>
      <c r="M140" s="25"/>
      <c r="N140" s="26">
        <f>SUM(N141:N143)</f>
        <v>26944.63</v>
      </c>
      <c r="O140" s="25"/>
      <c r="P140" s="30">
        <f>SUM(P141:P143)</f>
        <v>0</v>
      </c>
      <c r="Q140" s="30"/>
      <c r="R140" s="30">
        <f>SUM(R141:R143)</f>
        <v>0</v>
      </c>
      <c r="S140" s="30"/>
      <c r="T140" s="26">
        <f>SUM(T141:T143)</f>
        <v>26944.63</v>
      </c>
      <c r="U140" s="25"/>
      <c r="V140" s="30">
        <f>SUM(V141:V143)</f>
        <v>0</v>
      </c>
      <c r="W140" s="30"/>
      <c r="X140" s="30">
        <f>SUM(X141:X143)</f>
        <v>0</v>
      </c>
      <c r="Y140" s="30"/>
      <c r="Z140" s="30">
        <f>SUM(Z141:Z143)</f>
        <v>0</v>
      </c>
      <c r="AA140" s="30"/>
      <c r="AB140" s="30">
        <f>SUM(AB141:AB143)</f>
        <v>0</v>
      </c>
      <c r="AC140" s="30"/>
      <c r="AD140" s="30">
        <f>SUM(AD141:AD143)</f>
        <v>0</v>
      </c>
      <c r="AE140" s="30"/>
      <c r="AF140" s="30">
        <f>SUM(AF141:AF143)</f>
        <v>0</v>
      </c>
      <c r="AG140" s="30"/>
      <c r="AH140" s="30">
        <f>SUM(AH141:AH143)</f>
        <v>0</v>
      </c>
      <c r="AI140" s="30"/>
      <c r="AJ140" s="30">
        <f>SUM(AJ141:AJ143)</f>
        <v>0</v>
      </c>
      <c r="AK140" s="30"/>
      <c r="AL140" s="30">
        <f>SUM(AL141:AL143)</f>
        <v>0</v>
      </c>
      <c r="AM140" s="30"/>
      <c r="AN140" s="30">
        <f>SUM(AN141:AN143)</f>
        <v>0</v>
      </c>
      <c r="AO140" s="30"/>
      <c r="AP140" s="30">
        <f>SUM(AP141:AP143)</f>
        <v>0</v>
      </c>
      <c r="AQ140" s="30"/>
      <c r="AR140" s="30">
        <f>SUM(AR141:AR143)</f>
        <v>0</v>
      </c>
      <c r="AS140" s="30"/>
      <c r="AT140" s="30">
        <f>SUM(AT141:AT143)</f>
        <v>0</v>
      </c>
      <c r="AU140" s="30"/>
      <c r="AV140" s="30">
        <f>SUM(AV141:AV143)</f>
        <v>0</v>
      </c>
      <c r="AW140" s="30"/>
      <c r="AX140" s="26">
        <f>SUM(AX141:AX143)</f>
        <v>0</v>
      </c>
      <c r="AY140" s="25"/>
      <c r="AZ140" s="30">
        <f>SUM(AZ141:AZ143)</f>
        <v>0</v>
      </c>
      <c r="BA140" s="30"/>
      <c r="BB140" s="26">
        <f>SUM(BB141:BB143)</f>
        <v>26944.63</v>
      </c>
    </row>
    <row r="141" spans="1:54" ht="39" customHeight="1" x14ac:dyDescent="0.25">
      <c r="A141" s="31" t="s">
        <v>329</v>
      </c>
      <c r="B141" s="31" t="s">
        <v>330</v>
      </c>
      <c r="C141" s="31" t="s">
        <v>34</v>
      </c>
      <c r="D141" s="31" t="s">
        <v>331</v>
      </c>
      <c r="E141" s="32" t="s">
        <v>26</v>
      </c>
      <c r="F141" s="33">
        <v>28.52</v>
      </c>
      <c r="G141" s="34">
        <v>682.66</v>
      </c>
      <c r="H141" s="34">
        <f t="shared" si="1565"/>
        <v>628.54999999999995</v>
      </c>
      <c r="I141" s="34">
        <f t="shared" si="1566"/>
        <v>17926.240000000002</v>
      </c>
      <c r="J141" s="34">
        <f>(TRUNC(H141 * L14,2) + H141)</f>
        <v>756.39</v>
      </c>
      <c r="K141" s="34">
        <f>TRUNC(F141 * J141,2)</f>
        <v>21572.240000000002</v>
      </c>
      <c r="L141" s="35">
        <f>K141 / L13</f>
        <v>7.4387034482758614E-3</v>
      </c>
      <c r="M141" s="36">
        <v>499.65</v>
      </c>
      <c r="N141" s="37">
        <f t="shared" si="1568"/>
        <v>14250.01</v>
      </c>
      <c r="O141" s="36"/>
      <c r="P141" s="38">
        <f t="shared" si="1569"/>
        <v>0</v>
      </c>
      <c r="Q141" s="38"/>
      <c r="R141" s="38">
        <f t="shared" si="1569"/>
        <v>0</v>
      </c>
      <c r="S141" s="38">
        <f t="shared" si="1570"/>
        <v>28.52</v>
      </c>
      <c r="T141" s="37">
        <f t="shared" ref="T141:V141" si="1675">TRUNC($M141 * S141,2)</f>
        <v>14250.01</v>
      </c>
      <c r="U141" s="36"/>
      <c r="V141" s="38">
        <f t="shared" si="1675"/>
        <v>0</v>
      </c>
      <c r="W141" s="38"/>
      <c r="X141" s="38">
        <f t="shared" ref="X141" si="1676">TRUNC($M141 * W141,2)</f>
        <v>0</v>
      </c>
      <c r="Y141" s="38"/>
      <c r="Z141" s="38">
        <f t="shared" ref="Z141" si="1677">TRUNC($M141 * Y141,2)</f>
        <v>0</v>
      </c>
      <c r="AA141" s="38"/>
      <c r="AB141" s="38">
        <f t="shared" ref="AB141" si="1678">TRUNC($M141 * AA141,2)</f>
        <v>0</v>
      </c>
      <c r="AC141" s="38"/>
      <c r="AD141" s="38">
        <f t="shared" ref="AD141" si="1679">TRUNC($M141 * AC141,2)</f>
        <v>0</v>
      </c>
      <c r="AE141" s="38"/>
      <c r="AF141" s="38">
        <f t="shared" ref="AF141" si="1680">TRUNC($M141 * AE141,2)</f>
        <v>0</v>
      </c>
      <c r="AG141" s="38"/>
      <c r="AH141" s="38">
        <f t="shared" ref="AH141" si="1681">TRUNC($M141 * AG141,2)</f>
        <v>0</v>
      </c>
      <c r="AI141" s="38"/>
      <c r="AJ141" s="38">
        <f t="shared" ref="AJ141" si="1682">TRUNC($M141 * AI141,2)</f>
        <v>0</v>
      </c>
      <c r="AK141" s="38"/>
      <c r="AL141" s="38">
        <f t="shared" ref="AL141" si="1683">TRUNC($M141 * AK141,2)</f>
        <v>0</v>
      </c>
      <c r="AM141" s="38"/>
      <c r="AN141" s="38">
        <f t="shared" ref="AN141" si="1684">TRUNC($M141 * AM141,2)</f>
        <v>0</v>
      </c>
      <c r="AO141" s="38"/>
      <c r="AP141" s="38">
        <f t="shared" ref="AP141" si="1685">TRUNC($M141 * AO141,2)</f>
        <v>0</v>
      </c>
      <c r="AQ141" s="38"/>
      <c r="AR141" s="38">
        <f t="shared" ref="AR141" si="1686">TRUNC($M141 * AQ141,2)</f>
        <v>0</v>
      </c>
      <c r="AS141" s="38"/>
      <c r="AT141" s="38">
        <f t="shared" ref="AT141" si="1687">TRUNC($M141 * AS141,2)</f>
        <v>0</v>
      </c>
      <c r="AU141" s="38"/>
      <c r="AV141" s="38">
        <f t="shared" ref="AV141" si="1688">TRUNC($M141 * AU141,2)</f>
        <v>0</v>
      </c>
      <c r="AW141" s="38"/>
      <c r="AX141" s="37">
        <f t="shared" ref="AX141" si="1689">TRUNC($M141 * AW141,2)</f>
        <v>0</v>
      </c>
      <c r="AY141" s="36">
        <f t="shared" si="1586"/>
        <v>0</v>
      </c>
      <c r="AZ141" s="38">
        <f t="shared" ref="AZ141" si="1690">TRUNC($M141 * AY141,2)</f>
        <v>0</v>
      </c>
      <c r="BA141" s="38">
        <f t="shared" si="1588"/>
        <v>28.52</v>
      </c>
      <c r="BB141" s="37">
        <f t="shared" ref="BB141" si="1691">TRUNC($M141 * BA141,2)</f>
        <v>14250.01</v>
      </c>
    </row>
    <row r="142" spans="1:54" ht="51.9" customHeight="1" x14ac:dyDescent="0.25">
      <c r="A142" s="31" t="s">
        <v>332</v>
      </c>
      <c r="B142" s="31" t="s">
        <v>333</v>
      </c>
      <c r="C142" s="31" t="s">
        <v>34</v>
      </c>
      <c r="D142" s="31" t="s">
        <v>334</v>
      </c>
      <c r="E142" s="32" t="s">
        <v>26</v>
      </c>
      <c r="F142" s="33">
        <v>39.93</v>
      </c>
      <c r="G142" s="34">
        <v>401.66</v>
      </c>
      <c r="H142" s="34">
        <f t="shared" si="1565"/>
        <v>369.82</v>
      </c>
      <c r="I142" s="34">
        <f t="shared" si="1566"/>
        <v>14766.91</v>
      </c>
      <c r="J142" s="34">
        <f>(TRUNC(H142 * L14,2) + H142)</f>
        <v>445.03999999999996</v>
      </c>
      <c r="K142" s="34">
        <f>TRUNC(F142 * J142,2)</f>
        <v>17770.439999999999</v>
      </c>
      <c r="L142" s="35">
        <f>K142 / L13</f>
        <v>6.1277379310344816E-3</v>
      </c>
      <c r="M142" s="36">
        <v>289.74</v>
      </c>
      <c r="N142" s="37">
        <f t="shared" si="1568"/>
        <v>11569.31</v>
      </c>
      <c r="O142" s="36"/>
      <c r="P142" s="38">
        <f t="shared" si="1569"/>
        <v>0</v>
      </c>
      <c r="Q142" s="38"/>
      <c r="R142" s="38">
        <f t="shared" si="1569"/>
        <v>0</v>
      </c>
      <c r="S142" s="38">
        <f t="shared" si="1570"/>
        <v>39.93</v>
      </c>
      <c r="T142" s="37">
        <f t="shared" ref="T142:V142" si="1692">TRUNC($M142 * S142,2)</f>
        <v>11569.31</v>
      </c>
      <c r="U142" s="36"/>
      <c r="V142" s="38">
        <f t="shared" si="1692"/>
        <v>0</v>
      </c>
      <c r="W142" s="38"/>
      <c r="X142" s="38">
        <f t="shared" ref="X142" si="1693">TRUNC($M142 * W142,2)</f>
        <v>0</v>
      </c>
      <c r="Y142" s="38"/>
      <c r="Z142" s="38">
        <f t="shared" ref="Z142" si="1694">TRUNC($M142 * Y142,2)</f>
        <v>0</v>
      </c>
      <c r="AA142" s="38"/>
      <c r="AB142" s="38">
        <f t="shared" ref="AB142" si="1695">TRUNC($M142 * AA142,2)</f>
        <v>0</v>
      </c>
      <c r="AC142" s="38"/>
      <c r="AD142" s="38">
        <f t="shared" ref="AD142" si="1696">TRUNC($M142 * AC142,2)</f>
        <v>0</v>
      </c>
      <c r="AE142" s="38"/>
      <c r="AF142" s="38">
        <f t="shared" ref="AF142" si="1697">TRUNC($M142 * AE142,2)</f>
        <v>0</v>
      </c>
      <c r="AG142" s="38"/>
      <c r="AH142" s="38">
        <f t="shared" ref="AH142" si="1698">TRUNC($M142 * AG142,2)</f>
        <v>0</v>
      </c>
      <c r="AI142" s="38"/>
      <c r="AJ142" s="38">
        <f t="shared" ref="AJ142" si="1699">TRUNC($M142 * AI142,2)</f>
        <v>0</v>
      </c>
      <c r="AK142" s="38"/>
      <c r="AL142" s="38">
        <f t="shared" ref="AL142" si="1700">TRUNC($M142 * AK142,2)</f>
        <v>0</v>
      </c>
      <c r="AM142" s="38"/>
      <c r="AN142" s="38">
        <f t="shared" ref="AN142" si="1701">TRUNC($M142 * AM142,2)</f>
        <v>0</v>
      </c>
      <c r="AO142" s="38"/>
      <c r="AP142" s="38">
        <f t="shared" ref="AP142" si="1702">TRUNC($M142 * AO142,2)</f>
        <v>0</v>
      </c>
      <c r="AQ142" s="38"/>
      <c r="AR142" s="38">
        <f t="shared" ref="AR142" si="1703">TRUNC($M142 * AQ142,2)</f>
        <v>0</v>
      </c>
      <c r="AS142" s="38"/>
      <c r="AT142" s="38">
        <f t="shared" ref="AT142" si="1704">TRUNC($M142 * AS142,2)</f>
        <v>0</v>
      </c>
      <c r="AU142" s="38"/>
      <c r="AV142" s="38">
        <f t="shared" ref="AV142" si="1705">TRUNC($M142 * AU142,2)</f>
        <v>0</v>
      </c>
      <c r="AW142" s="38"/>
      <c r="AX142" s="37">
        <f t="shared" ref="AX142" si="1706">TRUNC($M142 * AW142,2)</f>
        <v>0</v>
      </c>
      <c r="AY142" s="36">
        <f t="shared" si="1586"/>
        <v>0</v>
      </c>
      <c r="AZ142" s="38">
        <f t="shared" ref="AZ142" si="1707">TRUNC($M142 * AY142,2)</f>
        <v>0</v>
      </c>
      <c r="BA142" s="38">
        <f t="shared" si="1588"/>
        <v>39.93</v>
      </c>
      <c r="BB142" s="37">
        <f t="shared" ref="BB142" si="1708">TRUNC($M142 * BA142,2)</f>
        <v>11569.31</v>
      </c>
    </row>
    <row r="143" spans="1:54" ht="51.9" customHeight="1" x14ac:dyDescent="0.25">
      <c r="A143" s="31" t="s">
        <v>335</v>
      </c>
      <c r="B143" s="31" t="s">
        <v>336</v>
      </c>
      <c r="C143" s="31" t="s">
        <v>34</v>
      </c>
      <c r="D143" s="31" t="s">
        <v>337</v>
      </c>
      <c r="E143" s="32" t="s">
        <v>26</v>
      </c>
      <c r="F143" s="33">
        <v>4.32</v>
      </c>
      <c r="G143" s="34">
        <v>360.53</v>
      </c>
      <c r="H143" s="34">
        <f t="shared" si="1565"/>
        <v>331.95</v>
      </c>
      <c r="I143" s="34">
        <f t="shared" si="1566"/>
        <v>1434.02</v>
      </c>
      <c r="J143" s="34">
        <f>(TRUNC(H143 * L14,2) + H143)</f>
        <v>399.46</v>
      </c>
      <c r="K143" s="34">
        <f>TRUNC(F143 * J143,2)</f>
        <v>1725.66</v>
      </c>
      <c r="L143" s="35">
        <f>K143 / L13</f>
        <v>5.9505517241379303E-4</v>
      </c>
      <c r="M143" s="36">
        <v>260.49</v>
      </c>
      <c r="N143" s="37">
        <f t="shared" si="1568"/>
        <v>1125.31</v>
      </c>
      <c r="O143" s="36"/>
      <c r="P143" s="38">
        <f t="shared" si="1569"/>
        <v>0</v>
      </c>
      <c r="Q143" s="38"/>
      <c r="R143" s="38">
        <f t="shared" si="1569"/>
        <v>0</v>
      </c>
      <c r="S143" s="38">
        <f t="shared" si="1570"/>
        <v>4.32</v>
      </c>
      <c r="T143" s="37">
        <f t="shared" ref="T143:V143" si="1709">TRUNC($M143 * S143,2)</f>
        <v>1125.31</v>
      </c>
      <c r="U143" s="36"/>
      <c r="V143" s="38">
        <f t="shared" si="1709"/>
        <v>0</v>
      </c>
      <c r="W143" s="38"/>
      <c r="X143" s="38">
        <f t="shared" ref="X143" si="1710">TRUNC($M143 * W143,2)</f>
        <v>0</v>
      </c>
      <c r="Y143" s="38"/>
      <c r="Z143" s="38">
        <f t="shared" ref="Z143" si="1711">TRUNC($M143 * Y143,2)</f>
        <v>0</v>
      </c>
      <c r="AA143" s="38"/>
      <c r="AB143" s="38">
        <f t="shared" ref="AB143" si="1712">TRUNC($M143 * AA143,2)</f>
        <v>0</v>
      </c>
      <c r="AC143" s="38"/>
      <c r="AD143" s="38">
        <f t="shared" ref="AD143" si="1713">TRUNC($M143 * AC143,2)</f>
        <v>0</v>
      </c>
      <c r="AE143" s="38"/>
      <c r="AF143" s="38">
        <f t="shared" ref="AF143" si="1714">TRUNC($M143 * AE143,2)</f>
        <v>0</v>
      </c>
      <c r="AG143" s="38"/>
      <c r="AH143" s="38">
        <f t="shared" ref="AH143" si="1715">TRUNC($M143 * AG143,2)</f>
        <v>0</v>
      </c>
      <c r="AI143" s="38"/>
      <c r="AJ143" s="38">
        <f t="shared" ref="AJ143" si="1716">TRUNC($M143 * AI143,2)</f>
        <v>0</v>
      </c>
      <c r="AK143" s="38"/>
      <c r="AL143" s="38">
        <f t="shared" ref="AL143" si="1717">TRUNC($M143 * AK143,2)</f>
        <v>0</v>
      </c>
      <c r="AM143" s="38"/>
      <c r="AN143" s="38">
        <f t="shared" ref="AN143" si="1718">TRUNC($M143 * AM143,2)</f>
        <v>0</v>
      </c>
      <c r="AO143" s="38"/>
      <c r="AP143" s="38">
        <f t="shared" ref="AP143" si="1719">TRUNC($M143 * AO143,2)</f>
        <v>0</v>
      </c>
      <c r="AQ143" s="38"/>
      <c r="AR143" s="38">
        <f t="shared" ref="AR143" si="1720">TRUNC($M143 * AQ143,2)</f>
        <v>0</v>
      </c>
      <c r="AS143" s="38"/>
      <c r="AT143" s="38">
        <f t="shared" ref="AT143" si="1721">TRUNC($M143 * AS143,2)</f>
        <v>0</v>
      </c>
      <c r="AU143" s="38"/>
      <c r="AV143" s="38">
        <f t="shared" ref="AV143" si="1722">TRUNC($M143 * AU143,2)</f>
        <v>0</v>
      </c>
      <c r="AW143" s="38"/>
      <c r="AX143" s="37">
        <f t="shared" ref="AX143" si="1723">TRUNC($M143 * AW143,2)</f>
        <v>0</v>
      </c>
      <c r="AY143" s="36">
        <f t="shared" si="1586"/>
        <v>0</v>
      </c>
      <c r="AZ143" s="38">
        <f t="shared" ref="AZ143" si="1724">TRUNC($M143 * AY143,2)</f>
        <v>0</v>
      </c>
      <c r="BA143" s="38">
        <f t="shared" si="1588"/>
        <v>4.32</v>
      </c>
      <c r="BB143" s="37">
        <f t="shared" ref="BB143" si="1725">TRUNC($M143 * BA143,2)</f>
        <v>1125.31</v>
      </c>
    </row>
    <row r="144" spans="1:54" ht="24" customHeight="1" x14ac:dyDescent="0.25">
      <c r="A144" s="4" t="s">
        <v>338</v>
      </c>
      <c r="B144" s="4" t="s">
        <v>12</v>
      </c>
      <c r="C144" s="4"/>
      <c r="D144" s="4" t="s">
        <v>339</v>
      </c>
      <c r="E144" s="5"/>
      <c r="F144" s="14"/>
      <c r="G144" s="6"/>
      <c r="H144" s="6"/>
      <c r="I144" s="7">
        <f>I145</f>
        <v>1884.51</v>
      </c>
      <c r="J144" s="7"/>
      <c r="K144" s="7">
        <f>K145</f>
        <v>2267.81</v>
      </c>
      <c r="L144" s="22">
        <f>K144 / L13</f>
        <v>7.8200344827586193E-4</v>
      </c>
      <c r="M144" s="25"/>
      <c r="N144" s="26">
        <f>N145</f>
        <v>1584.16</v>
      </c>
      <c r="O144" s="25"/>
      <c r="P144" s="30">
        <f>P145</f>
        <v>0</v>
      </c>
      <c r="Q144" s="30"/>
      <c r="R144" s="30">
        <f>R145</f>
        <v>0</v>
      </c>
      <c r="S144" s="30"/>
      <c r="T144" s="26">
        <f>T145</f>
        <v>1584.16</v>
      </c>
      <c r="U144" s="25"/>
      <c r="V144" s="30">
        <f>V145</f>
        <v>0</v>
      </c>
      <c r="W144" s="30"/>
      <c r="X144" s="30">
        <f>X145</f>
        <v>0</v>
      </c>
      <c r="Y144" s="30"/>
      <c r="Z144" s="30">
        <f>Z145</f>
        <v>0</v>
      </c>
      <c r="AA144" s="30"/>
      <c r="AB144" s="30">
        <f>AB145</f>
        <v>0</v>
      </c>
      <c r="AC144" s="30"/>
      <c r="AD144" s="30">
        <f>AD145</f>
        <v>0</v>
      </c>
      <c r="AE144" s="30"/>
      <c r="AF144" s="30">
        <f>AF145</f>
        <v>0</v>
      </c>
      <c r="AG144" s="30"/>
      <c r="AH144" s="30">
        <f>AH145</f>
        <v>0</v>
      </c>
      <c r="AI144" s="30"/>
      <c r="AJ144" s="30">
        <f>AJ145</f>
        <v>0</v>
      </c>
      <c r="AK144" s="30"/>
      <c r="AL144" s="30">
        <f>AL145</f>
        <v>0</v>
      </c>
      <c r="AM144" s="30"/>
      <c r="AN144" s="30">
        <f>AN145</f>
        <v>0</v>
      </c>
      <c r="AO144" s="30"/>
      <c r="AP144" s="30">
        <f>AP145</f>
        <v>0</v>
      </c>
      <c r="AQ144" s="30"/>
      <c r="AR144" s="30">
        <f>AR145</f>
        <v>0</v>
      </c>
      <c r="AS144" s="30"/>
      <c r="AT144" s="30">
        <f>AT145</f>
        <v>0</v>
      </c>
      <c r="AU144" s="30"/>
      <c r="AV144" s="30">
        <f>AV145</f>
        <v>0</v>
      </c>
      <c r="AW144" s="30"/>
      <c r="AX144" s="26">
        <f>AX145</f>
        <v>0</v>
      </c>
      <c r="AY144" s="25"/>
      <c r="AZ144" s="30">
        <f>AZ145</f>
        <v>0</v>
      </c>
      <c r="BA144" s="30"/>
      <c r="BB144" s="26">
        <f>BB145</f>
        <v>1584.16</v>
      </c>
    </row>
    <row r="145" spans="1:54" ht="24" customHeight="1" x14ac:dyDescent="0.25">
      <c r="A145" s="4" t="s">
        <v>340</v>
      </c>
      <c r="B145" s="4" t="s">
        <v>12</v>
      </c>
      <c r="C145" s="4"/>
      <c r="D145" s="4" t="s">
        <v>341</v>
      </c>
      <c r="E145" s="5"/>
      <c r="F145" s="14"/>
      <c r="G145" s="6"/>
      <c r="H145" s="6"/>
      <c r="I145" s="7">
        <f>SUM(I146)</f>
        <v>1884.51</v>
      </c>
      <c r="J145" s="7"/>
      <c r="K145" s="7">
        <f>SUM(K146)</f>
        <v>2267.81</v>
      </c>
      <c r="L145" s="22">
        <f>K145 / L13</f>
        <v>7.8200344827586193E-4</v>
      </c>
      <c r="M145" s="25"/>
      <c r="N145" s="26">
        <f>SUM(N146)</f>
        <v>1584.16</v>
      </c>
      <c r="O145" s="25"/>
      <c r="P145" s="30">
        <f>SUM(P146)</f>
        <v>0</v>
      </c>
      <c r="Q145" s="30"/>
      <c r="R145" s="30">
        <f>SUM(R146)</f>
        <v>0</v>
      </c>
      <c r="S145" s="30"/>
      <c r="T145" s="26">
        <f>SUM(T146)</f>
        <v>1584.16</v>
      </c>
      <c r="U145" s="25"/>
      <c r="V145" s="30">
        <f>SUM(V146)</f>
        <v>0</v>
      </c>
      <c r="W145" s="30"/>
      <c r="X145" s="30">
        <f>SUM(X146)</f>
        <v>0</v>
      </c>
      <c r="Y145" s="30"/>
      <c r="Z145" s="30">
        <f>SUM(Z146)</f>
        <v>0</v>
      </c>
      <c r="AA145" s="30"/>
      <c r="AB145" s="30">
        <f>SUM(AB146)</f>
        <v>0</v>
      </c>
      <c r="AC145" s="30"/>
      <c r="AD145" s="30">
        <f>SUM(AD146)</f>
        <v>0</v>
      </c>
      <c r="AE145" s="30"/>
      <c r="AF145" s="30">
        <f>SUM(AF146)</f>
        <v>0</v>
      </c>
      <c r="AG145" s="30"/>
      <c r="AH145" s="30">
        <f>SUM(AH146)</f>
        <v>0</v>
      </c>
      <c r="AI145" s="30"/>
      <c r="AJ145" s="30">
        <f>SUM(AJ146)</f>
        <v>0</v>
      </c>
      <c r="AK145" s="30"/>
      <c r="AL145" s="30">
        <f>SUM(AL146)</f>
        <v>0</v>
      </c>
      <c r="AM145" s="30"/>
      <c r="AN145" s="30">
        <f>SUM(AN146)</f>
        <v>0</v>
      </c>
      <c r="AO145" s="30"/>
      <c r="AP145" s="30">
        <f>SUM(AP146)</f>
        <v>0</v>
      </c>
      <c r="AQ145" s="30"/>
      <c r="AR145" s="30">
        <f>SUM(AR146)</f>
        <v>0</v>
      </c>
      <c r="AS145" s="30"/>
      <c r="AT145" s="30">
        <f>SUM(AT146)</f>
        <v>0</v>
      </c>
      <c r="AU145" s="30"/>
      <c r="AV145" s="30">
        <f>SUM(AV146)</f>
        <v>0</v>
      </c>
      <c r="AW145" s="30"/>
      <c r="AX145" s="26">
        <f>SUM(AX146)</f>
        <v>0</v>
      </c>
      <c r="AY145" s="25"/>
      <c r="AZ145" s="30">
        <f>SUM(AZ146)</f>
        <v>0</v>
      </c>
      <c r="BA145" s="30"/>
      <c r="BB145" s="26">
        <f>SUM(BB146)</f>
        <v>1584.16</v>
      </c>
    </row>
    <row r="146" spans="1:54" ht="65.099999999999994" customHeight="1" x14ac:dyDescent="0.25">
      <c r="A146" s="31" t="s">
        <v>342</v>
      </c>
      <c r="B146" s="31" t="s">
        <v>343</v>
      </c>
      <c r="C146" s="31" t="s">
        <v>24</v>
      </c>
      <c r="D146" s="31" t="s">
        <v>344</v>
      </c>
      <c r="E146" s="32" t="s">
        <v>26</v>
      </c>
      <c r="F146" s="33">
        <v>3.15</v>
      </c>
      <c r="G146" s="34">
        <v>649.77</v>
      </c>
      <c r="H146" s="34">
        <f t="shared" ref="H146:H154" si="1726">TRUNC(G146*$L$1,2)</f>
        <v>598.26</v>
      </c>
      <c r="I146" s="34">
        <f t="shared" ref="I146:I154" si="1727">TRUNC(F146 * H146,2)</f>
        <v>1884.51</v>
      </c>
      <c r="J146" s="34">
        <f>(TRUNC(H146 * L14,2) + H146)</f>
        <v>719.94</v>
      </c>
      <c r="K146" s="34">
        <f>TRUNC(F146 * J146,2)</f>
        <v>2267.81</v>
      </c>
      <c r="L146" s="35">
        <f>K146 / L13</f>
        <v>7.8200344827586193E-4</v>
      </c>
      <c r="M146" s="36">
        <v>502.91</v>
      </c>
      <c r="N146" s="37">
        <f t="shared" ref="N146:N154" si="1728">TRUNC(F146 * M146,2)</f>
        <v>1584.16</v>
      </c>
      <c r="O146" s="36"/>
      <c r="P146" s="38">
        <f t="shared" ref="P146:R154" si="1729">TRUNC($M146 * O146,2)</f>
        <v>0</v>
      </c>
      <c r="Q146" s="38"/>
      <c r="R146" s="38">
        <f t="shared" si="1729"/>
        <v>0</v>
      </c>
      <c r="S146" s="38">
        <f t="shared" ref="S146:S154" si="1730">F146+O146-Q146</f>
        <v>3.15</v>
      </c>
      <c r="T146" s="37">
        <f t="shared" ref="T146:V146" si="1731">TRUNC($M146 * S146,2)</f>
        <v>1584.16</v>
      </c>
      <c r="U146" s="36"/>
      <c r="V146" s="38">
        <f t="shared" si="1731"/>
        <v>0</v>
      </c>
      <c r="W146" s="38"/>
      <c r="X146" s="38">
        <f t="shared" ref="X146" si="1732">TRUNC($M146 * W146,2)</f>
        <v>0</v>
      </c>
      <c r="Y146" s="38"/>
      <c r="Z146" s="38">
        <f t="shared" ref="Z146" si="1733">TRUNC($M146 * Y146,2)</f>
        <v>0</v>
      </c>
      <c r="AA146" s="38"/>
      <c r="AB146" s="38">
        <f t="shared" ref="AB146" si="1734">TRUNC($M146 * AA146,2)</f>
        <v>0</v>
      </c>
      <c r="AC146" s="38"/>
      <c r="AD146" s="38">
        <f t="shared" ref="AD146" si="1735">TRUNC($M146 * AC146,2)</f>
        <v>0</v>
      </c>
      <c r="AE146" s="38"/>
      <c r="AF146" s="38">
        <f t="shared" ref="AF146" si="1736">TRUNC($M146 * AE146,2)</f>
        <v>0</v>
      </c>
      <c r="AG146" s="38"/>
      <c r="AH146" s="38">
        <f t="shared" ref="AH146" si="1737">TRUNC($M146 * AG146,2)</f>
        <v>0</v>
      </c>
      <c r="AI146" s="38"/>
      <c r="AJ146" s="38">
        <f t="shared" ref="AJ146" si="1738">TRUNC($M146 * AI146,2)</f>
        <v>0</v>
      </c>
      <c r="AK146" s="38"/>
      <c r="AL146" s="38">
        <f t="shared" ref="AL146" si="1739">TRUNC($M146 * AK146,2)</f>
        <v>0</v>
      </c>
      <c r="AM146" s="38"/>
      <c r="AN146" s="38">
        <f t="shared" ref="AN146" si="1740">TRUNC($M146 * AM146,2)</f>
        <v>0</v>
      </c>
      <c r="AO146" s="38"/>
      <c r="AP146" s="38">
        <f t="shared" ref="AP146" si="1741">TRUNC($M146 * AO146,2)</f>
        <v>0</v>
      </c>
      <c r="AQ146" s="38"/>
      <c r="AR146" s="38">
        <f t="shared" ref="AR146" si="1742">TRUNC($M146 * AQ146,2)</f>
        <v>0</v>
      </c>
      <c r="AS146" s="38"/>
      <c r="AT146" s="38">
        <f t="shared" ref="AT146" si="1743">TRUNC($M146 * AS146,2)</f>
        <v>0</v>
      </c>
      <c r="AU146" s="38"/>
      <c r="AV146" s="38">
        <f t="shared" ref="AV146" si="1744">TRUNC($M146 * AU146,2)</f>
        <v>0</v>
      </c>
      <c r="AW146" s="38"/>
      <c r="AX146" s="37">
        <f t="shared" ref="AX146" si="1745">TRUNC($M146 * AW146,2)</f>
        <v>0</v>
      </c>
      <c r="AY146" s="36">
        <f t="shared" ref="AY146:AY154" si="1746">SUM(U146,W146,Y146,AA146,AC146,AE146,AG146,AI146,AK146,AM146,AO146,AQ146,AS146,AU146,AW146)</f>
        <v>0</v>
      </c>
      <c r="AZ146" s="38">
        <f t="shared" ref="AZ146" si="1747">TRUNC($M146 * AY146,2)</f>
        <v>0</v>
      </c>
      <c r="BA146" s="38">
        <f t="shared" ref="BA146:BA154" si="1748">S146-AY146</f>
        <v>3.15</v>
      </c>
      <c r="BB146" s="37">
        <f t="shared" ref="BB146" si="1749">TRUNC($M146 * BA146,2)</f>
        <v>1584.16</v>
      </c>
    </row>
    <row r="147" spans="1:54" ht="24" customHeight="1" x14ac:dyDescent="0.25">
      <c r="A147" s="4" t="s">
        <v>345</v>
      </c>
      <c r="B147" s="4" t="s">
        <v>12</v>
      </c>
      <c r="C147" s="4"/>
      <c r="D147" s="4" t="s">
        <v>346</v>
      </c>
      <c r="E147" s="5"/>
      <c r="F147" s="14"/>
      <c r="G147" s="6"/>
      <c r="H147" s="6"/>
      <c r="I147" s="7">
        <f>SUM(I148:I154)</f>
        <v>43454.73000000001</v>
      </c>
      <c r="J147" s="7"/>
      <c r="K147" s="7">
        <f>SUM(K148:K154)</f>
        <v>52291.009999999995</v>
      </c>
      <c r="L147" s="22">
        <f>K147 / L13</f>
        <v>1.8031382758620686E-2</v>
      </c>
      <c r="M147" s="25"/>
      <c r="N147" s="26">
        <f>SUM(N148:N154)</f>
        <v>19484.750000000004</v>
      </c>
      <c r="O147" s="25"/>
      <c r="P147" s="30">
        <f>SUM(P148:P154)</f>
        <v>0</v>
      </c>
      <c r="Q147" s="30"/>
      <c r="R147" s="30">
        <f>SUM(R148:R154)</f>
        <v>0</v>
      </c>
      <c r="S147" s="30"/>
      <c r="T147" s="26">
        <f>SUM(T148:T154)</f>
        <v>19484.750000000004</v>
      </c>
      <c r="U147" s="25"/>
      <c r="V147" s="30">
        <f>SUM(V148:V154)</f>
        <v>0</v>
      </c>
      <c r="W147" s="30"/>
      <c r="X147" s="30">
        <f>SUM(X148:X154)</f>
        <v>0</v>
      </c>
      <c r="Y147" s="30"/>
      <c r="Z147" s="30">
        <f>SUM(Z148:Z154)</f>
        <v>0</v>
      </c>
      <c r="AA147" s="30"/>
      <c r="AB147" s="30">
        <f>SUM(AB148:AB154)</f>
        <v>0</v>
      </c>
      <c r="AC147" s="30"/>
      <c r="AD147" s="30">
        <f>SUM(AD148:AD154)</f>
        <v>0</v>
      </c>
      <c r="AE147" s="30"/>
      <c r="AF147" s="30">
        <f>SUM(AF148:AF154)</f>
        <v>0</v>
      </c>
      <c r="AG147" s="30"/>
      <c r="AH147" s="30">
        <f>SUM(AH148:AH154)</f>
        <v>0</v>
      </c>
      <c r="AI147" s="30"/>
      <c r="AJ147" s="30">
        <f>SUM(AJ148:AJ154)</f>
        <v>0</v>
      </c>
      <c r="AK147" s="30"/>
      <c r="AL147" s="30">
        <f>SUM(AL148:AL154)</f>
        <v>0</v>
      </c>
      <c r="AM147" s="30"/>
      <c r="AN147" s="30">
        <f>SUM(AN148:AN154)</f>
        <v>0</v>
      </c>
      <c r="AO147" s="30"/>
      <c r="AP147" s="30">
        <f>SUM(AP148:AP154)</f>
        <v>0</v>
      </c>
      <c r="AQ147" s="30"/>
      <c r="AR147" s="30">
        <f>SUM(AR148:AR154)</f>
        <v>0</v>
      </c>
      <c r="AS147" s="30"/>
      <c r="AT147" s="30">
        <f>SUM(AT148:AT154)</f>
        <v>0</v>
      </c>
      <c r="AU147" s="30"/>
      <c r="AV147" s="30">
        <f>SUM(AV148:AV154)</f>
        <v>0</v>
      </c>
      <c r="AW147" s="30"/>
      <c r="AX147" s="26">
        <f>SUM(AX148:AX154)</f>
        <v>0</v>
      </c>
      <c r="AY147" s="25"/>
      <c r="AZ147" s="30">
        <f>SUM(AZ148:AZ154)</f>
        <v>0</v>
      </c>
      <c r="BA147" s="30"/>
      <c r="BB147" s="26">
        <f>SUM(BB148:BB154)</f>
        <v>19484.750000000004</v>
      </c>
    </row>
    <row r="148" spans="1:54" ht="26.1" customHeight="1" x14ac:dyDescent="0.25">
      <c r="A148" s="31" t="s">
        <v>347</v>
      </c>
      <c r="B148" s="31" t="s">
        <v>348</v>
      </c>
      <c r="C148" s="31" t="s">
        <v>19</v>
      </c>
      <c r="D148" s="31" t="s">
        <v>349</v>
      </c>
      <c r="E148" s="32" t="s">
        <v>171</v>
      </c>
      <c r="F148" s="33">
        <v>9</v>
      </c>
      <c r="G148" s="34">
        <v>461.75</v>
      </c>
      <c r="H148" s="34">
        <f t="shared" si="1726"/>
        <v>425.15</v>
      </c>
      <c r="I148" s="34">
        <f t="shared" si="1727"/>
        <v>3826.35</v>
      </c>
      <c r="J148" s="34">
        <f>(TRUNC(H148 * L14,2) + H148)</f>
        <v>511.62</v>
      </c>
      <c r="K148" s="34">
        <f t="shared" ref="K148:K154" si="1750">TRUNC(F148 * J148,2)</f>
        <v>4604.58</v>
      </c>
      <c r="L148" s="35">
        <f>K148 / L13</f>
        <v>1.5877862068965514E-3</v>
      </c>
      <c r="M148" s="36">
        <v>363.35</v>
      </c>
      <c r="N148" s="37">
        <f t="shared" si="1728"/>
        <v>3270.15</v>
      </c>
      <c r="O148" s="36"/>
      <c r="P148" s="38">
        <f t="shared" si="1729"/>
        <v>0</v>
      </c>
      <c r="Q148" s="38"/>
      <c r="R148" s="38">
        <f t="shared" si="1729"/>
        <v>0</v>
      </c>
      <c r="S148" s="38">
        <f t="shared" si="1730"/>
        <v>9</v>
      </c>
      <c r="T148" s="37">
        <f t="shared" ref="T148:V148" si="1751">TRUNC($M148 * S148,2)</f>
        <v>3270.15</v>
      </c>
      <c r="U148" s="36"/>
      <c r="V148" s="38">
        <f t="shared" si="1751"/>
        <v>0</v>
      </c>
      <c r="W148" s="38"/>
      <c r="X148" s="38">
        <f t="shared" ref="X148" si="1752">TRUNC($M148 * W148,2)</f>
        <v>0</v>
      </c>
      <c r="Y148" s="38"/>
      <c r="Z148" s="38">
        <f t="shared" ref="Z148" si="1753">TRUNC($M148 * Y148,2)</f>
        <v>0</v>
      </c>
      <c r="AA148" s="38"/>
      <c r="AB148" s="38">
        <f t="shared" ref="AB148" si="1754">TRUNC($M148 * AA148,2)</f>
        <v>0</v>
      </c>
      <c r="AC148" s="38"/>
      <c r="AD148" s="38">
        <f t="shared" ref="AD148" si="1755">TRUNC($M148 * AC148,2)</f>
        <v>0</v>
      </c>
      <c r="AE148" s="38"/>
      <c r="AF148" s="38">
        <f t="shared" ref="AF148" si="1756">TRUNC($M148 * AE148,2)</f>
        <v>0</v>
      </c>
      <c r="AG148" s="38"/>
      <c r="AH148" s="38">
        <f t="shared" ref="AH148" si="1757">TRUNC($M148 * AG148,2)</f>
        <v>0</v>
      </c>
      <c r="AI148" s="38"/>
      <c r="AJ148" s="38">
        <f t="shared" ref="AJ148" si="1758">TRUNC($M148 * AI148,2)</f>
        <v>0</v>
      </c>
      <c r="AK148" s="38"/>
      <c r="AL148" s="38">
        <f t="shared" ref="AL148" si="1759">TRUNC($M148 * AK148,2)</f>
        <v>0</v>
      </c>
      <c r="AM148" s="38"/>
      <c r="AN148" s="38">
        <f t="shared" ref="AN148" si="1760">TRUNC($M148 * AM148,2)</f>
        <v>0</v>
      </c>
      <c r="AO148" s="38"/>
      <c r="AP148" s="38">
        <f t="shared" ref="AP148" si="1761">TRUNC($M148 * AO148,2)</f>
        <v>0</v>
      </c>
      <c r="AQ148" s="38"/>
      <c r="AR148" s="38">
        <f t="shared" ref="AR148" si="1762">TRUNC($M148 * AQ148,2)</f>
        <v>0</v>
      </c>
      <c r="AS148" s="38"/>
      <c r="AT148" s="38">
        <f t="shared" ref="AT148" si="1763">TRUNC($M148 * AS148,2)</f>
        <v>0</v>
      </c>
      <c r="AU148" s="38"/>
      <c r="AV148" s="38">
        <f t="shared" ref="AV148" si="1764">TRUNC($M148 * AU148,2)</f>
        <v>0</v>
      </c>
      <c r="AW148" s="38"/>
      <c r="AX148" s="37">
        <f t="shared" ref="AX148" si="1765">TRUNC($M148 * AW148,2)</f>
        <v>0</v>
      </c>
      <c r="AY148" s="36">
        <f t="shared" si="1746"/>
        <v>0</v>
      </c>
      <c r="AZ148" s="38">
        <f t="shared" ref="AZ148" si="1766">TRUNC($M148 * AY148,2)</f>
        <v>0</v>
      </c>
      <c r="BA148" s="38">
        <f t="shared" si="1748"/>
        <v>9</v>
      </c>
      <c r="BB148" s="37">
        <f t="shared" ref="BB148" si="1767">TRUNC($M148 * BA148,2)</f>
        <v>3270.15</v>
      </c>
    </row>
    <row r="149" spans="1:54" ht="26.1" customHeight="1" x14ac:dyDescent="0.25">
      <c r="A149" s="31" t="s">
        <v>350</v>
      </c>
      <c r="B149" s="31" t="s">
        <v>351</v>
      </c>
      <c r="C149" s="31" t="s">
        <v>24</v>
      </c>
      <c r="D149" s="31" t="s">
        <v>352</v>
      </c>
      <c r="E149" s="32" t="s">
        <v>171</v>
      </c>
      <c r="F149" s="33">
        <v>6</v>
      </c>
      <c r="G149" s="34">
        <v>111.66</v>
      </c>
      <c r="H149" s="34">
        <f t="shared" si="1726"/>
        <v>102.8</v>
      </c>
      <c r="I149" s="34">
        <f t="shared" si="1727"/>
        <v>616.79999999999995</v>
      </c>
      <c r="J149" s="34">
        <f>(TRUNC(H149 * L14,2) + H149)</f>
        <v>123.69999999999999</v>
      </c>
      <c r="K149" s="34">
        <f t="shared" si="1750"/>
        <v>742.2</v>
      </c>
      <c r="L149" s="35">
        <f>K149 / L13</f>
        <v>2.5593103448275859E-4</v>
      </c>
      <c r="M149" s="36">
        <v>82.34</v>
      </c>
      <c r="N149" s="37">
        <f t="shared" si="1728"/>
        <v>494.04</v>
      </c>
      <c r="O149" s="36"/>
      <c r="P149" s="38">
        <f t="shared" si="1729"/>
        <v>0</v>
      </c>
      <c r="Q149" s="38"/>
      <c r="R149" s="38">
        <f t="shared" si="1729"/>
        <v>0</v>
      </c>
      <c r="S149" s="38">
        <f t="shared" si="1730"/>
        <v>6</v>
      </c>
      <c r="T149" s="37">
        <f t="shared" ref="T149:V149" si="1768">TRUNC($M149 * S149,2)</f>
        <v>494.04</v>
      </c>
      <c r="U149" s="36"/>
      <c r="V149" s="38">
        <f t="shared" si="1768"/>
        <v>0</v>
      </c>
      <c r="W149" s="38"/>
      <c r="X149" s="38">
        <f t="shared" ref="X149" si="1769">TRUNC($M149 * W149,2)</f>
        <v>0</v>
      </c>
      <c r="Y149" s="38"/>
      <c r="Z149" s="38">
        <f t="shared" ref="Z149" si="1770">TRUNC($M149 * Y149,2)</f>
        <v>0</v>
      </c>
      <c r="AA149" s="38"/>
      <c r="AB149" s="38">
        <f t="shared" ref="AB149" si="1771">TRUNC($M149 * AA149,2)</f>
        <v>0</v>
      </c>
      <c r="AC149" s="38"/>
      <c r="AD149" s="38">
        <f t="shared" ref="AD149" si="1772">TRUNC($M149 * AC149,2)</f>
        <v>0</v>
      </c>
      <c r="AE149" s="38"/>
      <c r="AF149" s="38">
        <f t="shared" ref="AF149" si="1773">TRUNC($M149 * AE149,2)</f>
        <v>0</v>
      </c>
      <c r="AG149" s="38"/>
      <c r="AH149" s="38">
        <f t="shared" ref="AH149" si="1774">TRUNC($M149 * AG149,2)</f>
        <v>0</v>
      </c>
      <c r="AI149" s="38"/>
      <c r="AJ149" s="38">
        <f t="shared" ref="AJ149" si="1775">TRUNC($M149 * AI149,2)</f>
        <v>0</v>
      </c>
      <c r="AK149" s="38"/>
      <c r="AL149" s="38">
        <f t="shared" ref="AL149" si="1776">TRUNC($M149 * AK149,2)</f>
        <v>0</v>
      </c>
      <c r="AM149" s="38"/>
      <c r="AN149" s="38">
        <f t="shared" ref="AN149" si="1777">TRUNC($M149 * AM149,2)</f>
        <v>0</v>
      </c>
      <c r="AO149" s="38"/>
      <c r="AP149" s="38">
        <f t="shared" ref="AP149" si="1778">TRUNC($M149 * AO149,2)</f>
        <v>0</v>
      </c>
      <c r="AQ149" s="38"/>
      <c r="AR149" s="38">
        <f t="shared" ref="AR149" si="1779">TRUNC($M149 * AQ149,2)</f>
        <v>0</v>
      </c>
      <c r="AS149" s="38"/>
      <c r="AT149" s="38">
        <f t="shared" ref="AT149" si="1780">TRUNC($M149 * AS149,2)</f>
        <v>0</v>
      </c>
      <c r="AU149" s="38"/>
      <c r="AV149" s="38">
        <f t="shared" ref="AV149" si="1781">TRUNC($M149 * AU149,2)</f>
        <v>0</v>
      </c>
      <c r="AW149" s="38"/>
      <c r="AX149" s="37">
        <f t="shared" ref="AX149" si="1782">TRUNC($M149 * AW149,2)</f>
        <v>0</v>
      </c>
      <c r="AY149" s="36">
        <f t="shared" si="1746"/>
        <v>0</v>
      </c>
      <c r="AZ149" s="38">
        <f t="shared" ref="AZ149" si="1783">TRUNC($M149 * AY149,2)</f>
        <v>0</v>
      </c>
      <c r="BA149" s="38">
        <f t="shared" si="1748"/>
        <v>6</v>
      </c>
      <c r="BB149" s="37">
        <f t="shared" ref="BB149" si="1784">TRUNC($M149 * BA149,2)</f>
        <v>494.04</v>
      </c>
    </row>
    <row r="150" spans="1:54" ht="24" customHeight="1" x14ac:dyDescent="0.25">
      <c r="A150" s="31" t="s">
        <v>353</v>
      </c>
      <c r="B150" s="31" t="s">
        <v>354</v>
      </c>
      <c r="C150" s="31" t="s">
        <v>245</v>
      </c>
      <c r="D150" s="31" t="s">
        <v>355</v>
      </c>
      <c r="E150" s="32" t="s">
        <v>218</v>
      </c>
      <c r="F150" s="33">
        <v>271.54000000000002</v>
      </c>
      <c r="G150" s="34">
        <v>88.84</v>
      </c>
      <c r="H150" s="34">
        <f t="shared" si="1726"/>
        <v>81.790000000000006</v>
      </c>
      <c r="I150" s="34">
        <f t="shared" si="1727"/>
        <v>22209.25</v>
      </c>
      <c r="J150" s="34">
        <f>(TRUNC(H150 * L14,2) + H150)</f>
        <v>98.42</v>
      </c>
      <c r="K150" s="34">
        <f t="shared" si="1750"/>
        <v>26724.959999999999</v>
      </c>
      <c r="L150" s="35">
        <f>K150 / L13</f>
        <v>9.2155034482758608E-3</v>
      </c>
      <c r="M150" s="36">
        <v>18.55</v>
      </c>
      <c r="N150" s="37">
        <f>TRUNC(F150 * M150,2)</f>
        <v>5037.0600000000004</v>
      </c>
      <c r="O150" s="36"/>
      <c r="P150" s="38">
        <f t="shared" si="1729"/>
        <v>0</v>
      </c>
      <c r="Q150" s="38"/>
      <c r="R150" s="38">
        <f t="shared" si="1729"/>
        <v>0</v>
      </c>
      <c r="S150" s="38">
        <f t="shared" si="1730"/>
        <v>271.54000000000002</v>
      </c>
      <c r="T150" s="37">
        <f t="shared" ref="T150:V150" si="1785">TRUNC($M150 * S150,2)</f>
        <v>5037.0600000000004</v>
      </c>
      <c r="U150" s="36"/>
      <c r="V150" s="38">
        <f t="shared" si="1785"/>
        <v>0</v>
      </c>
      <c r="W150" s="38"/>
      <c r="X150" s="38">
        <f t="shared" ref="X150" si="1786">TRUNC($M150 * W150,2)</f>
        <v>0</v>
      </c>
      <c r="Y150" s="38"/>
      <c r="Z150" s="38">
        <f t="shared" ref="Z150" si="1787">TRUNC($M150 * Y150,2)</f>
        <v>0</v>
      </c>
      <c r="AA150" s="38"/>
      <c r="AB150" s="38">
        <f t="shared" ref="AB150" si="1788">TRUNC($M150 * AA150,2)</f>
        <v>0</v>
      </c>
      <c r="AC150" s="38"/>
      <c r="AD150" s="38">
        <f t="shared" ref="AD150" si="1789">TRUNC($M150 * AC150,2)</f>
        <v>0</v>
      </c>
      <c r="AE150" s="38"/>
      <c r="AF150" s="38">
        <f t="shared" ref="AF150" si="1790">TRUNC($M150 * AE150,2)</f>
        <v>0</v>
      </c>
      <c r="AG150" s="38"/>
      <c r="AH150" s="38">
        <f t="shared" ref="AH150" si="1791">TRUNC($M150 * AG150,2)</f>
        <v>0</v>
      </c>
      <c r="AI150" s="38"/>
      <c r="AJ150" s="38">
        <f t="shared" ref="AJ150" si="1792">TRUNC($M150 * AI150,2)</f>
        <v>0</v>
      </c>
      <c r="AK150" s="38"/>
      <c r="AL150" s="38">
        <f t="shared" ref="AL150" si="1793">TRUNC($M150 * AK150,2)</f>
        <v>0</v>
      </c>
      <c r="AM150" s="38"/>
      <c r="AN150" s="38">
        <f t="shared" ref="AN150" si="1794">TRUNC($M150 * AM150,2)</f>
        <v>0</v>
      </c>
      <c r="AO150" s="38"/>
      <c r="AP150" s="38">
        <f t="shared" ref="AP150" si="1795">TRUNC($M150 * AO150,2)</f>
        <v>0</v>
      </c>
      <c r="AQ150" s="38"/>
      <c r="AR150" s="38">
        <f t="shared" ref="AR150" si="1796">TRUNC($M150 * AQ150,2)</f>
        <v>0</v>
      </c>
      <c r="AS150" s="38"/>
      <c r="AT150" s="38">
        <f t="shared" ref="AT150" si="1797">TRUNC($M150 * AS150,2)</f>
        <v>0</v>
      </c>
      <c r="AU150" s="38"/>
      <c r="AV150" s="38">
        <f t="shared" ref="AV150" si="1798">TRUNC($M150 * AU150,2)</f>
        <v>0</v>
      </c>
      <c r="AW150" s="38"/>
      <c r="AX150" s="37">
        <f t="shared" ref="AX150" si="1799">TRUNC($M150 * AW150,2)</f>
        <v>0</v>
      </c>
      <c r="AY150" s="36">
        <f t="shared" si="1746"/>
        <v>0</v>
      </c>
      <c r="AZ150" s="38">
        <f t="shared" ref="AZ150" si="1800">TRUNC($M150 * AY150,2)</f>
        <v>0</v>
      </c>
      <c r="BA150" s="38">
        <f t="shared" si="1748"/>
        <v>271.54000000000002</v>
      </c>
      <c r="BB150" s="37">
        <f t="shared" ref="BB150" si="1801">TRUNC($M150 * BA150,2)</f>
        <v>5037.0600000000004</v>
      </c>
    </row>
    <row r="151" spans="1:54" ht="24" customHeight="1" x14ac:dyDescent="0.25">
      <c r="A151" s="31" t="s">
        <v>356</v>
      </c>
      <c r="B151" s="31" t="s">
        <v>357</v>
      </c>
      <c r="C151" s="31" t="s">
        <v>245</v>
      </c>
      <c r="D151" s="31" t="s">
        <v>358</v>
      </c>
      <c r="E151" s="32" t="s">
        <v>36</v>
      </c>
      <c r="F151" s="33">
        <v>4</v>
      </c>
      <c r="G151" s="34">
        <v>1773.25</v>
      </c>
      <c r="H151" s="34">
        <f t="shared" si="1726"/>
        <v>1632.7</v>
      </c>
      <c r="I151" s="34">
        <f t="shared" si="1727"/>
        <v>6530.8</v>
      </c>
      <c r="J151" s="34">
        <f>(TRUNC(H151 * L14,2) + H151)</f>
        <v>1964.79</v>
      </c>
      <c r="K151" s="34">
        <f t="shared" si="1750"/>
        <v>7859.16</v>
      </c>
      <c r="L151" s="35">
        <f>K151 / L13</f>
        <v>2.7100551724137927E-3</v>
      </c>
      <c r="M151" s="36">
        <v>370.44</v>
      </c>
      <c r="N151" s="37">
        <f t="shared" si="1728"/>
        <v>1481.76</v>
      </c>
      <c r="O151" s="36"/>
      <c r="P151" s="38">
        <f t="shared" si="1729"/>
        <v>0</v>
      </c>
      <c r="Q151" s="38"/>
      <c r="R151" s="38">
        <f t="shared" si="1729"/>
        <v>0</v>
      </c>
      <c r="S151" s="38">
        <f t="shared" si="1730"/>
        <v>4</v>
      </c>
      <c r="T151" s="37">
        <f t="shared" ref="T151:V151" si="1802">TRUNC($M151 * S151,2)</f>
        <v>1481.76</v>
      </c>
      <c r="U151" s="36"/>
      <c r="V151" s="38">
        <f t="shared" si="1802"/>
        <v>0</v>
      </c>
      <c r="W151" s="38"/>
      <c r="X151" s="38">
        <f t="shared" ref="X151" si="1803">TRUNC($M151 * W151,2)</f>
        <v>0</v>
      </c>
      <c r="Y151" s="38"/>
      <c r="Z151" s="38">
        <f t="shared" ref="Z151" si="1804">TRUNC($M151 * Y151,2)</f>
        <v>0</v>
      </c>
      <c r="AA151" s="38"/>
      <c r="AB151" s="38">
        <f t="shared" ref="AB151" si="1805">TRUNC($M151 * AA151,2)</f>
        <v>0</v>
      </c>
      <c r="AC151" s="38"/>
      <c r="AD151" s="38">
        <f t="shared" ref="AD151" si="1806">TRUNC($M151 * AC151,2)</f>
        <v>0</v>
      </c>
      <c r="AE151" s="38"/>
      <c r="AF151" s="38">
        <f t="shared" ref="AF151" si="1807">TRUNC($M151 * AE151,2)</f>
        <v>0</v>
      </c>
      <c r="AG151" s="38"/>
      <c r="AH151" s="38">
        <f t="shared" ref="AH151" si="1808">TRUNC($M151 * AG151,2)</f>
        <v>0</v>
      </c>
      <c r="AI151" s="38"/>
      <c r="AJ151" s="38">
        <f t="shared" ref="AJ151" si="1809">TRUNC($M151 * AI151,2)</f>
        <v>0</v>
      </c>
      <c r="AK151" s="38"/>
      <c r="AL151" s="38">
        <f t="shared" ref="AL151" si="1810">TRUNC($M151 * AK151,2)</f>
        <v>0</v>
      </c>
      <c r="AM151" s="38"/>
      <c r="AN151" s="38">
        <f t="shared" ref="AN151" si="1811">TRUNC($M151 * AM151,2)</f>
        <v>0</v>
      </c>
      <c r="AO151" s="38"/>
      <c r="AP151" s="38">
        <f t="shared" ref="AP151" si="1812">TRUNC($M151 * AO151,2)</f>
        <v>0</v>
      </c>
      <c r="AQ151" s="38"/>
      <c r="AR151" s="38">
        <f t="shared" ref="AR151" si="1813">TRUNC($M151 * AQ151,2)</f>
        <v>0</v>
      </c>
      <c r="AS151" s="38"/>
      <c r="AT151" s="38">
        <f t="shared" ref="AT151" si="1814">TRUNC($M151 * AS151,2)</f>
        <v>0</v>
      </c>
      <c r="AU151" s="38"/>
      <c r="AV151" s="38">
        <f t="shared" ref="AV151" si="1815">TRUNC($M151 * AU151,2)</f>
        <v>0</v>
      </c>
      <c r="AW151" s="38"/>
      <c r="AX151" s="37">
        <f t="shared" ref="AX151" si="1816">TRUNC($M151 * AW151,2)</f>
        <v>0</v>
      </c>
      <c r="AY151" s="36">
        <f t="shared" si="1746"/>
        <v>0</v>
      </c>
      <c r="AZ151" s="38">
        <f t="shared" ref="AZ151" si="1817">TRUNC($M151 * AY151,2)</f>
        <v>0</v>
      </c>
      <c r="BA151" s="38">
        <f t="shared" si="1748"/>
        <v>4</v>
      </c>
      <c r="BB151" s="37">
        <f t="shared" ref="BB151" si="1818">TRUNC($M151 * BA151,2)</f>
        <v>1481.76</v>
      </c>
    </row>
    <row r="152" spans="1:54" ht="26.1" customHeight="1" x14ac:dyDescent="0.25">
      <c r="A152" s="31" t="s">
        <v>359</v>
      </c>
      <c r="B152" s="31" t="s">
        <v>360</v>
      </c>
      <c r="C152" s="31" t="s">
        <v>19</v>
      </c>
      <c r="D152" s="31" t="s">
        <v>361</v>
      </c>
      <c r="E152" s="32" t="s">
        <v>171</v>
      </c>
      <c r="F152" s="33">
        <v>26</v>
      </c>
      <c r="G152" s="34">
        <v>310.29000000000002</v>
      </c>
      <c r="H152" s="34">
        <f t="shared" si="1726"/>
        <v>285.69</v>
      </c>
      <c r="I152" s="34">
        <f t="shared" si="1727"/>
        <v>7427.94</v>
      </c>
      <c r="J152" s="34">
        <f>(TRUNC(H152 * L14,2) + H152)</f>
        <v>343.79</v>
      </c>
      <c r="K152" s="34">
        <f t="shared" si="1750"/>
        <v>8938.5400000000009</v>
      </c>
      <c r="L152" s="35">
        <f>K152 / L13</f>
        <v>3.0822551724137928E-3</v>
      </c>
      <c r="M152" s="36">
        <v>250.87</v>
      </c>
      <c r="N152" s="37">
        <f t="shared" si="1728"/>
        <v>6522.62</v>
      </c>
      <c r="O152" s="36"/>
      <c r="P152" s="38">
        <f t="shared" si="1729"/>
        <v>0</v>
      </c>
      <c r="Q152" s="38"/>
      <c r="R152" s="38">
        <f t="shared" si="1729"/>
        <v>0</v>
      </c>
      <c r="S152" s="38">
        <f t="shared" si="1730"/>
        <v>26</v>
      </c>
      <c r="T152" s="37">
        <f t="shared" ref="T152:V152" si="1819">TRUNC($M152 * S152,2)</f>
        <v>6522.62</v>
      </c>
      <c r="U152" s="36"/>
      <c r="V152" s="38">
        <f t="shared" si="1819"/>
        <v>0</v>
      </c>
      <c r="W152" s="38"/>
      <c r="X152" s="38">
        <f t="shared" ref="X152" si="1820">TRUNC($M152 * W152,2)</f>
        <v>0</v>
      </c>
      <c r="Y152" s="38"/>
      <c r="Z152" s="38">
        <f t="shared" ref="Z152" si="1821">TRUNC($M152 * Y152,2)</f>
        <v>0</v>
      </c>
      <c r="AA152" s="38"/>
      <c r="AB152" s="38">
        <f t="shared" ref="AB152" si="1822">TRUNC($M152 * AA152,2)</f>
        <v>0</v>
      </c>
      <c r="AC152" s="38"/>
      <c r="AD152" s="38">
        <f t="shared" ref="AD152" si="1823">TRUNC($M152 * AC152,2)</f>
        <v>0</v>
      </c>
      <c r="AE152" s="38"/>
      <c r="AF152" s="38">
        <f t="shared" ref="AF152" si="1824">TRUNC($M152 * AE152,2)</f>
        <v>0</v>
      </c>
      <c r="AG152" s="38"/>
      <c r="AH152" s="38">
        <f t="shared" ref="AH152" si="1825">TRUNC($M152 * AG152,2)</f>
        <v>0</v>
      </c>
      <c r="AI152" s="38"/>
      <c r="AJ152" s="38">
        <f t="shared" ref="AJ152" si="1826">TRUNC($M152 * AI152,2)</f>
        <v>0</v>
      </c>
      <c r="AK152" s="38"/>
      <c r="AL152" s="38">
        <f t="shared" ref="AL152" si="1827">TRUNC($M152 * AK152,2)</f>
        <v>0</v>
      </c>
      <c r="AM152" s="38"/>
      <c r="AN152" s="38">
        <f t="shared" ref="AN152" si="1828">TRUNC($M152 * AM152,2)</f>
        <v>0</v>
      </c>
      <c r="AO152" s="38"/>
      <c r="AP152" s="38">
        <f t="shared" ref="AP152" si="1829">TRUNC($M152 * AO152,2)</f>
        <v>0</v>
      </c>
      <c r="AQ152" s="38"/>
      <c r="AR152" s="38">
        <f t="shared" ref="AR152" si="1830">TRUNC($M152 * AQ152,2)</f>
        <v>0</v>
      </c>
      <c r="AS152" s="38"/>
      <c r="AT152" s="38">
        <f t="shared" ref="AT152" si="1831">TRUNC($M152 * AS152,2)</f>
        <v>0</v>
      </c>
      <c r="AU152" s="38"/>
      <c r="AV152" s="38">
        <f t="shared" ref="AV152" si="1832">TRUNC($M152 * AU152,2)</f>
        <v>0</v>
      </c>
      <c r="AW152" s="38"/>
      <c r="AX152" s="37">
        <f t="shared" ref="AX152" si="1833">TRUNC($M152 * AW152,2)</f>
        <v>0</v>
      </c>
      <c r="AY152" s="36">
        <f t="shared" si="1746"/>
        <v>0</v>
      </c>
      <c r="AZ152" s="38">
        <f t="shared" ref="AZ152" si="1834">TRUNC($M152 * AY152,2)</f>
        <v>0</v>
      </c>
      <c r="BA152" s="38">
        <f t="shared" si="1748"/>
        <v>26</v>
      </c>
      <c r="BB152" s="37">
        <f t="shared" ref="BB152" si="1835">TRUNC($M152 * BA152,2)</f>
        <v>6522.62</v>
      </c>
    </row>
    <row r="153" spans="1:54" ht="39" customHeight="1" x14ac:dyDescent="0.25">
      <c r="A153" s="31" t="s">
        <v>362</v>
      </c>
      <c r="B153" s="31" t="s">
        <v>363</v>
      </c>
      <c r="C153" s="31" t="s">
        <v>34</v>
      </c>
      <c r="D153" s="31" t="s">
        <v>364</v>
      </c>
      <c r="E153" s="32" t="s">
        <v>36</v>
      </c>
      <c r="F153" s="33">
        <v>46</v>
      </c>
      <c r="G153" s="34">
        <v>60.34</v>
      </c>
      <c r="H153" s="34">
        <f t="shared" si="1726"/>
        <v>55.55</v>
      </c>
      <c r="I153" s="34">
        <f t="shared" si="1727"/>
        <v>2555.3000000000002</v>
      </c>
      <c r="J153" s="34">
        <f>(TRUNC(H153 * L14,2) + H153)</f>
        <v>66.84</v>
      </c>
      <c r="K153" s="34">
        <f t="shared" si="1750"/>
        <v>3074.64</v>
      </c>
      <c r="L153" s="35">
        <f>K153 / L13</f>
        <v>1.0602206896551721E-3</v>
      </c>
      <c r="M153" s="36">
        <v>56.82</v>
      </c>
      <c r="N153" s="37">
        <f t="shared" si="1728"/>
        <v>2613.7199999999998</v>
      </c>
      <c r="O153" s="36"/>
      <c r="P153" s="38">
        <f t="shared" si="1729"/>
        <v>0</v>
      </c>
      <c r="Q153" s="38"/>
      <c r="R153" s="38">
        <f t="shared" si="1729"/>
        <v>0</v>
      </c>
      <c r="S153" s="38">
        <f t="shared" si="1730"/>
        <v>46</v>
      </c>
      <c r="T153" s="37">
        <f t="shared" ref="T153:V153" si="1836">TRUNC($M153 * S153,2)</f>
        <v>2613.7199999999998</v>
      </c>
      <c r="U153" s="36"/>
      <c r="V153" s="38">
        <f t="shared" si="1836"/>
        <v>0</v>
      </c>
      <c r="W153" s="38"/>
      <c r="X153" s="38">
        <f t="shared" ref="X153" si="1837">TRUNC($M153 * W153,2)</f>
        <v>0</v>
      </c>
      <c r="Y153" s="38"/>
      <c r="Z153" s="38">
        <f t="shared" ref="Z153" si="1838">TRUNC($M153 * Y153,2)</f>
        <v>0</v>
      </c>
      <c r="AA153" s="38"/>
      <c r="AB153" s="38">
        <f t="shared" ref="AB153" si="1839">TRUNC($M153 * AA153,2)</f>
        <v>0</v>
      </c>
      <c r="AC153" s="38"/>
      <c r="AD153" s="38">
        <f t="shared" ref="AD153" si="1840">TRUNC($M153 * AC153,2)</f>
        <v>0</v>
      </c>
      <c r="AE153" s="38"/>
      <c r="AF153" s="38">
        <f t="shared" ref="AF153" si="1841">TRUNC($M153 * AE153,2)</f>
        <v>0</v>
      </c>
      <c r="AG153" s="38"/>
      <c r="AH153" s="38">
        <f t="shared" ref="AH153" si="1842">TRUNC($M153 * AG153,2)</f>
        <v>0</v>
      </c>
      <c r="AI153" s="38"/>
      <c r="AJ153" s="38">
        <f t="shared" ref="AJ153" si="1843">TRUNC($M153 * AI153,2)</f>
        <v>0</v>
      </c>
      <c r="AK153" s="38"/>
      <c r="AL153" s="38">
        <f t="shared" ref="AL153" si="1844">TRUNC($M153 * AK153,2)</f>
        <v>0</v>
      </c>
      <c r="AM153" s="38"/>
      <c r="AN153" s="38">
        <f t="shared" ref="AN153" si="1845">TRUNC($M153 * AM153,2)</f>
        <v>0</v>
      </c>
      <c r="AO153" s="38"/>
      <c r="AP153" s="38">
        <f t="shared" ref="AP153" si="1846">TRUNC($M153 * AO153,2)</f>
        <v>0</v>
      </c>
      <c r="AQ153" s="38"/>
      <c r="AR153" s="38">
        <f t="shared" ref="AR153" si="1847">TRUNC($M153 * AQ153,2)</f>
        <v>0</v>
      </c>
      <c r="AS153" s="38"/>
      <c r="AT153" s="38">
        <f t="shared" ref="AT153" si="1848">TRUNC($M153 * AS153,2)</f>
        <v>0</v>
      </c>
      <c r="AU153" s="38"/>
      <c r="AV153" s="38">
        <f t="shared" ref="AV153" si="1849">TRUNC($M153 * AU153,2)</f>
        <v>0</v>
      </c>
      <c r="AW153" s="38"/>
      <c r="AX153" s="37">
        <f t="shared" ref="AX153" si="1850">TRUNC($M153 * AW153,2)</f>
        <v>0</v>
      </c>
      <c r="AY153" s="36">
        <f t="shared" si="1746"/>
        <v>0</v>
      </c>
      <c r="AZ153" s="38">
        <f t="shared" ref="AZ153" si="1851">TRUNC($M153 * AY153,2)</f>
        <v>0</v>
      </c>
      <c r="BA153" s="38">
        <f t="shared" si="1748"/>
        <v>46</v>
      </c>
      <c r="BB153" s="37">
        <f t="shared" ref="BB153" si="1852">TRUNC($M153 * BA153,2)</f>
        <v>2613.7199999999998</v>
      </c>
    </row>
    <row r="154" spans="1:54" ht="24" customHeight="1" x14ac:dyDescent="0.25">
      <c r="A154" s="31" t="s">
        <v>365</v>
      </c>
      <c r="B154" s="31" t="s">
        <v>366</v>
      </c>
      <c r="C154" s="31" t="s">
        <v>245</v>
      </c>
      <c r="D154" s="31" t="s">
        <v>367</v>
      </c>
      <c r="E154" s="32" t="s">
        <v>26</v>
      </c>
      <c r="F154" s="33">
        <v>0.45</v>
      </c>
      <c r="G154" s="34">
        <v>695.81</v>
      </c>
      <c r="H154" s="34">
        <f t="shared" si="1726"/>
        <v>640.66</v>
      </c>
      <c r="I154" s="34">
        <f t="shared" si="1727"/>
        <v>288.29000000000002</v>
      </c>
      <c r="J154" s="34">
        <f>(TRUNC(H154 * L14,2) + H154)</f>
        <v>770.97</v>
      </c>
      <c r="K154" s="34">
        <f t="shared" si="1750"/>
        <v>346.93</v>
      </c>
      <c r="L154" s="35">
        <f>K154 / L13</f>
        <v>1.196310344827586E-4</v>
      </c>
      <c r="M154" s="36">
        <v>145.35</v>
      </c>
      <c r="N154" s="37">
        <f t="shared" si="1728"/>
        <v>65.400000000000006</v>
      </c>
      <c r="O154" s="36"/>
      <c r="P154" s="38">
        <f t="shared" si="1729"/>
        <v>0</v>
      </c>
      <c r="Q154" s="38"/>
      <c r="R154" s="38">
        <f t="shared" si="1729"/>
        <v>0</v>
      </c>
      <c r="S154" s="38">
        <f t="shared" si="1730"/>
        <v>0.45</v>
      </c>
      <c r="T154" s="37">
        <f t="shared" ref="T154:V154" si="1853">TRUNC($M154 * S154,2)</f>
        <v>65.400000000000006</v>
      </c>
      <c r="U154" s="36"/>
      <c r="V154" s="38">
        <f t="shared" si="1853"/>
        <v>0</v>
      </c>
      <c r="W154" s="38"/>
      <c r="X154" s="38">
        <f t="shared" ref="X154" si="1854">TRUNC($M154 * W154,2)</f>
        <v>0</v>
      </c>
      <c r="Y154" s="38"/>
      <c r="Z154" s="38">
        <f t="shared" ref="Z154" si="1855">TRUNC($M154 * Y154,2)</f>
        <v>0</v>
      </c>
      <c r="AA154" s="38"/>
      <c r="AB154" s="38">
        <f t="shared" ref="AB154" si="1856">TRUNC($M154 * AA154,2)</f>
        <v>0</v>
      </c>
      <c r="AC154" s="38"/>
      <c r="AD154" s="38">
        <f t="shared" ref="AD154" si="1857">TRUNC($M154 * AC154,2)</f>
        <v>0</v>
      </c>
      <c r="AE154" s="38"/>
      <c r="AF154" s="38">
        <f t="shared" ref="AF154" si="1858">TRUNC($M154 * AE154,2)</f>
        <v>0</v>
      </c>
      <c r="AG154" s="38"/>
      <c r="AH154" s="38">
        <f t="shared" ref="AH154" si="1859">TRUNC($M154 * AG154,2)</f>
        <v>0</v>
      </c>
      <c r="AI154" s="38"/>
      <c r="AJ154" s="38">
        <f t="shared" ref="AJ154" si="1860">TRUNC($M154 * AI154,2)</f>
        <v>0</v>
      </c>
      <c r="AK154" s="38"/>
      <c r="AL154" s="38">
        <f t="shared" ref="AL154" si="1861">TRUNC($M154 * AK154,2)</f>
        <v>0</v>
      </c>
      <c r="AM154" s="38"/>
      <c r="AN154" s="38">
        <f t="shared" ref="AN154" si="1862">TRUNC($M154 * AM154,2)</f>
        <v>0</v>
      </c>
      <c r="AO154" s="38"/>
      <c r="AP154" s="38">
        <f t="shared" ref="AP154" si="1863">TRUNC($M154 * AO154,2)</f>
        <v>0</v>
      </c>
      <c r="AQ154" s="38"/>
      <c r="AR154" s="38">
        <f t="shared" ref="AR154" si="1864">TRUNC($M154 * AQ154,2)</f>
        <v>0</v>
      </c>
      <c r="AS154" s="38"/>
      <c r="AT154" s="38">
        <f t="shared" ref="AT154" si="1865">TRUNC($M154 * AS154,2)</f>
        <v>0</v>
      </c>
      <c r="AU154" s="38"/>
      <c r="AV154" s="38">
        <f t="shared" ref="AV154" si="1866">TRUNC($M154 * AU154,2)</f>
        <v>0</v>
      </c>
      <c r="AW154" s="38"/>
      <c r="AX154" s="37">
        <f t="shared" ref="AX154" si="1867">TRUNC($M154 * AW154,2)</f>
        <v>0</v>
      </c>
      <c r="AY154" s="36">
        <f t="shared" si="1746"/>
        <v>0</v>
      </c>
      <c r="AZ154" s="38">
        <f t="shared" ref="AZ154" si="1868">TRUNC($M154 * AY154,2)</f>
        <v>0</v>
      </c>
      <c r="BA154" s="38">
        <f t="shared" si="1748"/>
        <v>0.45</v>
      </c>
      <c r="BB154" s="37">
        <f t="shared" ref="BB154" si="1869">TRUNC($M154 * BA154,2)</f>
        <v>65.400000000000006</v>
      </c>
    </row>
    <row r="155" spans="1:54" ht="24" customHeight="1" x14ac:dyDescent="0.25">
      <c r="A155" s="4" t="s">
        <v>368</v>
      </c>
      <c r="B155" s="4" t="s">
        <v>12</v>
      </c>
      <c r="C155" s="4"/>
      <c r="D155" s="4" t="s">
        <v>369</v>
      </c>
      <c r="E155" s="5"/>
      <c r="F155" s="14"/>
      <c r="G155" s="6"/>
      <c r="H155" s="6"/>
      <c r="I155" s="7">
        <f>SUM(I156,I161)</f>
        <v>83296.56</v>
      </c>
      <c r="J155" s="7"/>
      <c r="K155" s="7">
        <f>SUM(K156,K161)</f>
        <v>100231.89</v>
      </c>
      <c r="L155" s="22">
        <f>K155 / L13</f>
        <v>3.4562720689655164E-2</v>
      </c>
      <c r="M155" s="25"/>
      <c r="N155" s="26">
        <f>SUM(N156,N161)</f>
        <v>82742.23</v>
      </c>
      <c r="O155" s="25"/>
      <c r="P155" s="30">
        <f>SUM(P156,P161)</f>
        <v>0</v>
      </c>
      <c r="Q155" s="30"/>
      <c r="R155" s="30">
        <f>SUM(R156,R161)</f>
        <v>0</v>
      </c>
      <c r="S155" s="30"/>
      <c r="T155" s="26">
        <f>SUM(T156,T161)</f>
        <v>82742.23</v>
      </c>
      <c r="U155" s="25"/>
      <c r="V155" s="30">
        <f>SUM(V156,V161)</f>
        <v>0</v>
      </c>
      <c r="W155" s="30"/>
      <c r="X155" s="30">
        <f>SUM(X156,X161)</f>
        <v>0</v>
      </c>
      <c r="Y155" s="30"/>
      <c r="Z155" s="30">
        <f>SUM(Z156,Z161)</f>
        <v>0</v>
      </c>
      <c r="AA155" s="30"/>
      <c r="AB155" s="30">
        <f>SUM(AB156,AB161)</f>
        <v>0</v>
      </c>
      <c r="AC155" s="30"/>
      <c r="AD155" s="30">
        <f>SUM(AD156,AD161)</f>
        <v>0</v>
      </c>
      <c r="AE155" s="30"/>
      <c r="AF155" s="30">
        <f>SUM(AF156,AF161)</f>
        <v>0</v>
      </c>
      <c r="AG155" s="30"/>
      <c r="AH155" s="30">
        <f>SUM(AH156,AH161)</f>
        <v>0</v>
      </c>
      <c r="AI155" s="30"/>
      <c r="AJ155" s="30">
        <f>SUM(AJ156,AJ161)</f>
        <v>0</v>
      </c>
      <c r="AK155" s="30"/>
      <c r="AL155" s="30">
        <f>SUM(AL156,AL161)</f>
        <v>0</v>
      </c>
      <c r="AM155" s="30"/>
      <c r="AN155" s="30">
        <f>SUM(AN156,AN161)</f>
        <v>0</v>
      </c>
      <c r="AO155" s="30"/>
      <c r="AP155" s="30">
        <f>SUM(AP156,AP161)</f>
        <v>0</v>
      </c>
      <c r="AQ155" s="30"/>
      <c r="AR155" s="30">
        <f>SUM(AR156,AR161)</f>
        <v>0</v>
      </c>
      <c r="AS155" s="30"/>
      <c r="AT155" s="30">
        <f>SUM(AT156,AT161)</f>
        <v>0</v>
      </c>
      <c r="AU155" s="30"/>
      <c r="AV155" s="30">
        <f>SUM(AV156,AV161)</f>
        <v>0</v>
      </c>
      <c r="AW155" s="30"/>
      <c r="AX155" s="26">
        <f>SUM(AX156,AX161)</f>
        <v>0</v>
      </c>
      <c r="AY155" s="25"/>
      <c r="AZ155" s="30">
        <f>SUM(AZ156,AZ161)</f>
        <v>0</v>
      </c>
      <c r="BA155" s="30"/>
      <c r="BB155" s="26">
        <f>SUM(BB156,BB161)</f>
        <v>82742.23</v>
      </c>
    </row>
    <row r="156" spans="1:54" ht="24" customHeight="1" x14ac:dyDescent="0.25">
      <c r="A156" s="4" t="s">
        <v>370</v>
      </c>
      <c r="B156" s="4" t="s">
        <v>12</v>
      </c>
      <c r="C156" s="4"/>
      <c r="D156" s="4" t="s">
        <v>371</v>
      </c>
      <c r="E156" s="5"/>
      <c r="F156" s="14"/>
      <c r="G156" s="6"/>
      <c r="H156" s="6"/>
      <c r="I156" s="7">
        <f>SUM(I157:I160)</f>
        <v>65954.600000000006</v>
      </c>
      <c r="J156" s="7"/>
      <c r="K156" s="7">
        <f>SUM(K157:K160)</f>
        <v>79363.61</v>
      </c>
      <c r="L156" s="22">
        <f>K156 / L13</f>
        <v>2.7366762068965513E-2</v>
      </c>
      <c r="M156" s="25"/>
      <c r="N156" s="26">
        <f>SUM(N157:N160)</f>
        <v>67076.75</v>
      </c>
      <c r="O156" s="25"/>
      <c r="P156" s="30">
        <f>SUM(P157:P159)</f>
        <v>0</v>
      </c>
      <c r="Q156" s="30"/>
      <c r="R156" s="30">
        <f>SUM(R157:R160)</f>
        <v>0</v>
      </c>
      <c r="S156" s="30"/>
      <c r="T156" s="26">
        <f>SUM(T157:T160)</f>
        <v>67076.75</v>
      </c>
      <c r="U156" s="25"/>
      <c r="V156" s="30">
        <f>SUM(V157:V159)</f>
        <v>0</v>
      </c>
      <c r="W156" s="30"/>
      <c r="X156" s="30">
        <f>SUM(X157:X159)</f>
        <v>0</v>
      </c>
      <c r="Y156" s="30"/>
      <c r="Z156" s="30">
        <f>SUM(Z157:Z159)</f>
        <v>0</v>
      </c>
      <c r="AA156" s="30"/>
      <c r="AB156" s="30">
        <f>SUM(AB157:AB159)</f>
        <v>0</v>
      </c>
      <c r="AC156" s="30"/>
      <c r="AD156" s="30">
        <f>SUM(AD157:AD159)</f>
        <v>0</v>
      </c>
      <c r="AE156" s="30"/>
      <c r="AF156" s="30">
        <f>SUM(AF157:AF159)</f>
        <v>0</v>
      </c>
      <c r="AG156" s="30"/>
      <c r="AH156" s="30">
        <f>SUM(AH157:AH159)</f>
        <v>0</v>
      </c>
      <c r="AI156" s="30"/>
      <c r="AJ156" s="30">
        <f>SUM(AJ157:AJ159)</f>
        <v>0</v>
      </c>
      <c r="AK156" s="30"/>
      <c r="AL156" s="30">
        <f>SUM(AL157:AL159)</f>
        <v>0</v>
      </c>
      <c r="AM156" s="30"/>
      <c r="AN156" s="30">
        <f>SUM(AN157:AN159)</f>
        <v>0</v>
      </c>
      <c r="AO156" s="30"/>
      <c r="AP156" s="30">
        <f>SUM(AP157:AP159)</f>
        <v>0</v>
      </c>
      <c r="AQ156" s="30"/>
      <c r="AR156" s="30">
        <f>SUM(AR157:AR159)</f>
        <v>0</v>
      </c>
      <c r="AS156" s="30"/>
      <c r="AT156" s="30">
        <f>SUM(AT157:AT159)</f>
        <v>0</v>
      </c>
      <c r="AU156" s="30"/>
      <c r="AV156" s="30">
        <f>SUM(AV157:AV159)</f>
        <v>0</v>
      </c>
      <c r="AW156" s="30"/>
      <c r="AX156" s="26">
        <f>SUM(AX157:AX159)</f>
        <v>0</v>
      </c>
      <c r="AY156" s="25"/>
      <c r="AZ156" s="30">
        <f>SUM(AZ157:AZ160)</f>
        <v>0</v>
      </c>
      <c r="BA156" s="30"/>
      <c r="BB156" s="26">
        <f>SUM(BB157:BB160)</f>
        <v>67076.75</v>
      </c>
    </row>
    <row r="157" spans="1:54" ht="51.9" customHeight="1" x14ac:dyDescent="0.25">
      <c r="A157" s="31" t="s">
        <v>372</v>
      </c>
      <c r="B157" s="31" t="s">
        <v>373</v>
      </c>
      <c r="C157" s="31" t="s">
        <v>34</v>
      </c>
      <c r="D157" s="31" t="s">
        <v>374</v>
      </c>
      <c r="E157" s="32" t="s">
        <v>26</v>
      </c>
      <c r="F157" s="33">
        <v>2042.32</v>
      </c>
      <c r="G157" s="34">
        <v>8.39</v>
      </c>
      <c r="H157" s="34">
        <f t="shared" ref="H157:H162" si="1870">TRUNC(G157*$L$1,2)</f>
        <v>7.72</v>
      </c>
      <c r="I157" s="34">
        <f t="shared" ref="I157:I162" si="1871">TRUNC(F157 * H157,2)</f>
        <v>15766.71</v>
      </c>
      <c r="J157" s="34">
        <f>(TRUNC(H157 * L14,2) + H157)</f>
        <v>9.2899999999999991</v>
      </c>
      <c r="K157" s="34">
        <f>TRUNC(F157 * J157,2)</f>
        <v>18973.150000000001</v>
      </c>
      <c r="L157" s="35">
        <f>K157 / L13</f>
        <v>6.542465517241379E-3</v>
      </c>
      <c r="M157" s="36">
        <v>8.36</v>
      </c>
      <c r="N157" s="37">
        <f t="shared" ref="N157:N162" si="1872">TRUNC(F157 * M157,2)</f>
        <v>17073.79</v>
      </c>
      <c r="O157" s="36"/>
      <c r="P157" s="38">
        <f t="shared" ref="P157:R162" si="1873">TRUNC($M157 * O157,2)</f>
        <v>0</v>
      </c>
      <c r="Q157" s="38"/>
      <c r="R157" s="38">
        <f t="shared" si="1873"/>
        <v>0</v>
      </c>
      <c r="S157" s="38">
        <f t="shared" ref="S157:S162" si="1874">F157+O157-Q157</f>
        <v>2042.32</v>
      </c>
      <c r="T157" s="37">
        <f t="shared" ref="T157:V157" si="1875">TRUNC($M157 * S157,2)</f>
        <v>17073.79</v>
      </c>
      <c r="U157" s="36"/>
      <c r="V157" s="38">
        <f t="shared" si="1875"/>
        <v>0</v>
      </c>
      <c r="W157" s="38"/>
      <c r="X157" s="38">
        <f t="shared" ref="X157" si="1876">TRUNC($M157 * W157,2)</f>
        <v>0</v>
      </c>
      <c r="Y157" s="38"/>
      <c r="Z157" s="38">
        <f t="shared" ref="Z157" si="1877">TRUNC($M157 * Y157,2)</f>
        <v>0</v>
      </c>
      <c r="AA157" s="38"/>
      <c r="AB157" s="38">
        <f t="shared" ref="AB157" si="1878">TRUNC($M157 * AA157,2)</f>
        <v>0</v>
      </c>
      <c r="AC157" s="38"/>
      <c r="AD157" s="38">
        <f t="shared" ref="AD157" si="1879">TRUNC($M157 * AC157,2)</f>
        <v>0</v>
      </c>
      <c r="AE157" s="38"/>
      <c r="AF157" s="38">
        <f t="shared" ref="AF157" si="1880">TRUNC($M157 * AE157,2)</f>
        <v>0</v>
      </c>
      <c r="AG157" s="38"/>
      <c r="AH157" s="38">
        <f t="shared" ref="AH157" si="1881">TRUNC($M157 * AG157,2)</f>
        <v>0</v>
      </c>
      <c r="AI157" s="38"/>
      <c r="AJ157" s="38">
        <f t="shared" ref="AJ157" si="1882">TRUNC($M157 * AI157,2)</f>
        <v>0</v>
      </c>
      <c r="AK157" s="38"/>
      <c r="AL157" s="38">
        <f t="shared" ref="AL157" si="1883">TRUNC($M157 * AK157,2)</f>
        <v>0</v>
      </c>
      <c r="AM157" s="38"/>
      <c r="AN157" s="38">
        <f t="shared" ref="AN157" si="1884">TRUNC($M157 * AM157,2)</f>
        <v>0</v>
      </c>
      <c r="AO157" s="38"/>
      <c r="AP157" s="38">
        <f t="shared" ref="AP157" si="1885">TRUNC($M157 * AO157,2)</f>
        <v>0</v>
      </c>
      <c r="AQ157" s="38"/>
      <c r="AR157" s="38">
        <f t="shared" ref="AR157" si="1886">TRUNC($M157 * AQ157,2)</f>
        <v>0</v>
      </c>
      <c r="AS157" s="38"/>
      <c r="AT157" s="38">
        <f t="shared" ref="AT157" si="1887">TRUNC($M157 * AS157,2)</f>
        <v>0</v>
      </c>
      <c r="AU157" s="38"/>
      <c r="AV157" s="38">
        <f t="shared" ref="AV157" si="1888">TRUNC($M157 * AU157,2)</f>
        <v>0</v>
      </c>
      <c r="AW157" s="38"/>
      <c r="AX157" s="37">
        <f t="shared" ref="AX157" si="1889">TRUNC($M157 * AW157,2)</f>
        <v>0</v>
      </c>
      <c r="AY157" s="36">
        <f t="shared" ref="AY157:AY162" si="1890">SUM(U157,W157,Y157,AA157,AC157,AE157,AG157,AI157,AK157,AM157,AO157,AQ157,AS157,AU157,AW157)</f>
        <v>0</v>
      </c>
      <c r="AZ157" s="38">
        <f t="shared" ref="AZ157" si="1891">TRUNC($M157 * AY157,2)</f>
        <v>0</v>
      </c>
      <c r="BA157" s="38">
        <f t="shared" ref="BA157:BA162" si="1892">S157-AY157</f>
        <v>2042.32</v>
      </c>
      <c r="BB157" s="37">
        <f t="shared" ref="BB157" si="1893">TRUNC($M157 * BA157,2)</f>
        <v>17073.79</v>
      </c>
    </row>
    <row r="158" spans="1:54" ht="51.9" customHeight="1" x14ac:dyDescent="0.25">
      <c r="A158" s="31" t="s">
        <v>375</v>
      </c>
      <c r="B158" s="31" t="s">
        <v>376</v>
      </c>
      <c r="C158" s="31" t="s">
        <v>34</v>
      </c>
      <c r="D158" s="31" t="s">
        <v>377</v>
      </c>
      <c r="E158" s="32" t="s">
        <v>26</v>
      </c>
      <c r="F158" s="33">
        <v>1957.38</v>
      </c>
      <c r="G158" s="34">
        <v>22.5</v>
      </c>
      <c r="H158" s="34">
        <f t="shared" si="1870"/>
        <v>20.71</v>
      </c>
      <c r="I158" s="34">
        <f t="shared" si="1871"/>
        <v>40537.33</v>
      </c>
      <c r="J158" s="34">
        <f>(TRUNC(H158 * L14,2) + H158)</f>
        <v>24.92</v>
      </c>
      <c r="K158" s="34">
        <f>TRUNC(F158 * J158,2)</f>
        <v>48777.9</v>
      </c>
      <c r="L158" s="35">
        <f>K158 / L13</f>
        <v>1.6819965517241377E-2</v>
      </c>
      <c r="M158" s="36">
        <v>21.03</v>
      </c>
      <c r="N158" s="37">
        <f t="shared" si="1872"/>
        <v>41163.699999999997</v>
      </c>
      <c r="O158" s="36"/>
      <c r="P158" s="38">
        <f t="shared" si="1873"/>
        <v>0</v>
      </c>
      <c r="Q158" s="38"/>
      <c r="R158" s="38">
        <f t="shared" si="1873"/>
        <v>0</v>
      </c>
      <c r="S158" s="38">
        <f t="shared" si="1874"/>
        <v>1957.38</v>
      </c>
      <c r="T158" s="37">
        <f t="shared" ref="T158:V158" si="1894">TRUNC($M158 * S158,2)</f>
        <v>41163.699999999997</v>
      </c>
      <c r="U158" s="36"/>
      <c r="V158" s="38">
        <f t="shared" si="1894"/>
        <v>0</v>
      </c>
      <c r="W158" s="38"/>
      <c r="X158" s="38">
        <f t="shared" ref="X158" si="1895">TRUNC($M158 * W158,2)</f>
        <v>0</v>
      </c>
      <c r="Y158" s="38"/>
      <c r="Z158" s="38">
        <f t="shared" ref="Z158" si="1896">TRUNC($M158 * Y158,2)</f>
        <v>0</v>
      </c>
      <c r="AA158" s="38"/>
      <c r="AB158" s="38">
        <f t="shared" ref="AB158" si="1897">TRUNC($M158 * AA158,2)</f>
        <v>0</v>
      </c>
      <c r="AC158" s="38"/>
      <c r="AD158" s="38">
        <f t="shared" ref="AD158" si="1898">TRUNC($M158 * AC158,2)</f>
        <v>0</v>
      </c>
      <c r="AE158" s="38"/>
      <c r="AF158" s="38">
        <f t="shared" ref="AF158" si="1899">TRUNC($M158 * AE158,2)</f>
        <v>0</v>
      </c>
      <c r="AG158" s="38"/>
      <c r="AH158" s="38">
        <f t="shared" ref="AH158" si="1900">TRUNC($M158 * AG158,2)</f>
        <v>0</v>
      </c>
      <c r="AI158" s="38"/>
      <c r="AJ158" s="38">
        <f t="shared" ref="AJ158" si="1901">TRUNC($M158 * AI158,2)</f>
        <v>0</v>
      </c>
      <c r="AK158" s="38"/>
      <c r="AL158" s="38">
        <f t="shared" ref="AL158" si="1902">TRUNC($M158 * AK158,2)</f>
        <v>0</v>
      </c>
      <c r="AM158" s="38"/>
      <c r="AN158" s="38">
        <f t="shared" ref="AN158" si="1903">TRUNC($M158 * AM158,2)</f>
        <v>0</v>
      </c>
      <c r="AO158" s="38"/>
      <c r="AP158" s="38">
        <f t="shared" ref="AP158" si="1904">TRUNC($M158 * AO158,2)</f>
        <v>0</v>
      </c>
      <c r="AQ158" s="38"/>
      <c r="AR158" s="38">
        <f t="shared" ref="AR158" si="1905">TRUNC($M158 * AQ158,2)</f>
        <v>0</v>
      </c>
      <c r="AS158" s="38"/>
      <c r="AT158" s="38">
        <f t="shared" ref="AT158" si="1906">TRUNC($M158 * AS158,2)</f>
        <v>0</v>
      </c>
      <c r="AU158" s="38"/>
      <c r="AV158" s="38">
        <f t="shared" ref="AV158" si="1907">TRUNC($M158 * AU158,2)</f>
        <v>0</v>
      </c>
      <c r="AW158" s="38"/>
      <c r="AX158" s="37">
        <f t="shared" ref="AX158" si="1908">TRUNC($M158 * AW158,2)</f>
        <v>0</v>
      </c>
      <c r="AY158" s="36">
        <f t="shared" si="1890"/>
        <v>0</v>
      </c>
      <c r="AZ158" s="38">
        <f t="shared" ref="AZ158" si="1909">TRUNC($M158 * AY158,2)</f>
        <v>0</v>
      </c>
      <c r="BA158" s="38">
        <f t="shared" si="1892"/>
        <v>1957.38</v>
      </c>
      <c r="BB158" s="37">
        <f t="shared" ref="BB158" si="1910">TRUNC($M158 * BA158,2)</f>
        <v>41163.699999999997</v>
      </c>
    </row>
    <row r="159" spans="1:54" ht="51.9" customHeight="1" x14ac:dyDescent="0.25">
      <c r="A159" s="31" t="s">
        <v>378</v>
      </c>
      <c r="B159" s="31" t="s">
        <v>379</v>
      </c>
      <c r="C159" s="31" t="s">
        <v>34</v>
      </c>
      <c r="D159" s="31" t="s">
        <v>380</v>
      </c>
      <c r="E159" s="32" t="s">
        <v>26</v>
      </c>
      <c r="F159" s="33">
        <v>84.9</v>
      </c>
      <c r="G159" s="34">
        <v>21.78</v>
      </c>
      <c r="H159" s="34">
        <f>TRUNC(G159*$L$1,2)</f>
        <v>20.05</v>
      </c>
      <c r="I159" s="34">
        <f>TRUNC(F159 * H159,2)</f>
        <v>1702.24</v>
      </c>
      <c r="J159" s="34">
        <f>(TRUNC(H159 * L14,2) + H159)</f>
        <v>24.12</v>
      </c>
      <c r="K159" s="34">
        <f>TRUNC(F159 * J159,2)</f>
        <v>2047.78</v>
      </c>
      <c r="L159" s="35">
        <f>K159 / L13</f>
        <v>7.0613103448275848E-4</v>
      </c>
      <c r="M159" s="36">
        <v>20.27</v>
      </c>
      <c r="N159" s="37">
        <f>TRUNC(F159 * M159,2)</f>
        <v>1720.92</v>
      </c>
      <c r="O159" s="36"/>
      <c r="P159" s="38">
        <f t="shared" si="1873"/>
        <v>0</v>
      </c>
      <c r="Q159" s="38"/>
      <c r="R159" s="38">
        <f t="shared" si="1873"/>
        <v>0</v>
      </c>
      <c r="S159" s="38">
        <f t="shared" si="1874"/>
        <v>84.9</v>
      </c>
      <c r="T159" s="37">
        <f t="shared" ref="T159:V159" si="1911">TRUNC($M159 * S159,2)</f>
        <v>1720.92</v>
      </c>
      <c r="U159" s="36"/>
      <c r="V159" s="38">
        <f t="shared" si="1911"/>
        <v>0</v>
      </c>
      <c r="W159" s="38"/>
      <c r="X159" s="38">
        <f t="shared" ref="X159" si="1912">TRUNC($M159 * W159,2)</f>
        <v>0</v>
      </c>
      <c r="Y159" s="38"/>
      <c r="Z159" s="38">
        <f t="shared" ref="Z159" si="1913">TRUNC($M159 * Y159,2)</f>
        <v>0</v>
      </c>
      <c r="AA159" s="38"/>
      <c r="AB159" s="38">
        <f t="shared" ref="AB159" si="1914">TRUNC($M159 * AA159,2)</f>
        <v>0</v>
      </c>
      <c r="AC159" s="38"/>
      <c r="AD159" s="38">
        <f t="shared" ref="AD159" si="1915">TRUNC($M159 * AC159,2)</f>
        <v>0</v>
      </c>
      <c r="AE159" s="38"/>
      <c r="AF159" s="38">
        <f t="shared" ref="AF159" si="1916">TRUNC($M159 * AE159,2)</f>
        <v>0</v>
      </c>
      <c r="AG159" s="38"/>
      <c r="AH159" s="38">
        <f t="shared" ref="AH159" si="1917">TRUNC($M159 * AG159,2)</f>
        <v>0</v>
      </c>
      <c r="AI159" s="38"/>
      <c r="AJ159" s="38">
        <f t="shared" ref="AJ159" si="1918">TRUNC($M159 * AI159,2)</f>
        <v>0</v>
      </c>
      <c r="AK159" s="38"/>
      <c r="AL159" s="38">
        <f t="shared" ref="AL159" si="1919">TRUNC($M159 * AK159,2)</f>
        <v>0</v>
      </c>
      <c r="AM159" s="38"/>
      <c r="AN159" s="38">
        <f t="shared" ref="AN159" si="1920">TRUNC($M159 * AM159,2)</f>
        <v>0</v>
      </c>
      <c r="AO159" s="38"/>
      <c r="AP159" s="38">
        <f t="shared" ref="AP159" si="1921">TRUNC($M159 * AO159,2)</f>
        <v>0</v>
      </c>
      <c r="AQ159" s="38"/>
      <c r="AR159" s="38">
        <f t="shared" ref="AR159" si="1922">TRUNC($M159 * AQ159,2)</f>
        <v>0</v>
      </c>
      <c r="AS159" s="38"/>
      <c r="AT159" s="38">
        <f t="shared" ref="AT159" si="1923">TRUNC($M159 * AS159,2)</f>
        <v>0</v>
      </c>
      <c r="AU159" s="38"/>
      <c r="AV159" s="38">
        <f t="shared" ref="AV159" si="1924">TRUNC($M159 * AU159,2)</f>
        <v>0</v>
      </c>
      <c r="AW159" s="38"/>
      <c r="AX159" s="37">
        <f t="shared" ref="AX159" si="1925">TRUNC($M159 * AW159,2)</f>
        <v>0</v>
      </c>
      <c r="AY159" s="36">
        <f t="shared" si="1890"/>
        <v>0</v>
      </c>
      <c r="AZ159" s="38">
        <f t="shared" ref="AZ159" si="1926">TRUNC($M159 * AY159,2)</f>
        <v>0</v>
      </c>
      <c r="BA159" s="38">
        <f t="shared" si="1892"/>
        <v>84.9</v>
      </c>
      <c r="BB159" s="37">
        <f t="shared" ref="BB159" si="1927">TRUNC($M159 * BA159,2)</f>
        <v>1720.92</v>
      </c>
    </row>
    <row r="160" spans="1:54" ht="32.25" customHeight="1" x14ac:dyDescent="0.25">
      <c r="A160" s="31" t="s">
        <v>1339</v>
      </c>
      <c r="B160" s="31" t="s">
        <v>1340</v>
      </c>
      <c r="C160" s="31" t="s">
        <v>1334</v>
      </c>
      <c r="D160" s="31" t="s">
        <v>1341</v>
      </c>
      <c r="E160" s="32" t="s">
        <v>69</v>
      </c>
      <c r="F160" s="33">
        <v>58</v>
      </c>
      <c r="G160" s="34">
        <v>148.84</v>
      </c>
      <c r="H160" s="34">
        <f>TRUNC(G160*$L$1,2)</f>
        <v>137.04</v>
      </c>
      <c r="I160" s="34">
        <f>TRUNC(F160 * H160,2)</f>
        <v>7948.32</v>
      </c>
      <c r="J160" s="34">
        <f>(TRUNC(H160 * L14,2) + H160)</f>
        <v>164.91</v>
      </c>
      <c r="K160" s="34">
        <f>TRUNC(F160 * J160,2)</f>
        <v>9564.7800000000007</v>
      </c>
      <c r="L160" s="35">
        <f>K160 / L13</f>
        <v>3.2981999999999998E-3</v>
      </c>
      <c r="M160" s="36">
        <v>122.73</v>
      </c>
      <c r="N160" s="37">
        <f>TRUNC(F160 * M160,2)</f>
        <v>7118.34</v>
      </c>
      <c r="O160" s="36"/>
      <c r="P160" s="38">
        <f t="shared" si="1873"/>
        <v>0</v>
      </c>
      <c r="Q160" s="38"/>
      <c r="R160" s="38">
        <f t="shared" si="1873"/>
        <v>0</v>
      </c>
      <c r="S160" s="38">
        <f t="shared" si="1874"/>
        <v>58</v>
      </c>
      <c r="T160" s="37">
        <f t="shared" ref="T160:V160" si="1928">TRUNC($M160 * S160,2)</f>
        <v>7118.34</v>
      </c>
      <c r="U160" s="36"/>
      <c r="V160" s="38">
        <f t="shared" si="1928"/>
        <v>0</v>
      </c>
      <c r="W160" s="38"/>
      <c r="X160" s="38">
        <f t="shared" ref="X160" si="1929">TRUNC($M160 * W160,2)</f>
        <v>0</v>
      </c>
      <c r="Y160" s="38"/>
      <c r="Z160" s="38">
        <f t="shared" ref="Z160" si="1930">TRUNC($M160 * Y160,2)</f>
        <v>0</v>
      </c>
      <c r="AA160" s="38"/>
      <c r="AB160" s="38">
        <f t="shared" ref="AB160" si="1931">TRUNC($M160 * AA160,2)</f>
        <v>0</v>
      </c>
      <c r="AC160" s="38"/>
      <c r="AD160" s="38">
        <f t="shared" ref="AD160" si="1932">TRUNC($M160 * AC160,2)</f>
        <v>0</v>
      </c>
      <c r="AE160" s="38"/>
      <c r="AF160" s="38">
        <f t="shared" ref="AF160" si="1933">TRUNC($M160 * AE160,2)</f>
        <v>0</v>
      </c>
      <c r="AG160" s="38"/>
      <c r="AH160" s="38">
        <f t="shared" ref="AH160" si="1934">TRUNC($M160 * AG160,2)</f>
        <v>0</v>
      </c>
      <c r="AI160" s="38"/>
      <c r="AJ160" s="38">
        <f t="shared" ref="AJ160" si="1935">TRUNC($M160 * AI160,2)</f>
        <v>0</v>
      </c>
      <c r="AK160" s="38"/>
      <c r="AL160" s="38">
        <f t="shared" ref="AL160" si="1936">TRUNC($M160 * AK160,2)</f>
        <v>0</v>
      </c>
      <c r="AM160" s="38"/>
      <c r="AN160" s="38">
        <f t="shared" ref="AN160" si="1937">TRUNC($M160 * AM160,2)</f>
        <v>0</v>
      </c>
      <c r="AO160" s="38"/>
      <c r="AP160" s="38">
        <f t="shared" ref="AP160" si="1938">TRUNC($M160 * AO160,2)</f>
        <v>0</v>
      </c>
      <c r="AQ160" s="38"/>
      <c r="AR160" s="38">
        <f t="shared" ref="AR160" si="1939">TRUNC($M160 * AQ160,2)</f>
        <v>0</v>
      </c>
      <c r="AS160" s="38"/>
      <c r="AT160" s="38">
        <f t="shared" ref="AT160" si="1940">TRUNC($M160 * AS160,2)</f>
        <v>0</v>
      </c>
      <c r="AU160" s="38"/>
      <c r="AV160" s="38">
        <f t="shared" ref="AV160" si="1941">TRUNC($M160 * AU160,2)</f>
        <v>0</v>
      </c>
      <c r="AW160" s="38"/>
      <c r="AX160" s="37">
        <f t="shared" ref="AX160" si="1942">TRUNC($M160 * AW160,2)</f>
        <v>0</v>
      </c>
      <c r="AY160" s="36">
        <f t="shared" si="1890"/>
        <v>0</v>
      </c>
      <c r="AZ160" s="38">
        <f t="shared" ref="AZ160" si="1943">TRUNC($M160 * AY160,2)</f>
        <v>0</v>
      </c>
      <c r="BA160" s="38">
        <f t="shared" si="1892"/>
        <v>58</v>
      </c>
      <c r="BB160" s="37">
        <f t="shared" ref="BB160" si="1944">TRUNC($M160 * BA160,2)</f>
        <v>7118.34</v>
      </c>
    </row>
    <row r="161" spans="1:54" ht="24" customHeight="1" x14ac:dyDescent="0.25">
      <c r="A161" s="4" t="s">
        <v>381</v>
      </c>
      <c r="B161" s="4" t="s">
        <v>12</v>
      </c>
      <c r="C161" s="4"/>
      <c r="D161" s="4" t="s">
        <v>382</v>
      </c>
      <c r="E161" s="5"/>
      <c r="F161" s="14"/>
      <c r="G161" s="6"/>
      <c r="H161" s="6"/>
      <c r="I161" s="7">
        <f>SUM(I162)</f>
        <v>17341.96</v>
      </c>
      <c r="J161" s="7"/>
      <c r="K161" s="7">
        <f>SUM(K162)</f>
        <v>20868.28</v>
      </c>
      <c r="L161" s="22">
        <f>K161 / L13</f>
        <v>7.1959586206896539E-3</v>
      </c>
      <c r="M161" s="25"/>
      <c r="N161" s="26">
        <f>SUM(N162)</f>
        <v>15665.48</v>
      </c>
      <c r="O161" s="25"/>
      <c r="P161" s="30">
        <f>SUM(P162)</f>
        <v>0</v>
      </c>
      <c r="Q161" s="30"/>
      <c r="R161" s="30">
        <f>SUM(R162)</f>
        <v>0</v>
      </c>
      <c r="S161" s="30"/>
      <c r="T161" s="26">
        <f>SUM(T162)</f>
        <v>15665.48</v>
      </c>
      <c r="U161" s="25"/>
      <c r="V161" s="30">
        <f>SUM(V162)</f>
        <v>0</v>
      </c>
      <c r="W161" s="30"/>
      <c r="X161" s="30">
        <f>SUM(X162)</f>
        <v>0</v>
      </c>
      <c r="Y161" s="30"/>
      <c r="Z161" s="30">
        <f>SUM(Z162)</f>
        <v>0</v>
      </c>
      <c r="AA161" s="30"/>
      <c r="AB161" s="30">
        <f>SUM(AB162)</f>
        <v>0</v>
      </c>
      <c r="AC161" s="30"/>
      <c r="AD161" s="30">
        <f>SUM(AD162)</f>
        <v>0</v>
      </c>
      <c r="AE161" s="30"/>
      <c r="AF161" s="30">
        <f>SUM(AF162)</f>
        <v>0</v>
      </c>
      <c r="AG161" s="30"/>
      <c r="AH161" s="30">
        <f>SUM(AH162)</f>
        <v>0</v>
      </c>
      <c r="AI161" s="30"/>
      <c r="AJ161" s="30">
        <f>SUM(AJ162)</f>
        <v>0</v>
      </c>
      <c r="AK161" s="30"/>
      <c r="AL161" s="30">
        <f>SUM(AL162)</f>
        <v>0</v>
      </c>
      <c r="AM161" s="30"/>
      <c r="AN161" s="30">
        <f>SUM(AN162)</f>
        <v>0</v>
      </c>
      <c r="AO161" s="30"/>
      <c r="AP161" s="30">
        <f>SUM(AP162)</f>
        <v>0</v>
      </c>
      <c r="AQ161" s="30"/>
      <c r="AR161" s="30">
        <f>SUM(AR162)</f>
        <v>0</v>
      </c>
      <c r="AS161" s="30"/>
      <c r="AT161" s="30">
        <f>SUM(AT162)</f>
        <v>0</v>
      </c>
      <c r="AU161" s="30"/>
      <c r="AV161" s="30">
        <f>SUM(AV162)</f>
        <v>0</v>
      </c>
      <c r="AW161" s="30"/>
      <c r="AX161" s="26">
        <f>SUM(AX162)</f>
        <v>0</v>
      </c>
      <c r="AY161" s="25"/>
      <c r="AZ161" s="30">
        <f>SUM(AZ162)</f>
        <v>0</v>
      </c>
      <c r="BA161" s="30"/>
      <c r="BB161" s="26">
        <f>SUM(BB162)</f>
        <v>15665.48</v>
      </c>
    </row>
    <row r="162" spans="1:54" ht="51.9" customHeight="1" x14ac:dyDescent="0.25">
      <c r="A162" s="31" t="s">
        <v>383</v>
      </c>
      <c r="B162" s="31" t="s">
        <v>384</v>
      </c>
      <c r="C162" s="31" t="s">
        <v>34</v>
      </c>
      <c r="D162" s="31" t="s">
        <v>385</v>
      </c>
      <c r="E162" s="32" t="s">
        <v>26</v>
      </c>
      <c r="F162" s="33">
        <v>211.41</v>
      </c>
      <c r="G162" s="34">
        <v>89.1</v>
      </c>
      <c r="H162" s="34">
        <f t="shared" si="1870"/>
        <v>82.03</v>
      </c>
      <c r="I162" s="34">
        <f t="shared" si="1871"/>
        <v>17341.96</v>
      </c>
      <c r="J162" s="34">
        <f>(TRUNC(H162 * L14,2) + H162)</f>
        <v>98.710000000000008</v>
      </c>
      <c r="K162" s="34">
        <f>TRUNC(F162 * J162,2)</f>
        <v>20868.28</v>
      </c>
      <c r="L162" s="35">
        <f>K162 / L13</f>
        <v>7.1959586206896539E-3</v>
      </c>
      <c r="M162" s="36">
        <v>74.099999999999994</v>
      </c>
      <c r="N162" s="37">
        <f t="shared" si="1872"/>
        <v>15665.48</v>
      </c>
      <c r="O162" s="36"/>
      <c r="P162" s="38">
        <f t="shared" si="1873"/>
        <v>0</v>
      </c>
      <c r="Q162" s="38"/>
      <c r="R162" s="38">
        <f t="shared" si="1873"/>
        <v>0</v>
      </c>
      <c r="S162" s="38">
        <f t="shared" si="1874"/>
        <v>211.41</v>
      </c>
      <c r="T162" s="37">
        <f t="shared" ref="T162:V162" si="1945">TRUNC($M162 * S162,2)</f>
        <v>15665.48</v>
      </c>
      <c r="U162" s="36"/>
      <c r="V162" s="38">
        <f t="shared" si="1945"/>
        <v>0</v>
      </c>
      <c r="W162" s="38"/>
      <c r="X162" s="38">
        <f t="shared" ref="X162" si="1946">TRUNC($M162 * W162,2)</f>
        <v>0</v>
      </c>
      <c r="Y162" s="38"/>
      <c r="Z162" s="38">
        <f t="shared" ref="Z162" si="1947">TRUNC($M162 * Y162,2)</f>
        <v>0</v>
      </c>
      <c r="AA162" s="38"/>
      <c r="AB162" s="38">
        <f t="shared" ref="AB162" si="1948">TRUNC($M162 * AA162,2)</f>
        <v>0</v>
      </c>
      <c r="AC162" s="38"/>
      <c r="AD162" s="38">
        <f t="shared" ref="AD162" si="1949">TRUNC($M162 * AC162,2)</f>
        <v>0</v>
      </c>
      <c r="AE162" s="38"/>
      <c r="AF162" s="38">
        <f t="shared" ref="AF162" si="1950">TRUNC($M162 * AE162,2)</f>
        <v>0</v>
      </c>
      <c r="AG162" s="38"/>
      <c r="AH162" s="38">
        <f t="shared" ref="AH162" si="1951">TRUNC($M162 * AG162,2)</f>
        <v>0</v>
      </c>
      <c r="AI162" s="38"/>
      <c r="AJ162" s="38">
        <f t="shared" ref="AJ162" si="1952">TRUNC($M162 * AI162,2)</f>
        <v>0</v>
      </c>
      <c r="AK162" s="38"/>
      <c r="AL162" s="38">
        <f t="shared" ref="AL162" si="1953">TRUNC($M162 * AK162,2)</f>
        <v>0</v>
      </c>
      <c r="AM162" s="38"/>
      <c r="AN162" s="38">
        <f t="shared" ref="AN162" si="1954">TRUNC($M162 * AM162,2)</f>
        <v>0</v>
      </c>
      <c r="AO162" s="38"/>
      <c r="AP162" s="38">
        <f t="shared" ref="AP162" si="1955">TRUNC($M162 * AO162,2)</f>
        <v>0</v>
      </c>
      <c r="AQ162" s="38"/>
      <c r="AR162" s="38">
        <f t="shared" ref="AR162" si="1956">TRUNC($M162 * AQ162,2)</f>
        <v>0</v>
      </c>
      <c r="AS162" s="38"/>
      <c r="AT162" s="38">
        <f t="shared" ref="AT162" si="1957">TRUNC($M162 * AS162,2)</f>
        <v>0</v>
      </c>
      <c r="AU162" s="38"/>
      <c r="AV162" s="38">
        <f t="shared" ref="AV162" si="1958">TRUNC($M162 * AU162,2)</f>
        <v>0</v>
      </c>
      <c r="AW162" s="38"/>
      <c r="AX162" s="37">
        <f t="shared" ref="AX162" si="1959">TRUNC($M162 * AW162,2)</f>
        <v>0</v>
      </c>
      <c r="AY162" s="36">
        <f t="shared" si="1890"/>
        <v>0</v>
      </c>
      <c r="AZ162" s="38">
        <f t="shared" ref="AZ162" si="1960">TRUNC($M162 * AY162,2)</f>
        <v>0</v>
      </c>
      <c r="BA162" s="38">
        <f t="shared" si="1892"/>
        <v>211.41</v>
      </c>
      <c r="BB162" s="37">
        <f t="shared" ref="BB162" si="1961">TRUNC($M162 * BA162,2)</f>
        <v>15665.48</v>
      </c>
    </row>
    <row r="163" spans="1:54" ht="24" customHeight="1" x14ac:dyDescent="0.25">
      <c r="A163" s="4">
        <v>9</v>
      </c>
      <c r="B163" s="4" t="s">
        <v>12</v>
      </c>
      <c r="C163" s="4"/>
      <c r="D163" s="4" t="s">
        <v>388</v>
      </c>
      <c r="E163" s="5"/>
      <c r="F163" s="14"/>
      <c r="G163" s="6"/>
      <c r="H163" s="6"/>
      <c r="I163" s="7">
        <f>SUM(I164,I167,I170)</f>
        <v>79628.34</v>
      </c>
      <c r="J163" s="7"/>
      <c r="K163" s="7">
        <f>SUM(K164,K167,K170)</f>
        <v>95818.289999999979</v>
      </c>
      <c r="L163" s="22">
        <f>K163 / L13</f>
        <v>3.3040789655172403E-2</v>
      </c>
      <c r="M163" s="25"/>
      <c r="N163" s="26">
        <f>SUM(N164,N167,N170)</f>
        <v>66951.02</v>
      </c>
      <c r="O163" s="25"/>
      <c r="P163" s="30">
        <f>SUM(P164,P167,P170)</f>
        <v>0</v>
      </c>
      <c r="Q163" s="30"/>
      <c r="R163" s="30">
        <f>SUM(R164,R167,R170)</f>
        <v>0</v>
      </c>
      <c r="S163" s="30"/>
      <c r="T163" s="26">
        <f>SUM(T164,T167,T170)</f>
        <v>66951.02</v>
      </c>
      <c r="U163" s="25"/>
      <c r="V163" s="30">
        <f>SUM(V164,V167,V170)</f>
        <v>0</v>
      </c>
      <c r="W163" s="30"/>
      <c r="X163" s="30">
        <f>SUM(X164,X167,X170)</f>
        <v>0</v>
      </c>
      <c r="Y163" s="30"/>
      <c r="Z163" s="30">
        <f>SUM(Z164,Z167,Z170)</f>
        <v>0</v>
      </c>
      <c r="AA163" s="30"/>
      <c r="AB163" s="30">
        <f>SUM(AB164,AB167,AB170)</f>
        <v>0</v>
      </c>
      <c r="AC163" s="30"/>
      <c r="AD163" s="30">
        <f>SUM(AD164,AD167,AD170)</f>
        <v>0</v>
      </c>
      <c r="AE163" s="30"/>
      <c r="AF163" s="30">
        <f>SUM(AF164,AF167,AF170)</f>
        <v>0</v>
      </c>
      <c r="AG163" s="30"/>
      <c r="AH163" s="30">
        <f>SUM(AH164,AH167,AH170)</f>
        <v>0</v>
      </c>
      <c r="AI163" s="30"/>
      <c r="AJ163" s="30">
        <f>SUM(AJ164,AJ167,AJ170)</f>
        <v>0</v>
      </c>
      <c r="AK163" s="30"/>
      <c r="AL163" s="30">
        <f>SUM(AL164,AL167,AL170)</f>
        <v>0</v>
      </c>
      <c r="AM163" s="30"/>
      <c r="AN163" s="30">
        <f>SUM(AN164,AN167,AN170)</f>
        <v>0</v>
      </c>
      <c r="AO163" s="30"/>
      <c r="AP163" s="30">
        <f>SUM(AP164,AP167,AP170)</f>
        <v>0</v>
      </c>
      <c r="AQ163" s="30"/>
      <c r="AR163" s="30">
        <f>SUM(AR164,AR167,AR170)</f>
        <v>0</v>
      </c>
      <c r="AS163" s="30"/>
      <c r="AT163" s="30">
        <f>SUM(AT164,AT167,AT170)</f>
        <v>0</v>
      </c>
      <c r="AU163" s="30"/>
      <c r="AV163" s="30">
        <f>SUM(AV164,AV167,AV170)</f>
        <v>0</v>
      </c>
      <c r="AW163" s="30"/>
      <c r="AX163" s="26">
        <f>SUM(AX164,AX167,AX170)</f>
        <v>0</v>
      </c>
      <c r="AY163" s="25"/>
      <c r="AZ163" s="30">
        <f>SUM(AZ164,AZ167,AZ170)</f>
        <v>0</v>
      </c>
      <c r="BA163" s="30"/>
      <c r="BB163" s="26">
        <f>SUM(BB164,BB167,BB170)</f>
        <v>66951.02</v>
      </c>
    </row>
    <row r="164" spans="1:54" ht="24" customHeight="1" x14ac:dyDescent="0.25">
      <c r="A164" s="4" t="s">
        <v>983</v>
      </c>
      <c r="B164" s="4" t="s">
        <v>12</v>
      </c>
      <c r="C164" s="4"/>
      <c r="D164" s="4" t="s">
        <v>371</v>
      </c>
      <c r="E164" s="5"/>
      <c r="F164" s="14"/>
      <c r="G164" s="6"/>
      <c r="H164" s="6"/>
      <c r="I164" s="7">
        <f>SUM(I165:I166)</f>
        <v>43856.909999999996</v>
      </c>
      <c r="J164" s="7"/>
      <c r="K164" s="7">
        <f>SUM(K165:K166)</f>
        <v>52772.479999999996</v>
      </c>
      <c r="L164" s="22">
        <f>K164 / L13</f>
        <v>1.8197406896551721E-2</v>
      </c>
      <c r="M164" s="25"/>
      <c r="N164" s="26">
        <f>SUM(N165:N166)</f>
        <v>39418.68</v>
      </c>
      <c r="O164" s="25"/>
      <c r="P164" s="30">
        <f>SUM(P165:P166)</f>
        <v>0</v>
      </c>
      <c r="Q164" s="30"/>
      <c r="R164" s="30">
        <f>SUM(R165:R166)</f>
        <v>0</v>
      </c>
      <c r="S164" s="30"/>
      <c r="T164" s="26">
        <f>SUM(T165:T166)</f>
        <v>39418.68</v>
      </c>
      <c r="U164" s="25"/>
      <c r="V164" s="30">
        <f>SUM(V165:V166)</f>
        <v>0</v>
      </c>
      <c r="W164" s="30"/>
      <c r="X164" s="30">
        <f>SUM(X165:X166)</f>
        <v>0</v>
      </c>
      <c r="Y164" s="30"/>
      <c r="Z164" s="30">
        <f>SUM(Z165:Z166)</f>
        <v>0</v>
      </c>
      <c r="AA164" s="30"/>
      <c r="AB164" s="30">
        <f>SUM(AB165:AB166)</f>
        <v>0</v>
      </c>
      <c r="AC164" s="30"/>
      <c r="AD164" s="30">
        <f>SUM(AD165:AD166)</f>
        <v>0</v>
      </c>
      <c r="AE164" s="30"/>
      <c r="AF164" s="30">
        <f>SUM(AF165:AF166)</f>
        <v>0</v>
      </c>
      <c r="AG164" s="30"/>
      <c r="AH164" s="30">
        <f>SUM(AH165:AH166)</f>
        <v>0</v>
      </c>
      <c r="AI164" s="30"/>
      <c r="AJ164" s="30">
        <f>SUM(AJ165:AJ166)</f>
        <v>0</v>
      </c>
      <c r="AK164" s="30"/>
      <c r="AL164" s="30">
        <f>SUM(AL165:AL166)</f>
        <v>0</v>
      </c>
      <c r="AM164" s="30"/>
      <c r="AN164" s="30">
        <f>SUM(AN165:AN166)</f>
        <v>0</v>
      </c>
      <c r="AO164" s="30"/>
      <c r="AP164" s="30">
        <f>SUM(AP165:AP166)</f>
        <v>0</v>
      </c>
      <c r="AQ164" s="30"/>
      <c r="AR164" s="30">
        <f>SUM(AR165:AR166)</f>
        <v>0</v>
      </c>
      <c r="AS164" s="30"/>
      <c r="AT164" s="30">
        <f>SUM(AT165:AT166)</f>
        <v>0</v>
      </c>
      <c r="AU164" s="30"/>
      <c r="AV164" s="30">
        <f>SUM(AV165:AV166)</f>
        <v>0</v>
      </c>
      <c r="AW164" s="30"/>
      <c r="AX164" s="26">
        <f>SUM(AX165:AX166)</f>
        <v>0</v>
      </c>
      <c r="AY164" s="25"/>
      <c r="AZ164" s="30">
        <f>SUM(AZ165:AZ166)</f>
        <v>0</v>
      </c>
      <c r="BA164" s="30"/>
      <c r="BB164" s="26">
        <f>SUM(BB165:BB166)</f>
        <v>39418.68</v>
      </c>
    </row>
    <row r="165" spans="1:54" ht="39" customHeight="1" x14ac:dyDescent="0.25">
      <c r="A165" s="31" t="s">
        <v>984</v>
      </c>
      <c r="B165" s="31" t="s">
        <v>389</v>
      </c>
      <c r="C165" s="31" t="s">
        <v>34</v>
      </c>
      <c r="D165" s="31" t="s">
        <v>390</v>
      </c>
      <c r="E165" s="32" t="s">
        <v>26</v>
      </c>
      <c r="F165" s="33">
        <v>434.27</v>
      </c>
      <c r="G165" s="34">
        <v>83.5</v>
      </c>
      <c r="H165" s="34">
        <f t="shared" ref="H165:H171" si="1962">TRUNC(G165*$L$1,2)</f>
        <v>76.88</v>
      </c>
      <c r="I165" s="34">
        <f t="shared" ref="I165:I171" si="1963">TRUNC(F165 * H165,2)</f>
        <v>33386.67</v>
      </c>
      <c r="J165" s="34">
        <f>(TRUNC(H165 * L14,2) + H165)</f>
        <v>92.509999999999991</v>
      </c>
      <c r="K165" s="34">
        <f>TRUNC(F165 * J165,2)</f>
        <v>40174.31</v>
      </c>
      <c r="L165" s="35">
        <f>K165 / L13</f>
        <v>1.3853210344827583E-2</v>
      </c>
      <c r="M165" s="49">
        <v>63.49</v>
      </c>
      <c r="N165" s="37">
        <f t="shared" ref="N165:N171" si="1964">TRUNC(F165 * M165,2)</f>
        <v>27571.8</v>
      </c>
      <c r="O165" s="36"/>
      <c r="P165" s="38">
        <f t="shared" ref="P165:R171" si="1965">TRUNC($M165 * O165,2)</f>
        <v>0</v>
      </c>
      <c r="Q165" s="38"/>
      <c r="R165" s="38">
        <f t="shared" si="1965"/>
        <v>0</v>
      </c>
      <c r="S165" s="38">
        <f t="shared" ref="S165:S171" si="1966">F165+O165-Q165</f>
        <v>434.27</v>
      </c>
      <c r="T165" s="37">
        <f t="shared" ref="T165:V165" si="1967">TRUNC($M165 * S165,2)</f>
        <v>27571.8</v>
      </c>
      <c r="U165" s="36"/>
      <c r="V165" s="38">
        <f t="shared" si="1967"/>
        <v>0</v>
      </c>
      <c r="W165" s="38"/>
      <c r="X165" s="38">
        <f t="shared" ref="X165" si="1968">TRUNC($M165 * W165,2)</f>
        <v>0</v>
      </c>
      <c r="Y165" s="38"/>
      <c r="Z165" s="38">
        <f t="shared" ref="Z165" si="1969">TRUNC($M165 * Y165,2)</f>
        <v>0</v>
      </c>
      <c r="AA165" s="38"/>
      <c r="AB165" s="38">
        <f t="shared" ref="AB165" si="1970">TRUNC($M165 * AA165,2)</f>
        <v>0</v>
      </c>
      <c r="AC165" s="38"/>
      <c r="AD165" s="38">
        <f t="shared" ref="AD165" si="1971">TRUNC($M165 * AC165,2)</f>
        <v>0</v>
      </c>
      <c r="AE165" s="38"/>
      <c r="AF165" s="38">
        <f t="shared" ref="AF165" si="1972">TRUNC($M165 * AE165,2)</f>
        <v>0</v>
      </c>
      <c r="AG165" s="38"/>
      <c r="AH165" s="38">
        <f t="shared" ref="AH165" si="1973">TRUNC($M165 * AG165,2)</f>
        <v>0</v>
      </c>
      <c r="AI165" s="38"/>
      <c r="AJ165" s="38">
        <f t="shared" ref="AJ165" si="1974">TRUNC($M165 * AI165,2)</f>
        <v>0</v>
      </c>
      <c r="AK165" s="38"/>
      <c r="AL165" s="38">
        <f t="shared" ref="AL165" si="1975">TRUNC($M165 * AK165,2)</f>
        <v>0</v>
      </c>
      <c r="AM165" s="38"/>
      <c r="AN165" s="38">
        <f t="shared" ref="AN165" si="1976">TRUNC($M165 * AM165,2)</f>
        <v>0</v>
      </c>
      <c r="AO165" s="38"/>
      <c r="AP165" s="38">
        <f t="shared" ref="AP165" si="1977">TRUNC($M165 * AO165,2)</f>
        <v>0</v>
      </c>
      <c r="AQ165" s="38"/>
      <c r="AR165" s="38">
        <f t="shared" ref="AR165" si="1978">TRUNC($M165 * AQ165,2)</f>
        <v>0</v>
      </c>
      <c r="AS165" s="38"/>
      <c r="AT165" s="38">
        <f t="shared" ref="AT165" si="1979">TRUNC($M165 * AS165,2)</f>
        <v>0</v>
      </c>
      <c r="AU165" s="38"/>
      <c r="AV165" s="38">
        <f t="shared" ref="AV165" si="1980">TRUNC($M165 * AU165,2)</f>
        <v>0</v>
      </c>
      <c r="AW165" s="38"/>
      <c r="AX165" s="37">
        <f t="shared" ref="AX165" si="1981">TRUNC($M165 * AW165,2)</f>
        <v>0</v>
      </c>
      <c r="AY165" s="36">
        <f t="shared" ref="AY165:AY171" si="1982">SUM(U165,W165,Y165,AA165,AC165,AE165,AG165,AI165,AK165,AM165,AO165,AQ165,AS165,AU165,AW165)</f>
        <v>0</v>
      </c>
      <c r="AZ165" s="38">
        <f t="shared" ref="AZ165" si="1983">TRUNC($M165 * AY165,2)</f>
        <v>0</v>
      </c>
      <c r="BA165" s="38">
        <f t="shared" ref="BA165:BA171" si="1984">S165-AY165</f>
        <v>434.27</v>
      </c>
      <c r="BB165" s="37">
        <f t="shared" ref="BB165" si="1985">TRUNC($M165 * BA165,2)</f>
        <v>27571.8</v>
      </c>
    </row>
    <row r="166" spans="1:54" ht="26.1" customHeight="1" x14ac:dyDescent="0.25">
      <c r="A166" s="31" t="s">
        <v>985</v>
      </c>
      <c r="B166" s="31" t="s">
        <v>391</v>
      </c>
      <c r="C166" s="31" t="s">
        <v>24</v>
      </c>
      <c r="D166" s="31" t="s">
        <v>392</v>
      </c>
      <c r="E166" s="32" t="s">
        <v>26</v>
      </c>
      <c r="F166" s="33">
        <v>434.27</v>
      </c>
      <c r="G166" s="34">
        <v>26.19</v>
      </c>
      <c r="H166" s="34">
        <f t="shared" si="1962"/>
        <v>24.11</v>
      </c>
      <c r="I166" s="34">
        <f t="shared" si="1963"/>
        <v>10470.24</v>
      </c>
      <c r="J166" s="34">
        <f>(TRUNC(H166 * L14,2) + H166)</f>
        <v>29.009999999999998</v>
      </c>
      <c r="K166" s="34">
        <f>TRUNC(F166 * J166,2)</f>
        <v>12598.17</v>
      </c>
      <c r="L166" s="35">
        <f>K166 / L13</f>
        <v>4.3441965517241376E-3</v>
      </c>
      <c r="M166" s="36">
        <v>27.28</v>
      </c>
      <c r="N166" s="37">
        <f t="shared" si="1964"/>
        <v>11846.88</v>
      </c>
      <c r="O166" s="36"/>
      <c r="P166" s="38">
        <f t="shared" si="1965"/>
        <v>0</v>
      </c>
      <c r="Q166" s="38"/>
      <c r="R166" s="38">
        <f t="shared" si="1965"/>
        <v>0</v>
      </c>
      <c r="S166" s="38">
        <f t="shared" si="1966"/>
        <v>434.27</v>
      </c>
      <c r="T166" s="37">
        <f t="shared" ref="T166:V166" si="1986">TRUNC($M166 * S166,2)</f>
        <v>11846.88</v>
      </c>
      <c r="U166" s="36"/>
      <c r="V166" s="38">
        <f t="shared" si="1986"/>
        <v>0</v>
      </c>
      <c r="W166" s="38"/>
      <c r="X166" s="38">
        <f t="shared" ref="X166" si="1987">TRUNC($M166 * W166,2)</f>
        <v>0</v>
      </c>
      <c r="Y166" s="38"/>
      <c r="Z166" s="38">
        <f t="shared" ref="Z166" si="1988">TRUNC($M166 * Y166,2)</f>
        <v>0</v>
      </c>
      <c r="AA166" s="38"/>
      <c r="AB166" s="38">
        <f t="shared" ref="AB166" si="1989">TRUNC($M166 * AA166,2)</f>
        <v>0</v>
      </c>
      <c r="AC166" s="38"/>
      <c r="AD166" s="38">
        <f t="shared" ref="AD166" si="1990">TRUNC($M166 * AC166,2)</f>
        <v>0</v>
      </c>
      <c r="AE166" s="38"/>
      <c r="AF166" s="38">
        <f t="shared" ref="AF166" si="1991">TRUNC($M166 * AE166,2)</f>
        <v>0</v>
      </c>
      <c r="AG166" s="38"/>
      <c r="AH166" s="38">
        <f t="shared" ref="AH166" si="1992">TRUNC($M166 * AG166,2)</f>
        <v>0</v>
      </c>
      <c r="AI166" s="38"/>
      <c r="AJ166" s="38">
        <f t="shared" ref="AJ166" si="1993">TRUNC($M166 * AI166,2)</f>
        <v>0</v>
      </c>
      <c r="AK166" s="38"/>
      <c r="AL166" s="38">
        <f t="shared" ref="AL166" si="1994">TRUNC($M166 * AK166,2)</f>
        <v>0</v>
      </c>
      <c r="AM166" s="38"/>
      <c r="AN166" s="38">
        <f t="shared" ref="AN166" si="1995">TRUNC($M166 * AM166,2)</f>
        <v>0</v>
      </c>
      <c r="AO166" s="38"/>
      <c r="AP166" s="38">
        <f t="shared" ref="AP166" si="1996">TRUNC($M166 * AO166,2)</f>
        <v>0</v>
      </c>
      <c r="AQ166" s="38"/>
      <c r="AR166" s="38">
        <f t="shared" ref="AR166" si="1997">TRUNC($M166 * AQ166,2)</f>
        <v>0</v>
      </c>
      <c r="AS166" s="38"/>
      <c r="AT166" s="38">
        <f t="shared" ref="AT166" si="1998">TRUNC($M166 * AS166,2)</f>
        <v>0</v>
      </c>
      <c r="AU166" s="38"/>
      <c r="AV166" s="38">
        <f t="shared" ref="AV166" si="1999">TRUNC($M166 * AU166,2)</f>
        <v>0</v>
      </c>
      <c r="AW166" s="38"/>
      <c r="AX166" s="37">
        <f t="shared" ref="AX166" si="2000">TRUNC($M166 * AW166,2)</f>
        <v>0</v>
      </c>
      <c r="AY166" s="36">
        <f t="shared" si="1982"/>
        <v>0</v>
      </c>
      <c r="AZ166" s="38">
        <f t="shared" ref="AZ166" si="2001">TRUNC($M166 * AY166,2)</f>
        <v>0</v>
      </c>
      <c r="BA166" s="38">
        <f t="shared" si="1984"/>
        <v>434.27</v>
      </c>
      <c r="BB166" s="37">
        <f t="shared" ref="BB166" si="2002">TRUNC($M166 * BA166,2)</f>
        <v>11846.88</v>
      </c>
    </row>
    <row r="167" spans="1:54" ht="24" customHeight="1" x14ac:dyDescent="0.25">
      <c r="A167" s="4" t="s">
        <v>986</v>
      </c>
      <c r="B167" s="4" t="s">
        <v>12</v>
      </c>
      <c r="C167" s="4"/>
      <c r="D167" s="4" t="s">
        <v>393</v>
      </c>
      <c r="E167" s="5"/>
      <c r="F167" s="14"/>
      <c r="G167" s="6"/>
      <c r="H167" s="6"/>
      <c r="I167" s="7">
        <f>SUM(I168:I169)</f>
        <v>28814.21</v>
      </c>
      <c r="J167" s="7"/>
      <c r="K167" s="7">
        <f>SUM(K168:K169)</f>
        <v>34674.129999999997</v>
      </c>
      <c r="L167" s="22">
        <f>K167 / L13</f>
        <v>1.1956596551724135E-2</v>
      </c>
      <c r="M167" s="25"/>
      <c r="N167" s="26">
        <f>SUM(N168:N169)</f>
        <v>22182.63</v>
      </c>
      <c r="O167" s="25"/>
      <c r="P167" s="30">
        <f>SUM(P168:P169)</f>
        <v>0</v>
      </c>
      <c r="Q167" s="30"/>
      <c r="R167" s="30">
        <f>SUM(R168:R169)</f>
        <v>0</v>
      </c>
      <c r="S167" s="30"/>
      <c r="T167" s="26">
        <f>SUM(T168:T169)</f>
        <v>22182.63</v>
      </c>
      <c r="U167" s="25"/>
      <c r="V167" s="30">
        <f>SUM(V168:V169)</f>
        <v>0</v>
      </c>
      <c r="W167" s="30"/>
      <c r="X167" s="30">
        <f>SUM(X168:X169)</f>
        <v>0</v>
      </c>
      <c r="Y167" s="30"/>
      <c r="Z167" s="30">
        <f>SUM(Z168:Z169)</f>
        <v>0</v>
      </c>
      <c r="AA167" s="30"/>
      <c r="AB167" s="30">
        <f>SUM(AB168:AB169)</f>
        <v>0</v>
      </c>
      <c r="AC167" s="30"/>
      <c r="AD167" s="30">
        <f>SUM(AD168:AD169)</f>
        <v>0</v>
      </c>
      <c r="AE167" s="30"/>
      <c r="AF167" s="30">
        <f>SUM(AF168:AF169)</f>
        <v>0</v>
      </c>
      <c r="AG167" s="30"/>
      <c r="AH167" s="30">
        <f>SUM(AH168:AH169)</f>
        <v>0</v>
      </c>
      <c r="AI167" s="30"/>
      <c r="AJ167" s="30">
        <f>SUM(AJ168:AJ169)</f>
        <v>0</v>
      </c>
      <c r="AK167" s="30"/>
      <c r="AL167" s="30">
        <f>SUM(AL168:AL169)</f>
        <v>0</v>
      </c>
      <c r="AM167" s="30"/>
      <c r="AN167" s="30">
        <f>SUM(AN168:AN169)</f>
        <v>0</v>
      </c>
      <c r="AO167" s="30"/>
      <c r="AP167" s="30">
        <f>SUM(AP168:AP169)</f>
        <v>0</v>
      </c>
      <c r="AQ167" s="30"/>
      <c r="AR167" s="30">
        <f>SUM(AR168:AR169)</f>
        <v>0</v>
      </c>
      <c r="AS167" s="30"/>
      <c r="AT167" s="30">
        <f>SUM(AT168:AT169)</f>
        <v>0</v>
      </c>
      <c r="AU167" s="30"/>
      <c r="AV167" s="30">
        <f>SUM(AV168:AV169)</f>
        <v>0</v>
      </c>
      <c r="AW167" s="30"/>
      <c r="AX167" s="26">
        <f>SUM(AX168:AX169)</f>
        <v>0</v>
      </c>
      <c r="AY167" s="25"/>
      <c r="AZ167" s="30">
        <f>SUM(AZ168:AZ169)</f>
        <v>0</v>
      </c>
      <c r="BA167" s="30"/>
      <c r="BB167" s="26">
        <f>SUM(BB168:BB169)</f>
        <v>22182.63</v>
      </c>
    </row>
    <row r="168" spans="1:54" ht="26.1" customHeight="1" x14ac:dyDescent="0.25">
      <c r="A168" s="31" t="s">
        <v>987</v>
      </c>
      <c r="B168" s="31" t="s">
        <v>394</v>
      </c>
      <c r="C168" s="31" t="s">
        <v>24</v>
      </c>
      <c r="D168" s="31" t="s">
        <v>395</v>
      </c>
      <c r="E168" s="32" t="s">
        <v>26</v>
      </c>
      <c r="F168" s="33">
        <v>366.29</v>
      </c>
      <c r="G168" s="34">
        <v>77.599999999999994</v>
      </c>
      <c r="H168" s="34">
        <f t="shared" si="1962"/>
        <v>71.44</v>
      </c>
      <c r="I168" s="34">
        <f t="shared" si="1963"/>
        <v>26167.75</v>
      </c>
      <c r="J168" s="34">
        <f>(TRUNC(H168 * L14,2) + H168)</f>
        <v>85.97</v>
      </c>
      <c r="K168" s="34">
        <f>TRUNC(F168 * J168,2)</f>
        <v>31489.95</v>
      </c>
      <c r="L168" s="35">
        <f>K168 / L13</f>
        <v>1.0858603448275861E-2</v>
      </c>
      <c r="M168" s="36">
        <v>55</v>
      </c>
      <c r="N168" s="37">
        <f t="shared" si="1964"/>
        <v>20145.95</v>
      </c>
      <c r="O168" s="36"/>
      <c r="P168" s="38">
        <f t="shared" si="1965"/>
        <v>0</v>
      </c>
      <c r="Q168" s="38"/>
      <c r="R168" s="38">
        <f t="shared" si="1965"/>
        <v>0</v>
      </c>
      <c r="S168" s="38">
        <f t="shared" si="1966"/>
        <v>366.29</v>
      </c>
      <c r="T168" s="37">
        <f t="shared" ref="T168:V168" si="2003">TRUNC($M168 * S168,2)</f>
        <v>20145.95</v>
      </c>
      <c r="U168" s="36"/>
      <c r="V168" s="38">
        <f t="shared" si="2003"/>
        <v>0</v>
      </c>
      <c r="W168" s="38"/>
      <c r="X168" s="38">
        <f t="shared" ref="X168" si="2004">TRUNC($M168 * W168,2)</f>
        <v>0</v>
      </c>
      <c r="Y168" s="38"/>
      <c r="Z168" s="38">
        <f t="shared" ref="Z168" si="2005">TRUNC($M168 * Y168,2)</f>
        <v>0</v>
      </c>
      <c r="AA168" s="38"/>
      <c r="AB168" s="38">
        <f t="shared" ref="AB168" si="2006">TRUNC($M168 * AA168,2)</f>
        <v>0</v>
      </c>
      <c r="AC168" s="38"/>
      <c r="AD168" s="38">
        <f t="shared" ref="AD168" si="2007">TRUNC($M168 * AC168,2)</f>
        <v>0</v>
      </c>
      <c r="AE168" s="38"/>
      <c r="AF168" s="38">
        <f t="shared" ref="AF168" si="2008">TRUNC($M168 * AE168,2)</f>
        <v>0</v>
      </c>
      <c r="AG168" s="38"/>
      <c r="AH168" s="38">
        <f t="shared" ref="AH168" si="2009">TRUNC($M168 * AG168,2)</f>
        <v>0</v>
      </c>
      <c r="AI168" s="38"/>
      <c r="AJ168" s="38">
        <f t="shared" ref="AJ168" si="2010">TRUNC($M168 * AI168,2)</f>
        <v>0</v>
      </c>
      <c r="AK168" s="38"/>
      <c r="AL168" s="38">
        <f t="shared" ref="AL168" si="2011">TRUNC($M168 * AK168,2)</f>
        <v>0</v>
      </c>
      <c r="AM168" s="38"/>
      <c r="AN168" s="38">
        <f t="shared" ref="AN168" si="2012">TRUNC($M168 * AM168,2)</f>
        <v>0</v>
      </c>
      <c r="AO168" s="38"/>
      <c r="AP168" s="38">
        <f t="shared" ref="AP168" si="2013">TRUNC($M168 * AO168,2)</f>
        <v>0</v>
      </c>
      <c r="AQ168" s="38"/>
      <c r="AR168" s="38">
        <f t="shared" ref="AR168" si="2014">TRUNC($M168 * AQ168,2)</f>
        <v>0</v>
      </c>
      <c r="AS168" s="38"/>
      <c r="AT168" s="38">
        <f t="shared" ref="AT168" si="2015">TRUNC($M168 * AS168,2)</f>
        <v>0</v>
      </c>
      <c r="AU168" s="38"/>
      <c r="AV168" s="38">
        <f t="shared" ref="AV168" si="2016">TRUNC($M168 * AU168,2)</f>
        <v>0</v>
      </c>
      <c r="AW168" s="38"/>
      <c r="AX168" s="37">
        <f t="shared" ref="AX168" si="2017">TRUNC($M168 * AW168,2)</f>
        <v>0</v>
      </c>
      <c r="AY168" s="36">
        <f t="shared" si="1982"/>
        <v>0</v>
      </c>
      <c r="AZ168" s="38">
        <f t="shared" ref="AZ168" si="2018">TRUNC($M168 * AY168,2)</f>
        <v>0</v>
      </c>
      <c r="BA168" s="38">
        <f t="shared" si="1984"/>
        <v>366.29</v>
      </c>
      <c r="BB168" s="37">
        <f t="shared" ref="BB168" si="2019">TRUNC($M168 * BA168,2)</f>
        <v>20145.95</v>
      </c>
    </row>
    <row r="169" spans="1:54" ht="39" customHeight="1" x14ac:dyDescent="0.25">
      <c r="A169" s="31" t="s">
        <v>988</v>
      </c>
      <c r="B169" s="31" t="s">
        <v>396</v>
      </c>
      <c r="C169" s="31" t="s">
        <v>24</v>
      </c>
      <c r="D169" s="31" t="s">
        <v>397</v>
      </c>
      <c r="E169" s="32" t="s">
        <v>26</v>
      </c>
      <c r="F169" s="33">
        <v>67.98</v>
      </c>
      <c r="G169" s="34">
        <v>42.29</v>
      </c>
      <c r="H169" s="34">
        <f t="shared" si="1962"/>
        <v>38.93</v>
      </c>
      <c r="I169" s="34">
        <f t="shared" si="1963"/>
        <v>2646.46</v>
      </c>
      <c r="J169" s="34">
        <f>(TRUNC(H169 * L14,2) + H169)</f>
        <v>46.84</v>
      </c>
      <c r="K169" s="34">
        <f>TRUNC(F169 * J169,2)</f>
        <v>3184.18</v>
      </c>
      <c r="L169" s="35">
        <f>K169 / L13</f>
        <v>1.0979931034482756E-3</v>
      </c>
      <c r="M169" s="36">
        <v>29.96</v>
      </c>
      <c r="N169" s="37">
        <f t="shared" si="1964"/>
        <v>2036.68</v>
      </c>
      <c r="O169" s="36"/>
      <c r="P169" s="38">
        <f t="shared" si="1965"/>
        <v>0</v>
      </c>
      <c r="Q169" s="38"/>
      <c r="R169" s="38">
        <f t="shared" si="1965"/>
        <v>0</v>
      </c>
      <c r="S169" s="38">
        <f t="shared" si="1966"/>
        <v>67.98</v>
      </c>
      <c r="T169" s="37">
        <f t="shared" ref="T169:V169" si="2020">TRUNC($M169 * S169,2)</f>
        <v>2036.68</v>
      </c>
      <c r="U169" s="36"/>
      <c r="V169" s="38">
        <f t="shared" si="2020"/>
        <v>0</v>
      </c>
      <c r="W169" s="38"/>
      <c r="X169" s="38">
        <f t="shared" ref="X169" si="2021">TRUNC($M169 * W169,2)</f>
        <v>0</v>
      </c>
      <c r="Y169" s="38"/>
      <c r="Z169" s="38">
        <f t="shared" ref="Z169" si="2022">TRUNC($M169 * Y169,2)</f>
        <v>0</v>
      </c>
      <c r="AA169" s="38"/>
      <c r="AB169" s="38">
        <f t="shared" ref="AB169" si="2023">TRUNC($M169 * AA169,2)</f>
        <v>0</v>
      </c>
      <c r="AC169" s="38"/>
      <c r="AD169" s="38">
        <f t="shared" ref="AD169" si="2024">TRUNC($M169 * AC169,2)</f>
        <v>0</v>
      </c>
      <c r="AE169" s="38"/>
      <c r="AF169" s="38">
        <f t="shared" ref="AF169" si="2025">TRUNC($M169 * AE169,2)</f>
        <v>0</v>
      </c>
      <c r="AG169" s="38"/>
      <c r="AH169" s="38">
        <f t="shared" ref="AH169" si="2026">TRUNC($M169 * AG169,2)</f>
        <v>0</v>
      </c>
      <c r="AI169" s="38"/>
      <c r="AJ169" s="38">
        <f t="shared" ref="AJ169" si="2027">TRUNC($M169 * AI169,2)</f>
        <v>0</v>
      </c>
      <c r="AK169" s="38"/>
      <c r="AL169" s="38">
        <f t="shared" ref="AL169" si="2028">TRUNC($M169 * AK169,2)</f>
        <v>0</v>
      </c>
      <c r="AM169" s="38"/>
      <c r="AN169" s="38">
        <f t="shared" ref="AN169" si="2029">TRUNC($M169 * AM169,2)</f>
        <v>0</v>
      </c>
      <c r="AO169" s="38"/>
      <c r="AP169" s="38">
        <f t="shared" ref="AP169" si="2030">TRUNC($M169 * AO169,2)</f>
        <v>0</v>
      </c>
      <c r="AQ169" s="38"/>
      <c r="AR169" s="38">
        <f t="shared" ref="AR169" si="2031">TRUNC($M169 * AQ169,2)</f>
        <v>0</v>
      </c>
      <c r="AS169" s="38"/>
      <c r="AT169" s="38">
        <f t="shared" ref="AT169" si="2032">TRUNC($M169 * AS169,2)</f>
        <v>0</v>
      </c>
      <c r="AU169" s="38"/>
      <c r="AV169" s="38">
        <f t="shared" ref="AV169" si="2033">TRUNC($M169 * AU169,2)</f>
        <v>0</v>
      </c>
      <c r="AW169" s="38"/>
      <c r="AX169" s="37">
        <f t="shared" ref="AX169" si="2034">TRUNC($M169 * AW169,2)</f>
        <v>0</v>
      </c>
      <c r="AY169" s="36">
        <f t="shared" si="1982"/>
        <v>0</v>
      </c>
      <c r="AZ169" s="38">
        <f t="shared" ref="AZ169" si="2035">TRUNC($M169 * AY169,2)</f>
        <v>0</v>
      </c>
      <c r="BA169" s="38">
        <f t="shared" si="1984"/>
        <v>67.98</v>
      </c>
      <c r="BB169" s="37">
        <f t="shared" ref="BB169" si="2036">TRUNC($M169 * BA169,2)</f>
        <v>2036.68</v>
      </c>
    </row>
    <row r="170" spans="1:54" ht="24" customHeight="1" x14ac:dyDescent="0.25">
      <c r="A170" s="4" t="s">
        <v>989</v>
      </c>
      <c r="B170" s="4" t="s">
        <v>12</v>
      </c>
      <c r="C170" s="4"/>
      <c r="D170" s="4" t="s">
        <v>398</v>
      </c>
      <c r="E170" s="5"/>
      <c r="F170" s="14"/>
      <c r="G170" s="6"/>
      <c r="H170" s="6"/>
      <c r="I170" s="7">
        <f>SUM(I171)</f>
        <v>6957.22</v>
      </c>
      <c r="J170" s="7"/>
      <c r="K170" s="7">
        <f>SUM(K171)</f>
        <v>8371.68</v>
      </c>
      <c r="L170" s="22">
        <f>K170 / L13</f>
        <v>2.8867862068965512E-3</v>
      </c>
      <c r="M170" s="25"/>
      <c r="N170" s="26">
        <f>SUM(N171)</f>
        <v>5349.71</v>
      </c>
      <c r="O170" s="25"/>
      <c r="P170" s="30">
        <f>SUM(P171)</f>
        <v>0</v>
      </c>
      <c r="Q170" s="30"/>
      <c r="R170" s="30">
        <f>SUM(R171)</f>
        <v>0</v>
      </c>
      <c r="S170" s="30"/>
      <c r="T170" s="26">
        <f>SUM(T171)</f>
        <v>5349.71</v>
      </c>
      <c r="U170" s="25"/>
      <c r="V170" s="30">
        <f>SUM(V171)</f>
        <v>0</v>
      </c>
      <c r="W170" s="30"/>
      <c r="X170" s="30">
        <f>SUM(X171)</f>
        <v>0</v>
      </c>
      <c r="Y170" s="30"/>
      <c r="Z170" s="30">
        <f>SUM(Z171)</f>
        <v>0</v>
      </c>
      <c r="AA170" s="30"/>
      <c r="AB170" s="30">
        <f>SUM(AB171)</f>
        <v>0</v>
      </c>
      <c r="AC170" s="30"/>
      <c r="AD170" s="30">
        <f>SUM(AD171)</f>
        <v>0</v>
      </c>
      <c r="AE170" s="30"/>
      <c r="AF170" s="30">
        <f>SUM(AF171)</f>
        <v>0</v>
      </c>
      <c r="AG170" s="30"/>
      <c r="AH170" s="30">
        <f>SUM(AH171)</f>
        <v>0</v>
      </c>
      <c r="AI170" s="30"/>
      <c r="AJ170" s="30">
        <f>SUM(AJ171)</f>
        <v>0</v>
      </c>
      <c r="AK170" s="30"/>
      <c r="AL170" s="30">
        <f>SUM(AL171)</f>
        <v>0</v>
      </c>
      <c r="AM170" s="30"/>
      <c r="AN170" s="30">
        <f>SUM(AN171)</f>
        <v>0</v>
      </c>
      <c r="AO170" s="30"/>
      <c r="AP170" s="30">
        <f>SUM(AP171)</f>
        <v>0</v>
      </c>
      <c r="AQ170" s="30"/>
      <c r="AR170" s="30">
        <f>SUM(AR171)</f>
        <v>0</v>
      </c>
      <c r="AS170" s="30"/>
      <c r="AT170" s="30">
        <f>SUM(AT171)</f>
        <v>0</v>
      </c>
      <c r="AU170" s="30"/>
      <c r="AV170" s="30">
        <f>SUM(AV171)</f>
        <v>0</v>
      </c>
      <c r="AW170" s="30"/>
      <c r="AX170" s="26">
        <f>SUM(AX171)</f>
        <v>0</v>
      </c>
      <c r="AY170" s="25"/>
      <c r="AZ170" s="30">
        <f>SUM(AZ171)</f>
        <v>0</v>
      </c>
      <c r="BA170" s="30"/>
      <c r="BB170" s="26">
        <f>SUM(BB171)</f>
        <v>5349.71</v>
      </c>
    </row>
    <row r="171" spans="1:54" ht="24" customHeight="1" x14ac:dyDescent="0.25">
      <c r="A171" s="31" t="s">
        <v>990</v>
      </c>
      <c r="B171" s="31" t="s">
        <v>399</v>
      </c>
      <c r="C171" s="31" t="s">
        <v>24</v>
      </c>
      <c r="D171" s="31" t="s">
        <v>400</v>
      </c>
      <c r="E171" s="32" t="s">
        <v>69</v>
      </c>
      <c r="F171" s="33">
        <v>371.25</v>
      </c>
      <c r="G171" s="34">
        <v>20.36</v>
      </c>
      <c r="H171" s="34">
        <f t="shared" si="1962"/>
        <v>18.739999999999998</v>
      </c>
      <c r="I171" s="34">
        <f t="shared" si="1963"/>
        <v>6957.22</v>
      </c>
      <c r="J171" s="34">
        <f>(TRUNC(H171 * L14,2) + H171)</f>
        <v>22.549999999999997</v>
      </c>
      <c r="K171" s="34">
        <f>TRUNC(F171 * J171,2)</f>
        <v>8371.68</v>
      </c>
      <c r="L171" s="35">
        <f>K171 / L13</f>
        <v>2.8867862068965512E-3</v>
      </c>
      <c r="M171" s="36">
        <v>14.41</v>
      </c>
      <c r="N171" s="37">
        <f t="shared" si="1964"/>
        <v>5349.71</v>
      </c>
      <c r="O171" s="36"/>
      <c r="P171" s="38">
        <f t="shared" si="1965"/>
        <v>0</v>
      </c>
      <c r="Q171" s="38"/>
      <c r="R171" s="38">
        <f t="shared" si="1965"/>
        <v>0</v>
      </c>
      <c r="S171" s="38">
        <f t="shared" si="1966"/>
        <v>371.25</v>
      </c>
      <c r="T171" s="37">
        <f t="shared" ref="T171:V171" si="2037">TRUNC($M171 * S171,2)</f>
        <v>5349.71</v>
      </c>
      <c r="U171" s="36"/>
      <c r="V171" s="38">
        <f t="shared" si="2037"/>
        <v>0</v>
      </c>
      <c r="W171" s="38"/>
      <c r="X171" s="38">
        <f t="shared" ref="X171" si="2038">TRUNC($M171 * W171,2)</f>
        <v>0</v>
      </c>
      <c r="Y171" s="38"/>
      <c r="Z171" s="38">
        <f t="shared" ref="Z171" si="2039">TRUNC($M171 * Y171,2)</f>
        <v>0</v>
      </c>
      <c r="AA171" s="38"/>
      <c r="AB171" s="38">
        <f t="shared" ref="AB171" si="2040">TRUNC($M171 * AA171,2)</f>
        <v>0</v>
      </c>
      <c r="AC171" s="38"/>
      <c r="AD171" s="38">
        <f t="shared" ref="AD171" si="2041">TRUNC($M171 * AC171,2)</f>
        <v>0</v>
      </c>
      <c r="AE171" s="38"/>
      <c r="AF171" s="38">
        <f t="shared" ref="AF171" si="2042">TRUNC($M171 * AE171,2)</f>
        <v>0</v>
      </c>
      <c r="AG171" s="38"/>
      <c r="AH171" s="38">
        <f t="shared" ref="AH171" si="2043">TRUNC($M171 * AG171,2)</f>
        <v>0</v>
      </c>
      <c r="AI171" s="38"/>
      <c r="AJ171" s="38">
        <f t="shared" ref="AJ171" si="2044">TRUNC($M171 * AI171,2)</f>
        <v>0</v>
      </c>
      <c r="AK171" s="38"/>
      <c r="AL171" s="38">
        <f t="shared" ref="AL171" si="2045">TRUNC($M171 * AK171,2)</f>
        <v>0</v>
      </c>
      <c r="AM171" s="38"/>
      <c r="AN171" s="38">
        <f t="shared" ref="AN171" si="2046">TRUNC($M171 * AM171,2)</f>
        <v>0</v>
      </c>
      <c r="AO171" s="38"/>
      <c r="AP171" s="38">
        <f t="shared" ref="AP171" si="2047">TRUNC($M171 * AO171,2)</f>
        <v>0</v>
      </c>
      <c r="AQ171" s="38"/>
      <c r="AR171" s="38">
        <f t="shared" ref="AR171" si="2048">TRUNC($M171 * AQ171,2)</f>
        <v>0</v>
      </c>
      <c r="AS171" s="38"/>
      <c r="AT171" s="38">
        <f t="shared" ref="AT171" si="2049">TRUNC($M171 * AS171,2)</f>
        <v>0</v>
      </c>
      <c r="AU171" s="38"/>
      <c r="AV171" s="38">
        <f t="shared" ref="AV171" si="2050">TRUNC($M171 * AU171,2)</f>
        <v>0</v>
      </c>
      <c r="AW171" s="38"/>
      <c r="AX171" s="37">
        <f t="shared" ref="AX171" si="2051">TRUNC($M171 * AW171,2)</f>
        <v>0</v>
      </c>
      <c r="AY171" s="36">
        <f t="shared" si="1982"/>
        <v>0</v>
      </c>
      <c r="AZ171" s="38">
        <f t="shared" ref="AZ171" si="2052">TRUNC($M171 * AY171,2)</f>
        <v>0</v>
      </c>
      <c r="BA171" s="38">
        <f t="shared" si="1984"/>
        <v>371.25</v>
      </c>
      <c r="BB171" s="37">
        <f t="shared" ref="BB171" si="2053">TRUNC($M171 * BA171,2)</f>
        <v>5349.71</v>
      </c>
    </row>
    <row r="172" spans="1:54" ht="24" customHeight="1" x14ac:dyDescent="0.25">
      <c r="A172" s="4">
        <v>10</v>
      </c>
      <c r="B172" s="4" t="s">
        <v>12</v>
      </c>
      <c r="C172" s="4"/>
      <c r="D172" s="4" t="s">
        <v>401</v>
      </c>
      <c r="E172" s="5"/>
      <c r="F172" s="14"/>
      <c r="G172" s="6"/>
      <c r="H172" s="6"/>
      <c r="I172" s="7">
        <f>I173</f>
        <v>34109.46</v>
      </c>
      <c r="J172" s="7"/>
      <c r="K172" s="7">
        <f>K173</f>
        <v>41047.040000000001</v>
      </c>
      <c r="L172" s="22">
        <f>K172 / L13</f>
        <v>1.4154151724137929E-2</v>
      </c>
      <c r="M172" s="25"/>
      <c r="N172" s="26">
        <f>N173</f>
        <v>28314.25</v>
      </c>
      <c r="O172" s="25"/>
      <c r="P172" s="30">
        <f>P173</f>
        <v>0</v>
      </c>
      <c r="Q172" s="30"/>
      <c r="R172" s="30">
        <f>R173</f>
        <v>0</v>
      </c>
      <c r="S172" s="30"/>
      <c r="T172" s="26">
        <f>T173</f>
        <v>28314.25</v>
      </c>
      <c r="U172" s="25"/>
      <c r="V172" s="30">
        <f>V173</f>
        <v>0</v>
      </c>
      <c r="W172" s="30"/>
      <c r="X172" s="30">
        <f>X173</f>
        <v>0</v>
      </c>
      <c r="Y172" s="30"/>
      <c r="Z172" s="30">
        <f>Z173</f>
        <v>0</v>
      </c>
      <c r="AA172" s="30"/>
      <c r="AB172" s="30">
        <f>AB173</f>
        <v>0</v>
      </c>
      <c r="AC172" s="30"/>
      <c r="AD172" s="30">
        <f>AD173</f>
        <v>0</v>
      </c>
      <c r="AE172" s="30"/>
      <c r="AF172" s="30">
        <f>AF173</f>
        <v>0</v>
      </c>
      <c r="AG172" s="30"/>
      <c r="AH172" s="30">
        <f>AH173</f>
        <v>0</v>
      </c>
      <c r="AI172" s="30"/>
      <c r="AJ172" s="30">
        <f>AJ173</f>
        <v>0</v>
      </c>
      <c r="AK172" s="30"/>
      <c r="AL172" s="30">
        <f>AL173</f>
        <v>0</v>
      </c>
      <c r="AM172" s="30"/>
      <c r="AN172" s="30">
        <f>AN173</f>
        <v>0</v>
      </c>
      <c r="AO172" s="30"/>
      <c r="AP172" s="30">
        <f>AP173</f>
        <v>0</v>
      </c>
      <c r="AQ172" s="30"/>
      <c r="AR172" s="30">
        <f>AR173</f>
        <v>0</v>
      </c>
      <c r="AS172" s="30"/>
      <c r="AT172" s="30">
        <f>AT173</f>
        <v>0</v>
      </c>
      <c r="AU172" s="30"/>
      <c r="AV172" s="30">
        <f>AV173</f>
        <v>0</v>
      </c>
      <c r="AW172" s="30"/>
      <c r="AX172" s="26">
        <f>AX173</f>
        <v>0</v>
      </c>
      <c r="AY172" s="25"/>
      <c r="AZ172" s="30">
        <f>AZ173</f>
        <v>0</v>
      </c>
      <c r="BA172" s="30"/>
      <c r="BB172" s="26">
        <f>BB173</f>
        <v>28314.25</v>
      </c>
    </row>
    <row r="173" spans="1:54" ht="24" customHeight="1" x14ac:dyDescent="0.25">
      <c r="A173" s="4" t="s">
        <v>991</v>
      </c>
      <c r="B173" s="4" t="s">
        <v>12</v>
      </c>
      <c r="C173" s="4"/>
      <c r="D173" s="4" t="s">
        <v>371</v>
      </c>
      <c r="E173" s="5"/>
      <c r="F173" s="14"/>
      <c r="G173" s="6"/>
      <c r="H173" s="6"/>
      <c r="I173" s="7">
        <f>SUM(I174)</f>
        <v>34109.46</v>
      </c>
      <c r="J173" s="7"/>
      <c r="K173" s="7">
        <f>SUM(K174)</f>
        <v>41047.040000000001</v>
      </c>
      <c r="L173" s="22">
        <f>K173 / L13</f>
        <v>1.4154151724137929E-2</v>
      </c>
      <c r="M173" s="25"/>
      <c r="N173" s="26">
        <f>SUM(N174)</f>
        <v>28314.25</v>
      </c>
      <c r="O173" s="25"/>
      <c r="P173" s="30">
        <f>SUM(P174)</f>
        <v>0</v>
      </c>
      <c r="Q173" s="30"/>
      <c r="R173" s="30">
        <f>SUM(R174)</f>
        <v>0</v>
      </c>
      <c r="S173" s="30"/>
      <c r="T173" s="26">
        <f>SUM(T174)</f>
        <v>28314.25</v>
      </c>
      <c r="U173" s="25"/>
      <c r="V173" s="30">
        <f>SUM(V174)</f>
        <v>0</v>
      </c>
      <c r="W173" s="30"/>
      <c r="X173" s="30">
        <f>SUM(X174)</f>
        <v>0</v>
      </c>
      <c r="Y173" s="30"/>
      <c r="Z173" s="30">
        <f>SUM(Z174)</f>
        <v>0</v>
      </c>
      <c r="AA173" s="30"/>
      <c r="AB173" s="30">
        <f>SUM(AB174)</f>
        <v>0</v>
      </c>
      <c r="AC173" s="30"/>
      <c r="AD173" s="30">
        <f>SUM(AD174)</f>
        <v>0</v>
      </c>
      <c r="AE173" s="30"/>
      <c r="AF173" s="30">
        <f>SUM(AF174)</f>
        <v>0</v>
      </c>
      <c r="AG173" s="30"/>
      <c r="AH173" s="30">
        <f>SUM(AH174)</f>
        <v>0</v>
      </c>
      <c r="AI173" s="30"/>
      <c r="AJ173" s="30">
        <f>SUM(AJ174)</f>
        <v>0</v>
      </c>
      <c r="AK173" s="30"/>
      <c r="AL173" s="30">
        <f>SUM(AL174)</f>
        <v>0</v>
      </c>
      <c r="AM173" s="30"/>
      <c r="AN173" s="30">
        <f>SUM(AN174)</f>
        <v>0</v>
      </c>
      <c r="AO173" s="30"/>
      <c r="AP173" s="30">
        <f>SUM(AP174)</f>
        <v>0</v>
      </c>
      <c r="AQ173" s="30"/>
      <c r="AR173" s="30">
        <f>SUM(AR174)</f>
        <v>0</v>
      </c>
      <c r="AS173" s="30"/>
      <c r="AT173" s="30">
        <f>SUM(AT174)</f>
        <v>0</v>
      </c>
      <c r="AU173" s="30"/>
      <c r="AV173" s="30">
        <f>SUM(AV174)</f>
        <v>0</v>
      </c>
      <c r="AW173" s="30"/>
      <c r="AX173" s="26">
        <f>SUM(AX174)</f>
        <v>0</v>
      </c>
      <c r="AY173" s="25"/>
      <c r="AZ173" s="30">
        <f>SUM(AZ174)</f>
        <v>0</v>
      </c>
      <c r="BA173" s="30"/>
      <c r="BB173" s="26">
        <f>SUM(BB174)</f>
        <v>28314.25</v>
      </c>
    </row>
    <row r="174" spans="1:54" ht="39" customHeight="1" x14ac:dyDescent="0.25">
      <c r="A174" s="31" t="s">
        <v>992</v>
      </c>
      <c r="B174" s="31" t="s">
        <v>402</v>
      </c>
      <c r="C174" s="31" t="s">
        <v>34</v>
      </c>
      <c r="D174" s="31" t="s">
        <v>403</v>
      </c>
      <c r="E174" s="32" t="s">
        <v>51</v>
      </c>
      <c r="F174" s="33">
        <v>57.9</v>
      </c>
      <c r="G174" s="34">
        <v>639.83000000000004</v>
      </c>
      <c r="H174" s="34">
        <f t="shared" ref="H174" si="2054">TRUNC(G174*$L$1,2)</f>
        <v>589.11</v>
      </c>
      <c r="I174" s="34">
        <f t="shared" ref="I174" si="2055">TRUNC(F174 * H174,2)</f>
        <v>34109.46</v>
      </c>
      <c r="J174" s="34">
        <f>(TRUNC(H174 * L14,2) + H174)</f>
        <v>708.93000000000006</v>
      </c>
      <c r="K174" s="34">
        <f>TRUNC(F174 * J174,2)</f>
        <v>41047.040000000001</v>
      </c>
      <c r="L174" s="35">
        <f>K174 / L13</f>
        <v>1.4154151724137929E-2</v>
      </c>
      <c r="M174" s="36">
        <v>489.02</v>
      </c>
      <c r="N174" s="37">
        <f t="shared" ref="N174" si="2056">TRUNC(F174 * M174,2)</f>
        <v>28314.25</v>
      </c>
      <c r="O174" s="36"/>
      <c r="P174" s="38">
        <f t="shared" ref="P174:R174" si="2057">TRUNC($M174 * O174,2)</f>
        <v>0</v>
      </c>
      <c r="Q174" s="38"/>
      <c r="R174" s="38">
        <f t="shared" si="2057"/>
        <v>0</v>
      </c>
      <c r="S174" s="38">
        <f t="shared" ref="S174" si="2058">F174+O174-Q174</f>
        <v>57.9</v>
      </c>
      <c r="T174" s="37">
        <f t="shared" ref="T174:V174" si="2059">TRUNC($M174 * S174,2)</f>
        <v>28314.25</v>
      </c>
      <c r="U174" s="36"/>
      <c r="V174" s="38">
        <f t="shared" si="2059"/>
        <v>0</v>
      </c>
      <c r="W174" s="38"/>
      <c r="X174" s="38">
        <f t="shared" ref="X174" si="2060">TRUNC($M174 * W174,2)</f>
        <v>0</v>
      </c>
      <c r="Y174" s="38"/>
      <c r="Z174" s="38">
        <f t="shared" ref="Z174" si="2061">TRUNC($M174 * Y174,2)</f>
        <v>0</v>
      </c>
      <c r="AA174" s="38"/>
      <c r="AB174" s="38">
        <f t="shared" ref="AB174" si="2062">TRUNC($M174 * AA174,2)</f>
        <v>0</v>
      </c>
      <c r="AC174" s="38"/>
      <c r="AD174" s="38">
        <f t="shared" ref="AD174" si="2063">TRUNC($M174 * AC174,2)</f>
        <v>0</v>
      </c>
      <c r="AE174" s="38"/>
      <c r="AF174" s="38">
        <f t="shared" ref="AF174" si="2064">TRUNC($M174 * AE174,2)</f>
        <v>0</v>
      </c>
      <c r="AG174" s="38"/>
      <c r="AH174" s="38">
        <f t="shared" ref="AH174" si="2065">TRUNC($M174 * AG174,2)</f>
        <v>0</v>
      </c>
      <c r="AI174" s="38"/>
      <c r="AJ174" s="38">
        <f t="shared" ref="AJ174" si="2066">TRUNC($M174 * AI174,2)</f>
        <v>0</v>
      </c>
      <c r="AK174" s="38"/>
      <c r="AL174" s="38">
        <f t="shared" ref="AL174" si="2067">TRUNC($M174 * AK174,2)</f>
        <v>0</v>
      </c>
      <c r="AM174" s="38"/>
      <c r="AN174" s="38">
        <f t="shared" ref="AN174" si="2068">TRUNC($M174 * AM174,2)</f>
        <v>0</v>
      </c>
      <c r="AO174" s="38"/>
      <c r="AP174" s="38">
        <f t="shared" ref="AP174" si="2069">TRUNC($M174 * AO174,2)</f>
        <v>0</v>
      </c>
      <c r="AQ174" s="38"/>
      <c r="AR174" s="38">
        <f t="shared" ref="AR174" si="2070">TRUNC($M174 * AQ174,2)</f>
        <v>0</v>
      </c>
      <c r="AS174" s="38"/>
      <c r="AT174" s="38">
        <f t="shared" ref="AT174" si="2071">TRUNC($M174 * AS174,2)</f>
        <v>0</v>
      </c>
      <c r="AU174" s="38"/>
      <c r="AV174" s="38">
        <f t="shared" ref="AV174" si="2072">TRUNC($M174 * AU174,2)</f>
        <v>0</v>
      </c>
      <c r="AW174" s="38"/>
      <c r="AX174" s="37">
        <f t="shared" ref="AX174" si="2073">TRUNC($M174 * AW174,2)</f>
        <v>0</v>
      </c>
      <c r="AY174" s="36">
        <f t="shared" ref="AY174" si="2074">SUM(U174,W174,Y174,AA174,AC174,AE174,AG174,AI174,AK174,AM174,AO174,AQ174,AS174,AU174,AW174)</f>
        <v>0</v>
      </c>
      <c r="AZ174" s="38">
        <f t="shared" ref="AZ174" si="2075">TRUNC($M174 * AY174,2)</f>
        <v>0</v>
      </c>
      <c r="BA174" s="38">
        <f t="shared" ref="BA174" si="2076">S174-AY174</f>
        <v>57.9</v>
      </c>
      <c r="BB174" s="37">
        <f t="shared" ref="BB174" si="2077">TRUNC($M174 * BA174,2)</f>
        <v>28314.25</v>
      </c>
    </row>
    <row r="175" spans="1:54" ht="24" customHeight="1" x14ac:dyDescent="0.25">
      <c r="A175" s="4">
        <v>11</v>
      </c>
      <c r="B175" s="4" t="s">
        <v>12</v>
      </c>
      <c r="C175" s="4"/>
      <c r="D175" s="4" t="s">
        <v>404</v>
      </c>
      <c r="E175" s="5"/>
      <c r="F175" s="14"/>
      <c r="G175" s="6"/>
      <c r="H175" s="6"/>
      <c r="I175" s="7">
        <f>I176</f>
        <v>34890.879999999997</v>
      </c>
      <c r="J175" s="7"/>
      <c r="K175" s="7">
        <f>K176</f>
        <v>41987.51</v>
      </c>
      <c r="L175" s="22">
        <f>K175 / L13</f>
        <v>1.447845172413793E-2</v>
      </c>
      <c r="M175" s="25"/>
      <c r="N175" s="26">
        <f>N176</f>
        <v>31495.919999999998</v>
      </c>
      <c r="O175" s="25"/>
      <c r="P175" s="30">
        <f>P176</f>
        <v>0</v>
      </c>
      <c r="Q175" s="30"/>
      <c r="R175" s="30">
        <f>R176</f>
        <v>0</v>
      </c>
      <c r="S175" s="30"/>
      <c r="T175" s="26">
        <f>T176</f>
        <v>31495.919999999998</v>
      </c>
      <c r="U175" s="25"/>
      <c r="V175" s="30">
        <f>V176</f>
        <v>0</v>
      </c>
      <c r="W175" s="30"/>
      <c r="X175" s="30">
        <f>X176</f>
        <v>0</v>
      </c>
      <c r="Y175" s="30"/>
      <c r="Z175" s="30">
        <f>Z176</f>
        <v>0</v>
      </c>
      <c r="AA175" s="30"/>
      <c r="AB175" s="30">
        <f>AB176</f>
        <v>0</v>
      </c>
      <c r="AC175" s="30"/>
      <c r="AD175" s="30">
        <f>AD176</f>
        <v>0</v>
      </c>
      <c r="AE175" s="30"/>
      <c r="AF175" s="30">
        <f>AF176</f>
        <v>0</v>
      </c>
      <c r="AG175" s="30"/>
      <c r="AH175" s="30">
        <f>AH176</f>
        <v>0</v>
      </c>
      <c r="AI175" s="30"/>
      <c r="AJ175" s="30">
        <f>AJ176</f>
        <v>0</v>
      </c>
      <c r="AK175" s="30"/>
      <c r="AL175" s="30">
        <f>AL176</f>
        <v>0</v>
      </c>
      <c r="AM175" s="30"/>
      <c r="AN175" s="30">
        <f>AN176</f>
        <v>0</v>
      </c>
      <c r="AO175" s="30"/>
      <c r="AP175" s="30">
        <f>AP176</f>
        <v>0</v>
      </c>
      <c r="AQ175" s="30"/>
      <c r="AR175" s="30">
        <f>AR176</f>
        <v>0</v>
      </c>
      <c r="AS175" s="30"/>
      <c r="AT175" s="30">
        <f>AT176</f>
        <v>0</v>
      </c>
      <c r="AU175" s="30"/>
      <c r="AV175" s="30">
        <f>AV176</f>
        <v>0</v>
      </c>
      <c r="AW175" s="30"/>
      <c r="AX175" s="26">
        <f>AX176</f>
        <v>0</v>
      </c>
      <c r="AY175" s="25"/>
      <c r="AZ175" s="30">
        <f>AZ176</f>
        <v>0</v>
      </c>
      <c r="BA175" s="30"/>
      <c r="BB175" s="26">
        <f>BB176</f>
        <v>31495.919999999998</v>
      </c>
    </row>
    <row r="176" spans="1:54" ht="24" customHeight="1" x14ac:dyDescent="0.25">
      <c r="A176" s="4" t="s">
        <v>993</v>
      </c>
      <c r="B176" s="4" t="s">
        <v>12</v>
      </c>
      <c r="C176" s="4"/>
      <c r="D176" s="4" t="s">
        <v>405</v>
      </c>
      <c r="E176" s="5"/>
      <c r="F176" s="14"/>
      <c r="G176" s="6"/>
      <c r="H176" s="6"/>
      <c r="I176" s="7">
        <f>SUM(I177)</f>
        <v>34890.879999999997</v>
      </c>
      <c r="J176" s="7"/>
      <c r="K176" s="7">
        <f>SUM(K177)</f>
        <v>41987.51</v>
      </c>
      <c r="L176" s="22">
        <f>K176 / L13</f>
        <v>1.447845172413793E-2</v>
      </c>
      <c r="M176" s="25"/>
      <c r="N176" s="26">
        <f>SUM(N177)</f>
        <v>31495.919999999998</v>
      </c>
      <c r="O176" s="25"/>
      <c r="P176" s="30">
        <f>SUM(P177)</f>
        <v>0</v>
      </c>
      <c r="Q176" s="30"/>
      <c r="R176" s="30">
        <f>SUM(R177)</f>
        <v>0</v>
      </c>
      <c r="S176" s="30"/>
      <c r="T176" s="26">
        <f>SUM(T177)</f>
        <v>31495.919999999998</v>
      </c>
      <c r="U176" s="25"/>
      <c r="V176" s="30">
        <f>SUM(V177)</f>
        <v>0</v>
      </c>
      <c r="W176" s="30"/>
      <c r="X176" s="30">
        <f>SUM(X177)</f>
        <v>0</v>
      </c>
      <c r="Y176" s="30"/>
      <c r="Z176" s="30">
        <f>SUM(Z177)</f>
        <v>0</v>
      </c>
      <c r="AA176" s="30"/>
      <c r="AB176" s="30">
        <f>SUM(AB177)</f>
        <v>0</v>
      </c>
      <c r="AC176" s="30"/>
      <c r="AD176" s="30">
        <f>SUM(AD177)</f>
        <v>0</v>
      </c>
      <c r="AE176" s="30"/>
      <c r="AF176" s="30">
        <f>SUM(AF177)</f>
        <v>0</v>
      </c>
      <c r="AG176" s="30"/>
      <c r="AH176" s="30">
        <f>SUM(AH177)</f>
        <v>0</v>
      </c>
      <c r="AI176" s="30"/>
      <c r="AJ176" s="30">
        <f>SUM(AJ177)</f>
        <v>0</v>
      </c>
      <c r="AK176" s="30"/>
      <c r="AL176" s="30">
        <f>SUM(AL177)</f>
        <v>0</v>
      </c>
      <c r="AM176" s="30"/>
      <c r="AN176" s="30">
        <f>SUM(AN177)</f>
        <v>0</v>
      </c>
      <c r="AO176" s="30"/>
      <c r="AP176" s="30">
        <f>SUM(AP177)</f>
        <v>0</v>
      </c>
      <c r="AQ176" s="30"/>
      <c r="AR176" s="30">
        <f>SUM(AR177)</f>
        <v>0</v>
      </c>
      <c r="AS176" s="30"/>
      <c r="AT176" s="30">
        <f>SUM(AT177)</f>
        <v>0</v>
      </c>
      <c r="AU176" s="30"/>
      <c r="AV176" s="30">
        <f>SUM(AV177)</f>
        <v>0</v>
      </c>
      <c r="AW176" s="30"/>
      <c r="AX176" s="26">
        <f>SUM(AX177)</f>
        <v>0</v>
      </c>
      <c r="AY176" s="25"/>
      <c r="AZ176" s="30">
        <f>SUM(AZ177)</f>
        <v>0</v>
      </c>
      <c r="BA176" s="30"/>
      <c r="BB176" s="26">
        <f>SUM(BB177)</f>
        <v>31495.919999999998</v>
      </c>
    </row>
    <row r="177" spans="1:54" ht="39" customHeight="1" x14ac:dyDescent="0.25">
      <c r="A177" s="31" t="s">
        <v>994</v>
      </c>
      <c r="B177" s="31" t="s">
        <v>406</v>
      </c>
      <c r="C177" s="31" t="s">
        <v>34</v>
      </c>
      <c r="D177" s="31" t="s">
        <v>407</v>
      </c>
      <c r="E177" s="32" t="s">
        <v>26</v>
      </c>
      <c r="F177" s="33">
        <v>528.80999999999995</v>
      </c>
      <c r="G177" s="34">
        <v>71.67</v>
      </c>
      <c r="H177" s="34">
        <f t="shared" ref="H177" si="2078">TRUNC(G177*$L$1,2)</f>
        <v>65.98</v>
      </c>
      <c r="I177" s="34">
        <f t="shared" ref="I177" si="2079">TRUNC(F177 * H177,2)</f>
        <v>34890.879999999997</v>
      </c>
      <c r="J177" s="34">
        <f>(TRUNC(H177 * L14,2) + H177)</f>
        <v>79.400000000000006</v>
      </c>
      <c r="K177" s="34">
        <f>TRUNC(F177 * J177,2)</f>
        <v>41987.51</v>
      </c>
      <c r="L177" s="35">
        <f>K177 / L13</f>
        <v>1.447845172413793E-2</v>
      </c>
      <c r="M177" s="36">
        <v>59.56</v>
      </c>
      <c r="N177" s="37">
        <f t="shared" ref="N177" si="2080">TRUNC(F177 * M177,2)</f>
        <v>31495.919999999998</v>
      </c>
      <c r="O177" s="36"/>
      <c r="P177" s="38">
        <f t="shared" ref="P177:R177" si="2081">TRUNC($M177 * O177,2)</f>
        <v>0</v>
      </c>
      <c r="Q177" s="38"/>
      <c r="R177" s="38">
        <f t="shared" si="2081"/>
        <v>0</v>
      </c>
      <c r="S177" s="38">
        <f t="shared" ref="S177" si="2082">F177+O177-Q177</f>
        <v>528.80999999999995</v>
      </c>
      <c r="T177" s="37">
        <f t="shared" ref="T177:V177" si="2083">TRUNC($M177 * S177,2)</f>
        <v>31495.919999999998</v>
      </c>
      <c r="U177" s="36"/>
      <c r="V177" s="38">
        <f t="shared" si="2083"/>
        <v>0</v>
      </c>
      <c r="W177" s="38"/>
      <c r="X177" s="38">
        <f t="shared" ref="X177" si="2084">TRUNC($M177 * W177,2)</f>
        <v>0</v>
      </c>
      <c r="Y177" s="38"/>
      <c r="Z177" s="38">
        <f t="shared" ref="Z177" si="2085">TRUNC($M177 * Y177,2)</f>
        <v>0</v>
      </c>
      <c r="AA177" s="38"/>
      <c r="AB177" s="38">
        <f t="shared" ref="AB177" si="2086">TRUNC($M177 * AA177,2)</f>
        <v>0</v>
      </c>
      <c r="AC177" s="38"/>
      <c r="AD177" s="38">
        <f t="shared" ref="AD177" si="2087">TRUNC($M177 * AC177,2)</f>
        <v>0</v>
      </c>
      <c r="AE177" s="38"/>
      <c r="AF177" s="38">
        <f t="shared" ref="AF177" si="2088">TRUNC($M177 * AE177,2)</f>
        <v>0</v>
      </c>
      <c r="AG177" s="38"/>
      <c r="AH177" s="38">
        <f t="shared" ref="AH177" si="2089">TRUNC($M177 * AG177,2)</f>
        <v>0</v>
      </c>
      <c r="AI177" s="38"/>
      <c r="AJ177" s="38">
        <f t="shared" ref="AJ177" si="2090">TRUNC($M177 * AI177,2)</f>
        <v>0</v>
      </c>
      <c r="AK177" s="38"/>
      <c r="AL177" s="38">
        <f t="shared" ref="AL177" si="2091">TRUNC($M177 * AK177,2)</f>
        <v>0</v>
      </c>
      <c r="AM177" s="38"/>
      <c r="AN177" s="38">
        <f t="shared" ref="AN177" si="2092">TRUNC($M177 * AM177,2)</f>
        <v>0</v>
      </c>
      <c r="AO177" s="38"/>
      <c r="AP177" s="38">
        <f t="shared" ref="AP177" si="2093">TRUNC($M177 * AO177,2)</f>
        <v>0</v>
      </c>
      <c r="AQ177" s="38"/>
      <c r="AR177" s="38">
        <f t="shared" ref="AR177" si="2094">TRUNC($M177 * AQ177,2)</f>
        <v>0</v>
      </c>
      <c r="AS177" s="38"/>
      <c r="AT177" s="38">
        <f t="shared" ref="AT177" si="2095">TRUNC($M177 * AS177,2)</f>
        <v>0</v>
      </c>
      <c r="AU177" s="38"/>
      <c r="AV177" s="38">
        <f t="shared" ref="AV177" si="2096">TRUNC($M177 * AU177,2)</f>
        <v>0</v>
      </c>
      <c r="AW177" s="38"/>
      <c r="AX177" s="37">
        <f t="shared" ref="AX177" si="2097">TRUNC($M177 * AW177,2)</f>
        <v>0</v>
      </c>
      <c r="AY177" s="36">
        <f t="shared" ref="AY177" si="2098">SUM(U177,W177,Y177,AA177,AC177,AE177,AG177,AI177,AK177,AM177,AO177,AQ177,AS177,AU177,AW177)</f>
        <v>0</v>
      </c>
      <c r="AZ177" s="38">
        <f t="shared" ref="AZ177" si="2099">TRUNC($M177 * AY177,2)</f>
        <v>0</v>
      </c>
      <c r="BA177" s="38">
        <f t="shared" ref="BA177" si="2100">S177-AY177</f>
        <v>528.80999999999995</v>
      </c>
      <c r="BB177" s="37">
        <f t="shared" ref="BB177" si="2101">TRUNC($M177 * BA177,2)</f>
        <v>31495.919999999998</v>
      </c>
    </row>
    <row r="178" spans="1:54" ht="24" customHeight="1" x14ac:dyDescent="0.25">
      <c r="A178" s="4">
        <v>12</v>
      </c>
      <c r="B178" s="4" t="s">
        <v>12</v>
      </c>
      <c r="C178" s="4"/>
      <c r="D178" s="4" t="s">
        <v>408</v>
      </c>
      <c r="E178" s="5"/>
      <c r="F178" s="14"/>
      <c r="G178" s="6"/>
      <c r="H178" s="6"/>
      <c r="I178" s="7">
        <f>SUM(I179,I185,I188)</f>
        <v>78418.47</v>
      </c>
      <c r="J178" s="7"/>
      <c r="K178" s="7">
        <f>SUM(K179,K185,K188)</f>
        <v>94345.11</v>
      </c>
      <c r="L178" s="22">
        <f>K178 / L13</f>
        <v>3.2532796551724134E-2</v>
      </c>
      <c r="M178" s="25"/>
      <c r="N178" s="26">
        <f>SUM(N179,N185,N188)</f>
        <v>82532.53</v>
      </c>
      <c r="O178" s="25"/>
      <c r="P178" s="30">
        <f>SUM(P179,P185,P188)</f>
        <v>0</v>
      </c>
      <c r="Q178" s="30"/>
      <c r="R178" s="30">
        <f>SUM(R179,R185,R188)</f>
        <v>0</v>
      </c>
      <c r="S178" s="30"/>
      <c r="T178" s="26">
        <f>SUM(T179,T185,T188)</f>
        <v>82532.53</v>
      </c>
      <c r="U178" s="25"/>
      <c r="V178" s="30">
        <f>SUM(V179,V185,V188)</f>
        <v>0</v>
      </c>
      <c r="W178" s="30"/>
      <c r="X178" s="30">
        <f>SUM(X179,X185,X188)</f>
        <v>0</v>
      </c>
      <c r="Y178" s="30"/>
      <c r="Z178" s="30">
        <f>SUM(Z179,Z185,Z188)</f>
        <v>0</v>
      </c>
      <c r="AA178" s="30"/>
      <c r="AB178" s="30">
        <f>SUM(AB179,AB185,AB188)</f>
        <v>0</v>
      </c>
      <c r="AC178" s="30"/>
      <c r="AD178" s="30">
        <f>SUM(AD179,AD185,AD188)</f>
        <v>0</v>
      </c>
      <c r="AE178" s="30"/>
      <c r="AF178" s="30">
        <f>SUM(AF179,AF185,AF188)</f>
        <v>0</v>
      </c>
      <c r="AG178" s="30"/>
      <c r="AH178" s="30">
        <f>SUM(AH179,AH185,AH188)</f>
        <v>0</v>
      </c>
      <c r="AI178" s="30"/>
      <c r="AJ178" s="30">
        <f>SUM(AJ179,AJ185,AJ188)</f>
        <v>0</v>
      </c>
      <c r="AK178" s="30"/>
      <c r="AL178" s="30">
        <f>SUM(AL179,AL185,AL188)</f>
        <v>0</v>
      </c>
      <c r="AM178" s="30"/>
      <c r="AN178" s="30">
        <f>SUM(AN179,AN185,AN188)</f>
        <v>0</v>
      </c>
      <c r="AO178" s="30"/>
      <c r="AP178" s="30">
        <f>SUM(AP179,AP185,AP188)</f>
        <v>0</v>
      </c>
      <c r="AQ178" s="30"/>
      <c r="AR178" s="30">
        <f>SUM(AR179,AR185,AR188)</f>
        <v>0</v>
      </c>
      <c r="AS178" s="30"/>
      <c r="AT178" s="30">
        <f>SUM(AT179,AT185,AT188)</f>
        <v>0</v>
      </c>
      <c r="AU178" s="30"/>
      <c r="AV178" s="30">
        <f>SUM(AV179,AV185,AV188)</f>
        <v>0</v>
      </c>
      <c r="AW178" s="30"/>
      <c r="AX178" s="26">
        <f>SUM(AX179,AX185,AX188)</f>
        <v>0</v>
      </c>
      <c r="AY178" s="25"/>
      <c r="AZ178" s="30">
        <f>SUM(AZ179,AZ185,AZ188)</f>
        <v>0</v>
      </c>
      <c r="BA178" s="30"/>
      <c r="BB178" s="26">
        <f>SUM(BB179,BB185,BB188)</f>
        <v>82532.53</v>
      </c>
    </row>
    <row r="179" spans="1:54" ht="24" customHeight="1" x14ac:dyDescent="0.25">
      <c r="A179" s="4" t="s">
        <v>995</v>
      </c>
      <c r="B179" s="4" t="s">
        <v>12</v>
      </c>
      <c r="C179" s="4"/>
      <c r="D179" s="4" t="s">
        <v>409</v>
      </c>
      <c r="E179" s="5"/>
      <c r="F179" s="14"/>
      <c r="G179" s="6"/>
      <c r="H179" s="6"/>
      <c r="I179" s="7">
        <f>SUM(I180:I184)</f>
        <v>58300.27</v>
      </c>
      <c r="J179" s="7"/>
      <c r="K179" s="7">
        <f>SUM(K180:K184)</f>
        <v>70139.08</v>
      </c>
      <c r="L179" s="22">
        <f>K179 / L13</f>
        <v>2.4185889655172411E-2</v>
      </c>
      <c r="M179" s="25"/>
      <c r="N179" s="26">
        <f>SUM(N180:N184)</f>
        <v>59238.490000000005</v>
      </c>
      <c r="O179" s="25"/>
      <c r="P179" s="30">
        <f>SUM(P180:P184)</f>
        <v>0</v>
      </c>
      <c r="Q179" s="30"/>
      <c r="R179" s="30">
        <f>SUM(R180:R184)</f>
        <v>0</v>
      </c>
      <c r="S179" s="30"/>
      <c r="T179" s="26">
        <f>SUM(T180:T184)</f>
        <v>59238.490000000005</v>
      </c>
      <c r="U179" s="25"/>
      <c r="V179" s="30">
        <f>SUM(V180:V184)</f>
        <v>0</v>
      </c>
      <c r="W179" s="30"/>
      <c r="X179" s="30">
        <f>SUM(X180:X184)</f>
        <v>0</v>
      </c>
      <c r="Y179" s="30"/>
      <c r="Z179" s="30">
        <f>SUM(Z180:Z184)</f>
        <v>0</v>
      </c>
      <c r="AA179" s="30"/>
      <c r="AB179" s="30">
        <f>SUM(AB180:AB184)</f>
        <v>0</v>
      </c>
      <c r="AC179" s="30"/>
      <c r="AD179" s="30">
        <f>SUM(AD180:AD184)</f>
        <v>0</v>
      </c>
      <c r="AE179" s="30"/>
      <c r="AF179" s="30">
        <f>SUM(AF180:AF184)</f>
        <v>0</v>
      </c>
      <c r="AG179" s="30"/>
      <c r="AH179" s="30">
        <f>SUM(AH180:AH184)</f>
        <v>0</v>
      </c>
      <c r="AI179" s="30"/>
      <c r="AJ179" s="30">
        <f>SUM(AJ180:AJ184)</f>
        <v>0</v>
      </c>
      <c r="AK179" s="30"/>
      <c r="AL179" s="30">
        <f>SUM(AL180:AL184)</f>
        <v>0</v>
      </c>
      <c r="AM179" s="30"/>
      <c r="AN179" s="30">
        <f>SUM(AN180:AN184)</f>
        <v>0</v>
      </c>
      <c r="AO179" s="30"/>
      <c r="AP179" s="30">
        <f>SUM(AP180:AP184)</f>
        <v>0</v>
      </c>
      <c r="AQ179" s="30"/>
      <c r="AR179" s="30">
        <f>SUM(AR180:AR184)</f>
        <v>0</v>
      </c>
      <c r="AS179" s="30"/>
      <c r="AT179" s="30">
        <f>SUM(AT180:AT184)</f>
        <v>0</v>
      </c>
      <c r="AU179" s="30"/>
      <c r="AV179" s="30">
        <f>SUM(AV180:AV184)</f>
        <v>0</v>
      </c>
      <c r="AW179" s="30"/>
      <c r="AX179" s="26">
        <f>SUM(AX180:AX184)</f>
        <v>0</v>
      </c>
      <c r="AY179" s="25"/>
      <c r="AZ179" s="30">
        <f>SUM(AZ180:AZ184)</f>
        <v>0</v>
      </c>
      <c r="BA179" s="30"/>
      <c r="BB179" s="26">
        <f>SUM(BB180:BB184)</f>
        <v>59238.490000000005</v>
      </c>
    </row>
    <row r="180" spans="1:54" ht="26.1" customHeight="1" x14ac:dyDescent="0.25">
      <c r="A180" s="31" t="s">
        <v>996</v>
      </c>
      <c r="B180" s="31" t="s">
        <v>410</v>
      </c>
      <c r="C180" s="31" t="s">
        <v>34</v>
      </c>
      <c r="D180" s="31" t="s">
        <v>411</v>
      </c>
      <c r="E180" s="32" t="s">
        <v>26</v>
      </c>
      <c r="F180" s="33">
        <v>715.44</v>
      </c>
      <c r="G180" s="34">
        <v>4.49</v>
      </c>
      <c r="H180" s="34">
        <f t="shared" ref="H180:H192" si="2102">TRUNC(G180*$L$1,2)</f>
        <v>4.13</v>
      </c>
      <c r="I180" s="34">
        <f t="shared" ref="I180:I192" si="2103">TRUNC(F180 * H180,2)</f>
        <v>2954.76</v>
      </c>
      <c r="J180" s="34">
        <f>(TRUNC(H180 * L14,2) + H180)</f>
        <v>4.97</v>
      </c>
      <c r="K180" s="34">
        <f>TRUNC(F180 * J180,2)</f>
        <v>3555.73</v>
      </c>
      <c r="L180" s="35">
        <f>K180 / L13</f>
        <v>1.2261137931034482E-3</v>
      </c>
      <c r="M180" s="36">
        <v>4.09</v>
      </c>
      <c r="N180" s="37">
        <f t="shared" ref="N180:N192" si="2104">TRUNC(F180 * M180,2)</f>
        <v>2926.14</v>
      </c>
      <c r="O180" s="36"/>
      <c r="P180" s="38">
        <f t="shared" ref="P180:R192" si="2105">TRUNC($M180 * O180,2)</f>
        <v>0</v>
      </c>
      <c r="Q180" s="38"/>
      <c r="R180" s="38">
        <f t="shared" si="2105"/>
        <v>0</v>
      </c>
      <c r="S180" s="38">
        <f t="shared" ref="S180:S192" si="2106">F180+O180-Q180</f>
        <v>715.44</v>
      </c>
      <c r="T180" s="37">
        <f t="shared" ref="T180:V180" si="2107">TRUNC($M180 * S180,2)</f>
        <v>2926.14</v>
      </c>
      <c r="U180" s="36"/>
      <c r="V180" s="38">
        <f t="shared" si="2107"/>
        <v>0</v>
      </c>
      <c r="W180" s="38"/>
      <c r="X180" s="38">
        <f t="shared" ref="X180" si="2108">TRUNC($M180 * W180,2)</f>
        <v>0</v>
      </c>
      <c r="Y180" s="38"/>
      <c r="Z180" s="38">
        <f t="shared" ref="Z180" si="2109">TRUNC($M180 * Y180,2)</f>
        <v>0</v>
      </c>
      <c r="AA180" s="38"/>
      <c r="AB180" s="38">
        <f t="shared" ref="AB180" si="2110">TRUNC($M180 * AA180,2)</f>
        <v>0</v>
      </c>
      <c r="AC180" s="38"/>
      <c r="AD180" s="38">
        <f t="shared" ref="AD180" si="2111">TRUNC($M180 * AC180,2)</f>
        <v>0</v>
      </c>
      <c r="AE180" s="38"/>
      <c r="AF180" s="38">
        <f t="shared" ref="AF180" si="2112">TRUNC($M180 * AE180,2)</f>
        <v>0</v>
      </c>
      <c r="AG180" s="38"/>
      <c r="AH180" s="38">
        <f t="shared" ref="AH180" si="2113">TRUNC($M180 * AG180,2)</f>
        <v>0</v>
      </c>
      <c r="AI180" s="38"/>
      <c r="AJ180" s="38">
        <f t="shared" ref="AJ180" si="2114">TRUNC($M180 * AI180,2)</f>
        <v>0</v>
      </c>
      <c r="AK180" s="38"/>
      <c r="AL180" s="38">
        <f t="shared" ref="AL180" si="2115">TRUNC($M180 * AK180,2)</f>
        <v>0</v>
      </c>
      <c r="AM180" s="38"/>
      <c r="AN180" s="38">
        <f t="shared" ref="AN180" si="2116">TRUNC($M180 * AM180,2)</f>
        <v>0</v>
      </c>
      <c r="AO180" s="38"/>
      <c r="AP180" s="38">
        <f t="shared" ref="AP180" si="2117">TRUNC($M180 * AO180,2)</f>
        <v>0</v>
      </c>
      <c r="AQ180" s="38"/>
      <c r="AR180" s="38">
        <f t="shared" ref="AR180" si="2118">TRUNC($M180 * AQ180,2)</f>
        <v>0</v>
      </c>
      <c r="AS180" s="38"/>
      <c r="AT180" s="38">
        <f t="shared" ref="AT180" si="2119">TRUNC($M180 * AS180,2)</f>
        <v>0</v>
      </c>
      <c r="AU180" s="38"/>
      <c r="AV180" s="38">
        <f t="shared" ref="AV180" si="2120">TRUNC($M180 * AU180,2)</f>
        <v>0</v>
      </c>
      <c r="AW180" s="38"/>
      <c r="AX180" s="37">
        <f t="shared" ref="AX180" si="2121">TRUNC($M180 * AW180,2)</f>
        <v>0</v>
      </c>
      <c r="AY180" s="36">
        <f t="shared" ref="AY180:AY192" si="2122">SUM(U180,W180,Y180,AA180,AC180,AE180,AG180,AI180,AK180,AM180,AO180,AQ180,AS180,AU180,AW180)</f>
        <v>0</v>
      </c>
      <c r="AZ180" s="38">
        <f t="shared" ref="AZ180" si="2123">TRUNC($M180 * AY180,2)</f>
        <v>0</v>
      </c>
      <c r="BA180" s="38">
        <f t="shared" ref="BA180:BA192" si="2124">S180-AY180</f>
        <v>715.44</v>
      </c>
      <c r="BB180" s="37">
        <f t="shared" ref="BB180" si="2125">TRUNC($M180 * BA180,2)</f>
        <v>2926.14</v>
      </c>
    </row>
    <row r="181" spans="1:54" ht="26.1" customHeight="1" x14ac:dyDescent="0.25">
      <c r="A181" s="31" t="s">
        <v>997</v>
      </c>
      <c r="B181" s="31" t="s">
        <v>412</v>
      </c>
      <c r="C181" s="31" t="s">
        <v>34</v>
      </c>
      <c r="D181" s="31" t="s">
        <v>413</v>
      </c>
      <c r="E181" s="32" t="s">
        <v>26</v>
      </c>
      <c r="F181" s="33">
        <v>1349.77</v>
      </c>
      <c r="G181" s="34">
        <v>12.67</v>
      </c>
      <c r="H181" s="34">
        <f t="shared" si="2102"/>
        <v>11.66</v>
      </c>
      <c r="I181" s="34">
        <f t="shared" si="2103"/>
        <v>15738.31</v>
      </c>
      <c r="J181" s="34">
        <f>(TRUNC(H181 * L14,2) + H181)</f>
        <v>14.030000000000001</v>
      </c>
      <c r="K181" s="34">
        <f>TRUNC(F181 * J181,2)</f>
        <v>18937.27</v>
      </c>
      <c r="L181" s="35">
        <f>K181 / L13</f>
        <v>6.530093103448275E-3</v>
      </c>
      <c r="M181" s="36">
        <v>12.4</v>
      </c>
      <c r="N181" s="37">
        <f t="shared" si="2104"/>
        <v>16737.14</v>
      </c>
      <c r="O181" s="36"/>
      <c r="P181" s="38">
        <f t="shared" si="2105"/>
        <v>0</v>
      </c>
      <c r="Q181" s="38"/>
      <c r="R181" s="38">
        <f t="shared" si="2105"/>
        <v>0</v>
      </c>
      <c r="S181" s="38">
        <f t="shared" si="2106"/>
        <v>1349.77</v>
      </c>
      <c r="T181" s="37">
        <f t="shared" ref="T181:V181" si="2126">TRUNC($M181 * S181,2)</f>
        <v>16737.14</v>
      </c>
      <c r="U181" s="36"/>
      <c r="V181" s="38">
        <f t="shared" si="2126"/>
        <v>0</v>
      </c>
      <c r="W181" s="38"/>
      <c r="X181" s="38">
        <f t="shared" ref="X181" si="2127">TRUNC($M181 * W181,2)</f>
        <v>0</v>
      </c>
      <c r="Y181" s="38"/>
      <c r="Z181" s="38">
        <f t="shared" ref="Z181" si="2128">TRUNC($M181 * Y181,2)</f>
        <v>0</v>
      </c>
      <c r="AA181" s="38"/>
      <c r="AB181" s="38">
        <f t="shared" ref="AB181" si="2129">TRUNC($M181 * AA181,2)</f>
        <v>0</v>
      </c>
      <c r="AC181" s="38"/>
      <c r="AD181" s="38">
        <f t="shared" ref="AD181" si="2130">TRUNC($M181 * AC181,2)</f>
        <v>0</v>
      </c>
      <c r="AE181" s="38"/>
      <c r="AF181" s="38">
        <f t="shared" ref="AF181" si="2131">TRUNC($M181 * AE181,2)</f>
        <v>0</v>
      </c>
      <c r="AG181" s="38"/>
      <c r="AH181" s="38">
        <f t="shared" ref="AH181" si="2132">TRUNC($M181 * AG181,2)</f>
        <v>0</v>
      </c>
      <c r="AI181" s="38"/>
      <c r="AJ181" s="38">
        <f t="shared" ref="AJ181" si="2133">TRUNC($M181 * AI181,2)</f>
        <v>0</v>
      </c>
      <c r="AK181" s="38"/>
      <c r="AL181" s="38">
        <f t="shared" ref="AL181" si="2134">TRUNC($M181 * AK181,2)</f>
        <v>0</v>
      </c>
      <c r="AM181" s="38"/>
      <c r="AN181" s="38">
        <f t="shared" ref="AN181" si="2135">TRUNC($M181 * AM181,2)</f>
        <v>0</v>
      </c>
      <c r="AO181" s="38"/>
      <c r="AP181" s="38">
        <f t="shared" ref="AP181" si="2136">TRUNC($M181 * AO181,2)</f>
        <v>0</v>
      </c>
      <c r="AQ181" s="38"/>
      <c r="AR181" s="38">
        <f t="shared" ref="AR181" si="2137">TRUNC($M181 * AQ181,2)</f>
        <v>0</v>
      </c>
      <c r="AS181" s="38"/>
      <c r="AT181" s="38">
        <f t="shared" ref="AT181" si="2138">TRUNC($M181 * AS181,2)</f>
        <v>0</v>
      </c>
      <c r="AU181" s="38"/>
      <c r="AV181" s="38">
        <f t="shared" ref="AV181" si="2139">TRUNC($M181 * AU181,2)</f>
        <v>0</v>
      </c>
      <c r="AW181" s="38"/>
      <c r="AX181" s="37">
        <f t="shared" ref="AX181" si="2140">TRUNC($M181 * AW181,2)</f>
        <v>0</v>
      </c>
      <c r="AY181" s="36">
        <f t="shared" si="2122"/>
        <v>0</v>
      </c>
      <c r="AZ181" s="38">
        <f t="shared" ref="AZ181" si="2141">TRUNC($M181 * AY181,2)</f>
        <v>0</v>
      </c>
      <c r="BA181" s="38">
        <f t="shared" si="2124"/>
        <v>1349.77</v>
      </c>
      <c r="BB181" s="37">
        <f t="shared" ref="BB181" si="2142">TRUNC($M181 * BA181,2)</f>
        <v>16737.14</v>
      </c>
    </row>
    <row r="182" spans="1:54" ht="26.1" customHeight="1" x14ac:dyDescent="0.25">
      <c r="A182" s="31" t="s">
        <v>998</v>
      </c>
      <c r="B182" s="31" t="s">
        <v>414</v>
      </c>
      <c r="C182" s="31" t="s">
        <v>34</v>
      </c>
      <c r="D182" s="31" t="s">
        <v>415</v>
      </c>
      <c r="E182" s="32" t="s">
        <v>26</v>
      </c>
      <c r="F182" s="33">
        <v>715.44</v>
      </c>
      <c r="G182" s="34">
        <v>20.6</v>
      </c>
      <c r="H182" s="34">
        <f t="shared" si="2102"/>
        <v>18.96</v>
      </c>
      <c r="I182" s="34">
        <f t="shared" si="2103"/>
        <v>13564.74</v>
      </c>
      <c r="J182" s="34">
        <f>(TRUNC(H182 * L14,2) + H182)</f>
        <v>22.810000000000002</v>
      </c>
      <c r="K182" s="34">
        <f>TRUNC(F182 * J182,2)</f>
        <v>16319.18</v>
      </c>
      <c r="L182" s="35">
        <f>K182 / L13</f>
        <v>5.627303448275861E-3</v>
      </c>
      <c r="M182" s="36">
        <v>19.95</v>
      </c>
      <c r="N182" s="37">
        <f t="shared" si="2104"/>
        <v>14273.02</v>
      </c>
      <c r="O182" s="36"/>
      <c r="P182" s="38">
        <f t="shared" si="2105"/>
        <v>0</v>
      </c>
      <c r="Q182" s="38"/>
      <c r="R182" s="38">
        <f t="shared" si="2105"/>
        <v>0</v>
      </c>
      <c r="S182" s="38">
        <f t="shared" si="2106"/>
        <v>715.44</v>
      </c>
      <c r="T182" s="37">
        <f t="shared" ref="T182:V182" si="2143">TRUNC($M182 * S182,2)</f>
        <v>14273.02</v>
      </c>
      <c r="U182" s="36"/>
      <c r="V182" s="38">
        <f t="shared" si="2143"/>
        <v>0</v>
      </c>
      <c r="W182" s="38"/>
      <c r="X182" s="38">
        <f t="shared" ref="X182" si="2144">TRUNC($M182 * W182,2)</f>
        <v>0</v>
      </c>
      <c r="Y182" s="38"/>
      <c r="Z182" s="38">
        <f t="shared" ref="Z182" si="2145">TRUNC($M182 * Y182,2)</f>
        <v>0</v>
      </c>
      <c r="AA182" s="38"/>
      <c r="AB182" s="38">
        <f t="shared" ref="AB182" si="2146">TRUNC($M182 * AA182,2)</f>
        <v>0</v>
      </c>
      <c r="AC182" s="38"/>
      <c r="AD182" s="38">
        <f t="shared" ref="AD182" si="2147">TRUNC($M182 * AC182,2)</f>
        <v>0</v>
      </c>
      <c r="AE182" s="38"/>
      <c r="AF182" s="38">
        <f t="shared" ref="AF182" si="2148">TRUNC($M182 * AE182,2)</f>
        <v>0</v>
      </c>
      <c r="AG182" s="38"/>
      <c r="AH182" s="38">
        <f t="shared" ref="AH182" si="2149">TRUNC($M182 * AG182,2)</f>
        <v>0</v>
      </c>
      <c r="AI182" s="38"/>
      <c r="AJ182" s="38">
        <f t="shared" ref="AJ182" si="2150">TRUNC($M182 * AI182,2)</f>
        <v>0</v>
      </c>
      <c r="AK182" s="38"/>
      <c r="AL182" s="38">
        <f t="shared" ref="AL182" si="2151">TRUNC($M182 * AK182,2)</f>
        <v>0</v>
      </c>
      <c r="AM182" s="38"/>
      <c r="AN182" s="38">
        <f t="shared" ref="AN182" si="2152">TRUNC($M182 * AM182,2)</f>
        <v>0</v>
      </c>
      <c r="AO182" s="38"/>
      <c r="AP182" s="38">
        <f t="shared" ref="AP182" si="2153">TRUNC($M182 * AO182,2)</f>
        <v>0</v>
      </c>
      <c r="AQ182" s="38"/>
      <c r="AR182" s="38">
        <f t="shared" ref="AR182" si="2154">TRUNC($M182 * AQ182,2)</f>
        <v>0</v>
      </c>
      <c r="AS182" s="38"/>
      <c r="AT182" s="38">
        <f t="shared" ref="AT182" si="2155">TRUNC($M182 * AS182,2)</f>
        <v>0</v>
      </c>
      <c r="AU182" s="38"/>
      <c r="AV182" s="38">
        <f t="shared" ref="AV182" si="2156">TRUNC($M182 * AU182,2)</f>
        <v>0</v>
      </c>
      <c r="AW182" s="38"/>
      <c r="AX182" s="37">
        <f t="shared" ref="AX182" si="2157">TRUNC($M182 * AW182,2)</f>
        <v>0</v>
      </c>
      <c r="AY182" s="36">
        <f t="shared" si="2122"/>
        <v>0</v>
      </c>
      <c r="AZ182" s="38">
        <f t="shared" ref="AZ182" si="2158">TRUNC($M182 * AY182,2)</f>
        <v>0</v>
      </c>
      <c r="BA182" s="38">
        <f t="shared" si="2124"/>
        <v>715.44</v>
      </c>
      <c r="BB182" s="37">
        <f t="shared" ref="BB182" si="2159">TRUNC($M182 * BA182,2)</f>
        <v>14273.02</v>
      </c>
    </row>
    <row r="183" spans="1:54" ht="26.1" customHeight="1" x14ac:dyDescent="0.25">
      <c r="A183" s="31" t="s">
        <v>999</v>
      </c>
      <c r="B183" s="31" t="s">
        <v>416</v>
      </c>
      <c r="C183" s="31" t="s">
        <v>34</v>
      </c>
      <c r="D183" s="31" t="s">
        <v>417</v>
      </c>
      <c r="E183" s="32" t="s">
        <v>26</v>
      </c>
      <c r="F183" s="33">
        <v>1349.77</v>
      </c>
      <c r="G183" s="34">
        <v>10.07</v>
      </c>
      <c r="H183" s="34">
        <f t="shared" si="2102"/>
        <v>9.27</v>
      </c>
      <c r="I183" s="34">
        <f t="shared" si="2103"/>
        <v>12512.36</v>
      </c>
      <c r="J183" s="34">
        <f>(TRUNC(H183 * L14,2) + H183)</f>
        <v>11.149999999999999</v>
      </c>
      <c r="K183" s="34">
        <f>TRUNC(F183 * J183,2)</f>
        <v>15049.93</v>
      </c>
      <c r="L183" s="35">
        <f>K183 / L13</f>
        <v>5.1896310344827579E-3</v>
      </c>
      <c r="M183" s="36">
        <v>9.41</v>
      </c>
      <c r="N183" s="37">
        <f t="shared" si="2104"/>
        <v>12701.33</v>
      </c>
      <c r="O183" s="36"/>
      <c r="P183" s="38">
        <f t="shared" si="2105"/>
        <v>0</v>
      </c>
      <c r="Q183" s="38"/>
      <c r="R183" s="38">
        <f t="shared" si="2105"/>
        <v>0</v>
      </c>
      <c r="S183" s="38">
        <f t="shared" si="2106"/>
        <v>1349.77</v>
      </c>
      <c r="T183" s="37">
        <f t="shared" ref="T183:V183" si="2160">TRUNC($M183 * S183,2)</f>
        <v>12701.33</v>
      </c>
      <c r="U183" s="36"/>
      <c r="V183" s="38">
        <f t="shared" si="2160"/>
        <v>0</v>
      </c>
      <c r="W183" s="38"/>
      <c r="X183" s="38">
        <f t="shared" ref="X183" si="2161">TRUNC($M183 * W183,2)</f>
        <v>0</v>
      </c>
      <c r="Y183" s="38"/>
      <c r="Z183" s="38">
        <f t="shared" ref="Z183" si="2162">TRUNC($M183 * Y183,2)</f>
        <v>0</v>
      </c>
      <c r="AA183" s="38"/>
      <c r="AB183" s="38">
        <f t="shared" ref="AB183" si="2163">TRUNC($M183 * AA183,2)</f>
        <v>0</v>
      </c>
      <c r="AC183" s="38"/>
      <c r="AD183" s="38">
        <f t="shared" ref="AD183" si="2164">TRUNC($M183 * AC183,2)</f>
        <v>0</v>
      </c>
      <c r="AE183" s="38"/>
      <c r="AF183" s="38">
        <f t="shared" ref="AF183" si="2165">TRUNC($M183 * AE183,2)</f>
        <v>0</v>
      </c>
      <c r="AG183" s="38"/>
      <c r="AH183" s="38">
        <f t="shared" ref="AH183" si="2166">TRUNC($M183 * AG183,2)</f>
        <v>0</v>
      </c>
      <c r="AI183" s="38"/>
      <c r="AJ183" s="38">
        <f t="shared" ref="AJ183" si="2167">TRUNC($M183 * AI183,2)</f>
        <v>0</v>
      </c>
      <c r="AK183" s="38"/>
      <c r="AL183" s="38">
        <f t="shared" ref="AL183" si="2168">TRUNC($M183 * AK183,2)</f>
        <v>0</v>
      </c>
      <c r="AM183" s="38"/>
      <c r="AN183" s="38">
        <f t="shared" ref="AN183" si="2169">TRUNC($M183 * AM183,2)</f>
        <v>0</v>
      </c>
      <c r="AO183" s="38"/>
      <c r="AP183" s="38">
        <f t="shared" ref="AP183" si="2170">TRUNC($M183 * AO183,2)</f>
        <v>0</v>
      </c>
      <c r="AQ183" s="38"/>
      <c r="AR183" s="38">
        <f t="shared" ref="AR183" si="2171">TRUNC($M183 * AQ183,2)</f>
        <v>0</v>
      </c>
      <c r="AS183" s="38"/>
      <c r="AT183" s="38">
        <f t="shared" ref="AT183" si="2172">TRUNC($M183 * AS183,2)</f>
        <v>0</v>
      </c>
      <c r="AU183" s="38"/>
      <c r="AV183" s="38">
        <f t="shared" ref="AV183" si="2173">TRUNC($M183 * AU183,2)</f>
        <v>0</v>
      </c>
      <c r="AW183" s="38"/>
      <c r="AX183" s="37">
        <f t="shared" ref="AX183" si="2174">TRUNC($M183 * AW183,2)</f>
        <v>0</v>
      </c>
      <c r="AY183" s="36">
        <f t="shared" si="2122"/>
        <v>0</v>
      </c>
      <c r="AZ183" s="38">
        <f t="shared" ref="AZ183" si="2175">TRUNC($M183 * AY183,2)</f>
        <v>0</v>
      </c>
      <c r="BA183" s="38">
        <f t="shared" si="2124"/>
        <v>1349.77</v>
      </c>
      <c r="BB183" s="37">
        <f t="shared" ref="BB183" si="2176">TRUNC($M183 * BA183,2)</f>
        <v>12701.33</v>
      </c>
    </row>
    <row r="184" spans="1:54" ht="26.1" customHeight="1" x14ac:dyDescent="0.25">
      <c r="A184" s="31" t="s">
        <v>1000</v>
      </c>
      <c r="B184" s="31" t="s">
        <v>418</v>
      </c>
      <c r="C184" s="31" t="s">
        <v>34</v>
      </c>
      <c r="D184" s="31" t="s">
        <v>419</v>
      </c>
      <c r="E184" s="32" t="s">
        <v>26</v>
      </c>
      <c r="F184" s="33">
        <v>1021.14</v>
      </c>
      <c r="G184" s="34">
        <v>14.4</v>
      </c>
      <c r="H184" s="34">
        <f t="shared" si="2102"/>
        <v>13.25</v>
      </c>
      <c r="I184" s="34">
        <f t="shared" si="2103"/>
        <v>13530.1</v>
      </c>
      <c r="J184" s="34">
        <f>(TRUNC(H184 * L14,2) + H184)</f>
        <v>15.94</v>
      </c>
      <c r="K184" s="34">
        <f>TRUNC(F184 * J184,2)</f>
        <v>16276.97</v>
      </c>
      <c r="L184" s="35">
        <f>K184 / L13</f>
        <v>5.6127482758620674E-3</v>
      </c>
      <c r="M184" s="36">
        <v>12.34</v>
      </c>
      <c r="N184" s="37">
        <f t="shared" si="2104"/>
        <v>12600.86</v>
      </c>
      <c r="O184" s="36"/>
      <c r="P184" s="38">
        <f t="shared" si="2105"/>
        <v>0</v>
      </c>
      <c r="Q184" s="38"/>
      <c r="R184" s="38">
        <f t="shared" si="2105"/>
        <v>0</v>
      </c>
      <c r="S184" s="38">
        <f t="shared" si="2106"/>
        <v>1021.14</v>
      </c>
      <c r="T184" s="37">
        <f t="shared" ref="T184:V184" si="2177">TRUNC($M184 * S184,2)</f>
        <v>12600.86</v>
      </c>
      <c r="U184" s="36"/>
      <c r="V184" s="38">
        <f t="shared" si="2177"/>
        <v>0</v>
      </c>
      <c r="W184" s="38"/>
      <c r="X184" s="38">
        <f t="shared" ref="X184" si="2178">TRUNC($M184 * W184,2)</f>
        <v>0</v>
      </c>
      <c r="Y184" s="38"/>
      <c r="Z184" s="38">
        <f t="shared" ref="Z184" si="2179">TRUNC($M184 * Y184,2)</f>
        <v>0</v>
      </c>
      <c r="AA184" s="38"/>
      <c r="AB184" s="38">
        <f t="shared" ref="AB184" si="2180">TRUNC($M184 * AA184,2)</f>
        <v>0</v>
      </c>
      <c r="AC184" s="38"/>
      <c r="AD184" s="38">
        <f t="shared" ref="AD184" si="2181">TRUNC($M184 * AC184,2)</f>
        <v>0</v>
      </c>
      <c r="AE184" s="38"/>
      <c r="AF184" s="38">
        <f t="shared" ref="AF184" si="2182">TRUNC($M184 * AE184,2)</f>
        <v>0</v>
      </c>
      <c r="AG184" s="38"/>
      <c r="AH184" s="38">
        <f t="shared" ref="AH184" si="2183">TRUNC($M184 * AG184,2)</f>
        <v>0</v>
      </c>
      <c r="AI184" s="38"/>
      <c r="AJ184" s="38">
        <f t="shared" ref="AJ184" si="2184">TRUNC($M184 * AI184,2)</f>
        <v>0</v>
      </c>
      <c r="AK184" s="38"/>
      <c r="AL184" s="38">
        <f t="shared" ref="AL184" si="2185">TRUNC($M184 * AK184,2)</f>
        <v>0</v>
      </c>
      <c r="AM184" s="38"/>
      <c r="AN184" s="38">
        <f t="shared" ref="AN184" si="2186">TRUNC($M184 * AM184,2)</f>
        <v>0</v>
      </c>
      <c r="AO184" s="38"/>
      <c r="AP184" s="38">
        <f t="shared" ref="AP184" si="2187">TRUNC($M184 * AO184,2)</f>
        <v>0</v>
      </c>
      <c r="AQ184" s="38"/>
      <c r="AR184" s="38">
        <f t="shared" ref="AR184" si="2188">TRUNC($M184 * AQ184,2)</f>
        <v>0</v>
      </c>
      <c r="AS184" s="38"/>
      <c r="AT184" s="38">
        <f t="shared" ref="AT184" si="2189">TRUNC($M184 * AS184,2)</f>
        <v>0</v>
      </c>
      <c r="AU184" s="38"/>
      <c r="AV184" s="38">
        <f t="shared" ref="AV184" si="2190">TRUNC($M184 * AU184,2)</f>
        <v>0</v>
      </c>
      <c r="AW184" s="38"/>
      <c r="AX184" s="37">
        <f t="shared" ref="AX184" si="2191">TRUNC($M184 * AW184,2)</f>
        <v>0</v>
      </c>
      <c r="AY184" s="36">
        <f t="shared" si="2122"/>
        <v>0</v>
      </c>
      <c r="AZ184" s="38">
        <f t="shared" ref="AZ184" si="2192">TRUNC($M184 * AY184,2)</f>
        <v>0</v>
      </c>
      <c r="BA184" s="38">
        <f t="shared" si="2124"/>
        <v>1021.14</v>
      </c>
      <c r="BB184" s="37">
        <f t="shared" ref="BB184" si="2193">TRUNC($M184 * BA184,2)</f>
        <v>12600.86</v>
      </c>
    </row>
    <row r="185" spans="1:54" ht="24" customHeight="1" x14ac:dyDescent="0.25">
      <c r="A185" s="4" t="s">
        <v>1001</v>
      </c>
      <c r="B185" s="4" t="s">
        <v>12</v>
      </c>
      <c r="C185" s="4"/>
      <c r="D185" s="4" t="s">
        <v>420</v>
      </c>
      <c r="E185" s="5"/>
      <c r="F185" s="14"/>
      <c r="G185" s="6"/>
      <c r="H185" s="6"/>
      <c r="I185" s="7">
        <f>SUM(I186:I187)</f>
        <v>17487.739999999998</v>
      </c>
      <c r="J185" s="7"/>
      <c r="K185" s="7">
        <f>SUM(K186:K187)</f>
        <v>21041.34</v>
      </c>
      <c r="L185" s="22">
        <f>K185 / L13</f>
        <v>7.2556344827586199E-3</v>
      </c>
      <c r="M185" s="25"/>
      <c r="N185" s="26">
        <f>SUM(N186:N187)</f>
        <v>20538.97</v>
      </c>
      <c r="O185" s="25"/>
      <c r="P185" s="30">
        <f>SUM(P186:P187)</f>
        <v>0</v>
      </c>
      <c r="Q185" s="30"/>
      <c r="R185" s="30">
        <f>SUM(R186:R187)</f>
        <v>0</v>
      </c>
      <c r="S185" s="30"/>
      <c r="T185" s="26">
        <f>SUM(T186:T187)</f>
        <v>20538.97</v>
      </c>
      <c r="U185" s="25"/>
      <c r="V185" s="30">
        <f>SUM(V186:V187)</f>
        <v>0</v>
      </c>
      <c r="W185" s="30"/>
      <c r="X185" s="30">
        <f>SUM(X186:X187)</f>
        <v>0</v>
      </c>
      <c r="Y185" s="30"/>
      <c r="Z185" s="30">
        <f>SUM(Z186:Z187)</f>
        <v>0</v>
      </c>
      <c r="AA185" s="30"/>
      <c r="AB185" s="30">
        <f>SUM(AB186:AB187)</f>
        <v>0</v>
      </c>
      <c r="AC185" s="30"/>
      <c r="AD185" s="30">
        <f>SUM(AD186:AD187)</f>
        <v>0</v>
      </c>
      <c r="AE185" s="30"/>
      <c r="AF185" s="30">
        <f>SUM(AF186:AF187)</f>
        <v>0</v>
      </c>
      <c r="AG185" s="30"/>
      <c r="AH185" s="30">
        <f>SUM(AH186:AH187)</f>
        <v>0</v>
      </c>
      <c r="AI185" s="30"/>
      <c r="AJ185" s="30">
        <f>SUM(AJ186:AJ187)</f>
        <v>0</v>
      </c>
      <c r="AK185" s="30"/>
      <c r="AL185" s="30">
        <f>SUM(AL186:AL187)</f>
        <v>0</v>
      </c>
      <c r="AM185" s="30"/>
      <c r="AN185" s="30">
        <f>SUM(AN186:AN187)</f>
        <v>0</v>
      </c>
      <c r="AO185" s="30"/>
      <c r="AP185" s="30">
        <f>SUM(AP186:AP187)</f>
        <v>0</v>
      </c>
      <c r="AQ185" s="30"/>
      <c r="AR185" s="30">
        <f>SUM(AR186:AR187)</f>
        <v>0</v>
      </c>
      <c r="AS185" s="30"/>
      <c r="AT185" s="30">
        <f>SUM(AT186:AT187)</f>
        <v>0</v>
      </c>
      <c r="AU185" s="30"/>
      <c r="AV185" s="30">
        <f>SUM(AV186:AV187)</f>
        <v>0</v>
      </c>
      <c r="AW185" s="30"/>
      <c r="AX185" s="26">
        <f>SUM(AX186:AX187)</f>
        <v>0</v>
      </c>
      <c r="AY185" s="25"/>
      <c r="AZ185" s="30">
        <f>SUM(AZ186:AZ187)</f>
        <v>0</v>
      </c>
      <c r="BA185" s="30"/>
      <c r="BB185" s="26">
        <f>SUM(BB186:BB187)</f>
        <v>20538.97</v>
      </c>
    </row>
    <row r="186" spans="1:54" ht="26.1" customHeight="1" x14ac:dyDescent="0.25">
      <c r="A186" s="31" t="s">
        <v>1002</v>
      </c>
      <c r="B186" s="31" t="s">
        <v>421</v>
      </c>
      <c r="C186" s="31" t="s">
        <v>34</v>
      </c>
      <c r="D186" s="31" t="s">
        <v>422</v>
      </c>
      <c r="E186" s="32" t="s">
        <v>26</v>
      </c>
      <c r="F186" s="33">
        <v>528.80999999999995</v>
      </c>
      <c r="G186" s="34">
        <v>23.26</v>
      </c>
      <c r="H186" s="34">
        <f t="shared" si="2102"/>
        <v>21.41</v>
      </c>
      <c r="I186" s="34">
        <f t="shared" si="2103"/>
        <v>11321.82</v>
      </c>
      <c r="J186" s="34">
        <f>(TRUNC(H186 * L14,2) + H186)</f>
        <v>25.759999999999998</v>
      </c>
      <c r="K186" s="34">
        <f>TRUNC(F186 * J186,2)</f>
        <v>13622.14</v>
      </c>
      <c r="L186" s="35">
        <f>K186 / L13</f>
        <v>4.6972896551724132E-3</v>
      </c>
      <c r="M186" s="36">
        <v>26.69</v>
      </c>
      <c r="N186" s="37">
        <f t="shared" si="2104"/>
        <v>14113.93</v>
      </c>
      <c r="O186" s="36"/>
      <c r="P186" s="38">
        <f t="shared" si="2105"/>
        <v>0</v>
      </c>
      <c r="Q186" s="38"/>
      <c r="R186" s="38">
        <f t="shared" si="2105"/>
        <v>0</v>
      </c>
      <c r="S186" s="38">
        <f t="shared" si="2106"/>
        <v>528.80999999999995</v>
      </c>
      <c r="T186" s="37">
        <f t="shared" ref="T186:V186" si="2194">TRUNC($M186 * S186,2)</f>
        <v>14113.93</v>
      </c>
      <c r="U186" s="36"/>
      <c r="V186" s="38">
        <f t="shared" si="2194"/>
        <v>0</v>
      </c>
      <c r="W186" s="38"/>
      <c r="X186" s="38">
        <f t="shared" ref="X186" si="2195">TRUNC($M186 * W186,2)</f>
        <v>0</v>
      </c>
      <c r="Y186" s="38"/>
      <c r="Z186" s="38">
        <f t="shared" ref="Z186" si="2196">TRUNC($M186 * Y186,2)</f>
        <v>0</v>
      </c>
      <c r="AA186" s="38"/>
      <c r="AB186" s="38">
        <f t="shared" ref="AB186" si="2197">TRUNC($M186 * AA186,2)</f>
        <v>0</v>
      </c>
      <c r="AC186" s="38"/>
      <c r="AD186" s="38">
        <f t="shared" ref="AD186" si="2198">TRUNC($M186 * AC186,2)</f>
        <v>0</v>
      </c>
      <c r="AE186" s="38"/>
      <c r="AF186" s="38">
        <f t="shared" ref="AF186" si="2199">TRUNC($M186 * AE186,2)</f>
        <v>0</v>
      </c>
      <c r="AG186" s="38"/>
      <c r="AH186" s="38">
        <f t="shared" ref="AH186" si="2200">TRUNC($M186 * AG186,2)</f>
        <v>0</v>
      </c>
      <c r="AI186" s="38"/>
      <c r="AJ186" s="38">
        <f t="shared" ref="AJ186" si="2201">TRUNC($M186 * AI186,2)</f>
        <v>0</v>
      </c>
      <c r="AK186" s="38"/>
      <c r="AL186" s="38">
        <f t="shared" ref="AL186" si="2202">TRUNC($M186 * AK186,2)</f>
        <v>0</v>
      </c>
      <c r="AM186" s="38"/>
      <c r="AN186" s="38">
        <f t="shared" ref="AN186" si="2203">TRUNC($M186 * AM186,2)</f>
        <v>0</v>
      </c>
      <c r="AO186" s="38"/>
      <c r="AP186" s="38">
        <f t="shared" ref="AP186" si="2204">TRUNC($M186 * AO186,2)</f>
        <v>0</v>
      </c>
      <c r="AQ186" s="38"/>
      <c r="AR186" s="38">
        <f t="shared" ref="AR186" si="2205">TRUNC($M186 * AQ186,2)</f>
        <v>0</v>
      </c>
      <c r="AS186" s="38"/>
      <c r="AT186" s="38">
        <f t="shared" ref="AT186" si="2206">TRUNC($M186 * AS186,2)</f>
        <v>0</v>
      </c>
      <c r="AU186" s="38"/>
      <c r="AV186" s="38">
        <f t="shared" ref="AV186" si="2207">TRUNC($M186 * AU186,2)</f>
        <v>0</v>
      </c>
      <c r="AW186" s="38"/>
      <c r="AX186" s="37">
        <f t="shared" ref="AX186" si="2208">TRUNC($M186 * AW186,2)</f>
        <v>0</v>
      </c>
      <c r="AY186" s="36">
        <f t="shared" si="2122"/>
        <v>0</v>
      </c>
      <c r="AZ186" s="38">
        <f t="shared" ref="AZ186" si="2209">TRUNC($M186 * AY186,2)</f>
        <v>0</v>
      </c>
      <c r="BA186" s="38">
        <f t="shared" si="2124"/>
        <v>528.80999999999995</v>
      </c>
      <c r="BB186" s="37">
        <f t="shared" ref="BB186" si="2210">TRUNC($M186 * BA186,2)</f>
        <v>14113.93</v>
      </c>
    </row>
    <row r="187" spans="1:54" ht="26.1" customHeight="1" x14ac:dyDescent="0.25">
      <c r="A187" s="31" t="s">
        <v>1003</v>
      </c>
      <c r="B187" s="31" t="s">
        <v>423</v>
      </c>
      <c r="C187" s="31" t="s">
        <v>34</v>
      </c>
      <c r="D187" s="31" t="s">
        <v>424</v>
      </c>
      <c r="E187" s="32" t="s">
        <v>26</v>
      </c>
      <c r="F187" s="33">
        <v>528.80999999999995</v>
      </c>
      <c r="G187" s="34">
        <v>12.67</v>
      </c>
      <c r="H187" s="34">
        <f t="shared" si="2102"/>
        <v>11.66</v>
      </c>
      <c r="I187" s="34">
        <f t="shared" si="2103"/>
        <v>6165.92</v>
      </c>
      <c r="J187" s="34">
        <f>(TRUNC(H187 * L14,2) + H187)</f>
        <v>14.030000000000001</v>
      </c>
      <c r="K187" s="34">
        <f>TRUNC(F187 * J187,2)</f>
        <v>7419.2</v>
      </c>
      <c r="L187" s="35">
        <f>K187 / L13</f>
        <v>2.5583448275862063E-3</v>
      </c>
      <c r="M187" s="36">
        <v>12.15</v>
      </c>
      <c r="N187" s="37">
        <f t="shared" si="2104"/>
        <v>6425.04</v>
      </c>
      <c r="O187" s="36"/>
      <c r="P187" s="38">
        <f t="shared" si="2105"/>
        <v>0</v>
      </c>
      <c r="Q187" s="38"/>
      <c r="R187" s="38">
        <f t="shared" si="2105"/>
        <v>0</v>
      </c>
      <c r="S187" s="38">
        <f t="shared" si="2106"/>
        <v>528.80999999999995</v>
      </c>
      <c r="T187" s="37">
        <f t="shared" ref="T187:V187" si="2211">TRUNC($M187 * S187,2)</f>
        <v>6425.04</v>
      </c>
      <c r="U187" s="36"/>
      <c r="V187" s="38">
        <f t="shared" si="2211"/>
        <v>0</v>
      </c>
      <c r="W187" s="38"/>
      <c r="X187" s="38">
        <f t="shared" ref="X187" si="2212">TRUNC($M187 * W187,2)</f>
        <v>0</v>
      </c>
      <c r="Y187" s="38"/>
      <c r="Z187" s="38">
        <f t="shared" ref="Z187" si="2213">TRUNC($M187 * Y187,2)</f>
        <v>0</v>
      </c>
      <c r="AA187" s="38"/>
      <c r="AB187" s="38">
        <f t="shared" ref="AB187" si="2214">TRUNC($M187 * AA187,2)</f>
        <v>0</v>
      </c>
      <c r="AC187" s="38"/>
      <c r="AD187" s="38">
        <f t="shared" ref="AD187" si="2215">TRUNC($M187 * AC187,2)</f>
        <v>0</v>
      </c>
      <c r="AE187" s="38"/>
      <c r="AF187" s="38">
        <f t="shared" ref="AF187" si="2216">TRUNC($M187 * AE187,2)</f>
        <v>0</v>
      </c>
      <c r="AG187" s="38"/>
      <c r="AH187" s="38">
        <f t="shared" ref="AH187" si="2217">TRUNC($M187 * AG187,2)</f>
        <v>0</v>
      </c>
      <c r="AI187" s="38"/>
      <c r="AJ187" s="38">
        <f t="shared" ref="AJ187" si="2218">TRUNC($M187 * AI187,2)</f>
        <v>0</v>
      </c>
      <c r="AK187" s="38"/>
      <c r="AL187" s="38">
        <f t="shared" ref="AL187" si="2219">TRUNC($M187 * AK187,2)</f>
        <v>0</v>
      </c>
      <c r="AM187" s="38"/>
      <c r="AN187" s="38">
        <f t="shared" ref="AN187" si="2220">TRUNC($M187 * AM187,2)</f>
        <v>0</v>
      </c>
      <c r="AO187" s="38"/>
      <c r="AP187" s="38">
        <f t="shared" ref="AP187" si="2221">TRUNC($M187 * AO187,2)</f>
        <v>0</v>
      </c>
      <c r="AQ187" s="38"/>
      <c r="AR187" s="38">
        <f t="shared" ref="AR187" si="2222">TRUNC($M187 * AQ187,2)</f>
        <v>0</v>
      </c>
      <c r="AS187" s="38"/>
      <c r="AT187" s="38">
        <f t="shared" ref="AT187" si="2223">TRUNC($M187 * AS187,2)</f>
        <v>0</v>
      </c>
      <c r="AU187" s="38"/>
      <c r="AV187" s="38">
        <f t="shared" ref="AV187" si="2224">TRUNC($M187 * AU187,2)</f>
        <v>0</v>
      </c>
      <c r="AW187" s="38"/>
      <c r="AX187" s="37">
        <f t="shared" ref="AX187" si="2225">TRUNC($M187 * AW187,2)</f>
        <v>0</v>
      </c>
      <c r="AY187" s="36">
        <f t="shared" si="2122"/>
        <v>0</v>
      </c>
      <c r="AZ187" s="38">
        <f t="shared" ref="AZ187" si="2226">TRUNC($M187 * AY187,2)</f>
        <v>0</v>
      </c>
      <c r="BA187" s="38">
        <f t="shared" si="2124"/>
        <v>528.80999999999995</v>
      </c>
      <c r="BB187" s="37">
        <f t="shared" ref="BB187" si="2227">TRUNC($M187 * BA187,2)</f>
        <v>6425.04</v>
      </c>
    </row>
    <row r="188" spans="1:54" ht="24" customHeight="1" x14ac:dyDescent="0.25">
      <c r="A188" s="4" t="s">
        <v>1004</v>
      </c>
      <c r="B188" s="4" t="s">
        <v>12</v>
      </c>
      <c r="C188" s="4"/>
      <c r="D188" s="4" t="s">
        <v>284</v>
      </c>
      <c r="E188" s="5"/>
      <c r="F188" s="14"/>
      <c r="G188" s="6"/>
      <c r="H188" s="6"/>
      <c r="I188" s="7">
        <f>SUM(I189:I190)</f>
        <v>2630.46</v>
      </c>
      <c r="J188" s="7"/>
      <c r="K188" s="7">
        <f>SUM(K189:K190)</f>
        <v>3164.69</v>
      </c>
      <c r="L188" s="22">
        <f>K188 / L13</f>
        <v>1.0912724137931032E-3</v>
      </c>
      <c r="M188" s="25"/>
      <c r="N188" s="26">
        <f>SUM(N189:N190)</f>
        <v>2755.0699999999997</v>
      </c>
      <c r="O188" s="25"/>
      <c r="P188" s="30">
        <f>SUM(P189:P190)</f>
        <v>0</v>
      </c>
      <c r="Q188" s="30"/>
      <c r="R188" s="30">
        <f>SUM(R189:R190)</f>
        <v>0</v>
      </c>
      <c r="S188" s="30"/>
      <c r="T188" s="26">
        <f>SUM(T189:T190)</f>
        <v>2755.0699999999997</v>
      </c>
      <c r="U188" s="25"/>
      <c r="V188" s="30">
        <f>SUM(V189:V190)</f>
        <v>0</v>
      </c>
      <c r="W188" s="30"/>
      <c r="X188" s="30">
        <f>SUM(X189:X190)</f>
        <v>0</v>
      </c>
      <c r="Y188" s="30"/>
      <c r="Z188" s="30">
        <f>SUM(Z189:Z190)</f>
        <v>0</v>
      </c>
      <c r="AA188" s="30"/>
      <c r="AB188" s="30">
        <f>SUM(AB189:AB190)</f>
        <v>0</v>
      </c>
      <c r="AC188" s="30"/>
      <c r="AD188" s="30">
        <f>SUM(AD189:AD190)</f>
        <v>0</v>
      </c>
      <c r="AE188" s="30"/>
      <c r="AF188" s="30">
        <f>SUM(AF189:AF190)</f>
        <v>0</v>
      </c>
      <c r="AG188" s="30"/>
      <c r="AH188" s="30">
        <f>SUM(AH189:AH190)</f>
        <v>0</v>
      </c>
      <c r="AI188" s="30"/>
      <c r="AJ188" s="30">
        <f>SUM(AJ189:AJ190)</f>
        <v>0</v>
      </c>
      <c r="AK188" s="30"/>
      <c r="AL188" s="30">
        <f>SUM(AL189:AL190)</f>
        <v>0</v>
      </c>
      <c r="AM188" s="30"/>
      <c r="AN188" s="30">
        <f>SUM(AN189:AN190)</f>
        <v>0</v>
      </c>
      <c r="AO188" s="30"/>
      <c r="AP188" s="30">
        <f>SUM(AP189:AP190)</f>
        <v>0</v>
      </c>
      <c r="AQ188" s="30"/>
      <c r="AR188" s="30">
        <f>SUM(AR189:AR190)</f>
        <v>0</v>
      </c>
      <c r="AS188" s="30"/>
      <c r="AT188" s="30">
        <f>SUM(AT189:AT190)</f>
        <v>0</v>
      </c>
      <c r="AU188" s="30"/>
      <c r="AV188" s="30">
        <f>SUM(AV189:AV190)</f>
        <v>0</v>
      </c>
      <c r="AW188" s="30"/>
      <c r="AX188" s="26">
        <f>SUM(AX189:AX190)</f>
        <v>0</v>
      </c>
      <c r="AY188" s="25"/>
      <c r="AZ188" s="30">
        <f>SUM(AZ189:AZ190)</f>
        <v>0</v>
      </c>
      <c r="BA188" s="30"/>
      <c r="BB188" s="26">
        <f>SUM(BB189:BB190)</f>
        <v>2755.0699999999997</v>
      </c>
    </row>
    <row r="189" spans="1:54" ht="26.1" customHeight="1" x14ac:dyDescent="0.25">
      <c r="A189" s="31" t="s">
        <v>1005</v>
      </c>
      <c r="B189" s="31" t="s">
        <v>425</v>
      </c>
      <c r="C189" s="31" t="s">
        <v>34</v>
      </c>
      <c r="D189" s="31" t="s">
        <v>426</v>
      </c>
      <c r="E189" s="32" t="s">
        <v>26</v>
      </c>
      <c r="F189" s="33">
        <v>61.69</v>
      </c>
      <c r="G189" s="34">
        <v>27.54</v>
      </c>
      <c r="H189" s="34">
        <f t="shared" si="2102"/>
        <v>25.35</v>
      </c>
      <c r="I189" s="34">
        <f t="shared" si="2103"/>
        <v>1563.84</v>
      </c>
      <c r="J189" s="34">
        <f>(TRUNC(H189 * L14,2) + H189)</f>
        <v>30.5</v>
      </c>
      <c r="K189" s="34">
        <f>TRUNC(F189 * J189,2)</f>
        <v>1881.54</v>
      </c>
      <c r="L189" s="35">
        <f>K189 / L13</f>
        <v>6.4880689655172406E-4</v>
      </c>
      <c r="M189" s="36">
        <v>25.03</v>
      </c>
      <c r="N189" s="37">
        <f t="shared" si="2104"/>
        <v>1544.1</v>
      </c>
      <c r="O189" s="36"/>
      <c r="P189" s="38">
        <f t="shared" si="2105"/>
        <v>0</v>
      </c>
      <c r="Q189" s="38"/>
      <c r="R189" s="38">
        <f t="shared" si="2105"/>
        <v>0</v>
      </c>
      <c r="S189" s="38">
        <f t="shared" si="2106"/>
        <v>61.69</v>
      </c>
      <c r="T189" s="37">
        <f t="shared" ref="T189:V189" si="2228">TRUNC($M189 * S189,2)</f>
        <v>1544.1</v>
      </c>
      <c r="U189" s="36"/>
      <c r="V189" s="38">
        <f t="shared" si="2228"/>
        <v>0</v>
      </c>
      <c r="W189" s="38"/>
      <c r="X189" s="38">
        <f t="shared" ref="X189" si="2229">TRUNC($M189 * W189,2)</f>
        <v>0</v>
      </c>
      <c r="Y189" s="38"/>
      <c r="Z189" s="38">
        <f t="shared" ref="Z189" si="2230">TRUNC($M189 * Y189,2)</f>
        <v>0</v>
      </c>
      <c r="AA189" s="38"/>
      <c r="AB189" s="38">
        <f t="shared" ref="AB189" si="2231">TRUNC($M189 * AA189,2)</f>
        <v>0</v>
      </c>
      <c r="AC189" s="38"/>
      <c r="AD189" s="38">
        <f t="shared" ref="AD189" si="2232">TRUNC($M189 * AC189,2)</f>
        <v>0</v>
      </c>
      <c r="AE189" s="38"/>
      <c r="AF189" s="38">
        <f t="shared" ref="AF189" si="2233">TRUNC($M189 * AE189,2)</f>
        <v>0</v>
      </c>
      <c r="AG189" s="38"/>
      <c r="AH189" s="38">
        <f t="shared" ref="AH189" si="2234">TRUNC($M189 * AG189,2)</f>
        <v>0</v>
      </c>
      <c r="AI189" s="38"/>
      <c r="AJ189" s="38">
        <f t="shared" ref="AJ189" si="2235">TRUNC($M189 * AI189,2)</f>
        <v>0</v>
      </c>
      <c r="AK189" s="38"/>
      <c r="AL189" s="38">
        <f t="shared" ref="AL189" si="2236">TRUNC($M189 * AK189,2)</f>
        <v>0</v>
      </c>
      <c r="AM189" s="38"/>
      <c r="AN189" s="38">
        <f t="shared" ref="AN189" si="2237">TRUNC($M189 * AM189,2)</f>
        <v>0</v>
      </c>
      <c r="AO189" s="38"/>
      <c r="AP189" s="38">
        <f t="shared" ref="AP189" si="2238">TRUNC($M189 * AO189,2)</f>
        <v>0</v>
      </c>
      <c r="AQ189" s="38"/>
      <c r="AR189" s="38">
        <f t="shared" ref="AR189" si="2239">TRUNC($M189 * AQ189,2)</f>
        <v>0</v>
      </c>
      <c r="AS189" s="38"/>
      <c r="AT189" s="38">
        <f t="shared" ref="AT189" si="2240">TRUNC($M189 * AS189,2)</f>
        <v>0</v>
      </c>
      <c r="AU189" s="38"/>
      <c r="AV189" s="38">
        <f t="shared" ref="AV189" si="2241">TRUNC($M189 * AU189,2)</f>
        <v>0</v>
      </c>
      <c r="AW189" s="38"/>
      <c r="AX189" s="37">
        <f t="shared" ref="AX189" si="2242">TRUNC($M189 * AW189,2)</f>
        <v>0</v>
      </c>
      <c r="AY189" s="36">
        <f t="shared" si="2122"/>
        <v>0</v>
      </c>
      <c r="AZ189" s="38">
        <f t="shared" ref="AZ189" si="2243">TRUNC($M189 * AY189,2)</f>
        <v>0</v>
      </c>
      <c r="BA189" s="38">
        <f t="shared" si="2124"/>
        <v>61.69</v>
      </c>
      <c r="BB189" s="37">
        <f t="shared" ref="BB189" si="2244">TRUNC($M189 * BA189,2)</f>
        <v>1544.1</v>
      </c>
    </row>
    <row r="190" spans="1:54" ht="39" customHeight="1" x14ac:dyDescent="0.25">
      <c r="A190" s="31" t="s">
        <v>1006</v>
      </c>
      <c r="B190" s="31" t="s">
        <v>427</v>
      </c>
      <c r="C190" s="31" t="s">
        <v>34</v>
      </c>
      <c r="D190" s="31" t="s">
        <v>428</v>
      </c>
      <c r="E190" s="32" t="s">
        <v>26</v>
      </c>
      <c r="F190" s="33">
        <v>61.69</v>
      </c>
      <c r="G190" s="34">
        <v>18.78</v>
      </c>
      <c r="H190" s="34">
        <f t="shared" si="2102"/>
        <v>17.29</v>
      </c>
      <c r="I190" s="34">
        <f t="shared" si="2103"/>
        <v>1066.6199999999999</v>
      </c>
      <c r="J190" s="34">
        <f>(TRUNC(H190 * L14,2) + H190)</f>
        <v>20.799999999999997</v>
      </c>
      <c r="K190" s="34">
        <f>TRUNC(F190 * J190,2)</f>
        <v>1283.1500000000001</v>
      </c>
      <c r="L190" s="35">
        <f>K190 / L13</f>
        <v>4.4246551724137924E-4</v>
      </c>
      <c r="M190" s="36">
        <v>19.63</v>
      </c>
      <c r="N190" s="37">
        <f t="shared" si="2104"/>
        <v>1210.97</v>
      </c>
      <c r="O190" s="36"/>
      <c r="P190" s="38">
        <f t="shared" si="2105"/>
        <v>0</v>
      </c>
      <c r="Q190" s="38"/>
      <c r="R190" s="38">
        <f t="shared" si="2105"/>
        <v>0</v>
      </c>
      <c r="S190" s="38">
        <f t="shared" si="2106"/>
        <v>61.69</v>
      </c>
      <c r="T190" s="37">
        <f t="shared" ref="T190:V190" si="2245">TRUNC($M190 * S190,2)</f>
        <v>1210.97</v>
      </c>
      <c r="U190" s="36"/>
      <c r="V190" s="38">
        <f t="shared" si="2245"/>
        <v>0</v>
      </c>
      <c r="W190" s="38"/>
      <c r="X190" s="38">
        <f t="shared" ref="X190" si="2246">TRUNC($M190 * W190,2)</f>
        <v>0</v>
      </c>
      <c r="Y190" s="38"/>
      <c r="Z190" s="38">
        <f t="shared" ref="Z190" si="2247">TRUNC($M190 * Y190,2)</f>
        <v>0</v>
      </c>
      <c r="AA190" s="38"/>
      <c r="AB190" s="38">
        <f t="shared" ref="AB190" si="2248">TRUNC($M190 * AA190,2)</f>
        <v>0</v>
      </c>
      <c r="AC190" s="38"/>
      <c r="AD190" s="38">
        <f t="shared" ref="AD190" si="2249">TRUNC($M190 * AC190,2)</f>
        <v>0</v>
      </c>
      <c r="AE190" s="38"/>
      <c r="AF190" s="38">
        <f t="shared" ref="AF190" si="2250">TRUNC($M190 * AE190,2)</f>
        <v>0</v>
      </c>
      <c r="AG190" s="38"/>
      <c r="AH190" s="38">
        <f t="shared" ref="AH190" si="2251">TRUNC($M190 * AG190,2)</f>
        <v>0</v>
      </c>
      <c r="AI190" s="38"/>
      <c r="AJ190" s="38">
        <f t="shared" ref="AJ190" si="2252">TRUNC($M190 * AI190,2)</f>
        <v>0</v>
      </c>
      <c r="AK190" s="38"/>
      <c r="AL190" s="38">
        <f t="shared" ref="AL190" si="2253">TRUNC($M190 * AK190,2)</f>
        <v>0</v>
      </c>
      <c r="AM190" s="38"/>
      <c r="AN190" s="38">
        <f t="shared" ref="AN190" si="2254">TRUNC($M190 * AM190,2)</f>
        <v>0</v>
      </c>
      <c r="AO190" s="38"/>
      <c r="AP190" s="38">
        <f t="shared" ref="AP190" si="2255">TRUNC($M190 * AO190,2)</f>
        <v>0</v>
      </c>
      <c r="AQ190" s="38"/>
      <c r="AR190" s="38">
        <f t="shared" ref="AR190" si="2256">TRUNC($M190 * AQ190,2)</f>
        <v>0</v>
      </c>
      <c r="AS190" s="38"/>
      <c r="AT190" s="38">
        <f t="shared" ref="AT190" si="2257">TRUNC($M190 * AS190,2)</f>
        <v>0</v>
      </c>
      <c r="AU190" s="38"/>
      <c r="AV190" s="38">
        <f t="shared" ref="AV190" si="2258">TRUNC($M190 * AU190,2)</f>
        <v>0</v>
      </c>
      <c r="AW190" s="38"/>
      <c r="AX190" s="37">
        <f t="shared" ref="AX190" si="2259">TRUNC($M190 * AW190,2)</f>
        <v>0</v>
      </c>
      <c r="AY190" s="36">
        <f t="shared" si="2122"/>
        <v>0</v>
      </c>
      <c r="AZ190" s="38">
        <f t="shared" ref="AZ190" si="2260">TRUNC($M190 * AY190,2)</f>
        <v>0</v>
      </c>
      <c r="BA190" s="38">
        <f t="shared" si="2124"/>
        <v>61.69</v>
      </c>
      <c r="BB190" s="37">
        <f t="shared" ref="BB190" si="2261">TRUNC($M190 * BA190,2)</f>
        <v>1210.97</v>
      </c>
    </row>
    <row r="191" spans="1:54" ht="24" customHeight="1" x14ac:dyDescent="0.25">
      <c r="A191" s="4">
        <v>13</v>
      </c>
      <c r="B191" s="4" t="s">
        <v>12</v>
      </c>
      <c r="C191" s="4"/>
      <c r="D191" s="4" t="s">
        <v>429</v>
      </c>
      <c r="E191" s="5"/>
      <c r="F191" s="14"/>
      <c r="G191" s="6"/>
      <c r="H191" s="6"/>
      <c r="I191" s="7">
        <f>I192</f>
        <v>12103.34</v>
      </c>
      <c r="J191" s="7"/>
      <c r="K191" s="7">
        <f>K192</f>
        <v>14565.07</v>
      </c>
      <c r="L191" s="22">
        <f>K191 / L13</f>
        <v>5.0224379310344815E-3</v>
      </c>
      <c r="M191" s="25"/>
      <c r="N191" s="26">
        <f>N192</f>
        <v>9658.24</v>
      </c>
      <c r="O191" s="25"/>
      <c r="P191" s="30">
        <f>P192</f>
        <v>0</v>
      </c>
      <c r="Q191" s="30"/>
      <c r="R191" s="30">
        <f>R192</f>
        <v>0</v>
      </c>
      <c r="S191" s="30"/>
      <c r="T191" s="26">
        <f>T192</f>
        <v>9658.24</v>
      </c>
      <c r="U191" s="25"/>
      <c r="V191" s="30">
        <f>V192</f>
        <v>0</v>
      </c>
      <c r="W191" s="30"/>
      <c r="X191" s="30">
        <f>X192</f>
        <v>0</v>
      </c>
      <c r="Y191" s="30"/>
      <c r="Z191" s="30">
        <f>Z192</f>
        <v>0</v>
      </c>
      <c r="AA191" s="30"/>
      <c r="AB191" s="30">
        <f>AB192</f>
        <v>0</v>
      </c>
      <c r="AC191" s="30"/>
      <c r="AD191" s="30">
        <f>AD192</f>
        <v>0</v>
      </c>
      <c r="AE191" s="30"/>
      <c r="AF191" s="30">
        <f>AF192</f>
        <v>0</v>
      </c>
      <c r="AG191" s="30"/>
      <c r="AH191" s="30">
        <f>AH192</f>
        <v>0</v>
      </c>
      <c r="AI191" s="30"/>
      <c r="AJ191" s="30">
        <f>AJ192</f>
        <v>0</v>
      </c>
      <c r="AK191" s="30"/>
      <c r="AL191" s="30">
        <f>AL192</f>
        <v>0</v>
      </c>
      <c r="AM191" s="30"/>
      <c r="AN191" s="30">
        <f>AN192</f>
        <v>0</v>
      </c>
      <c r="AO191" s="30"/>
      <c r="AP191" s="30">
        <f>AP192</f>
        <v>0</v>
      </c>
      <c r="AQ191" s="30"/>
      <c r="AR191" s="30">
        <f>AR192</f>
        <v>0</v>
      </c>
      <c r="AS191" s="30"/>
      <c r="AT191" s="30">
        <f>AT192</f>
        <v>0</v>
      </c>
      <c r="AU191" s="30"/>
      <c r="AV191" s="30">
        <f>AV192</f>
        <v>0</v>
      </c>
      <c r="AW191" s="30"/>
      <c r="AX191" s="26">
        <f>AX192</f>
        <v>0</v>
      </c>
      <c r="AY191" s="25"/>
      <c r="AZ191" s="30">
        <f>AZ192</f>
        <v>0</v>
      </c>
      <c r="BA191" s="30"/>
      <c r="BB191" s="26">
        <f>BB192</f>
        <v>9658.24</v>
      </c>
    </row>
    <row r="192" spans="1:54" ht="24" customHeight="1" x14ac:dyDescent="0.25">
      <c r="A192" s="31" t="s">
        <v>1007</v>
      </c>
      <c r="B192" s="31" t="s">
        <v>430</v>
      </c>
      <c r="C192" s="31" t="s">
        <v>24</v>
      </c>
      <c r="D192" s="31" t="s">
        <v>431</v>
      </c>
      <c r="E192" s="32" t="s">
        <v>26</v>
      </c>
      <c r="F192" s="33">
        <v>19.8</v>
      </c>
      <c r="G192" s="34">
        <v>663.91</v>
      </c>
      <c r="H192" s="34">
        <f t="shared" si="2102"/>
        <v>611.28</v>
      </c>
      <c r="I192" s="34">
        <f t="shared" si="2103"/>
        <v>12103.34</v>
      </c>
      <c r="J192" s="34">
        <f>(TRUNC(H192 * L14,2) + H192)</f>
        <v>735.61</v>
      </c>
      <c r="K192" s="34">
        <f>TRUNC(F192 * J192,2)</f>
        <v>14565.07</v>
      </c>
      <c r="L192" s="35">
        <f>K192 / L13</f>
        <v>5.0224379310344815E-3</v>
      </c>
      <c r="M192" s="36">
        <v>487.79</v>
      </c>
      <c r="N192" s="37">
        <f t="shared" si="2104"/>
        <v>9658.24</v>
      </c>
      <c r="O192" s="36"/>
      <c r="P192" s="38">
        <f t="shared" si="2105"/>
        <v>0</v>
      </c>
      <c r="Q192" s="38"/>
      <c r="R192" s="38">
        <f t="shared" si="2105"/>
        <v>0</v>
      </c>
      <c r="S192" s="38">
        <f t="shared" si="2106"/>
        <v>19.8</v>
      </c>
      <c r="T192" s="37">
        <f t="shared" ref="T192:V192" si="2262">TRUNC($M192 * S192,2)</f>
        <v>9658.24</v>
      </c>
      <c r="U192" s="36"/>
      <c r="V192" s="38">
        <f t="shared" si="2262"/>
        <v>0</v>
      </c>
      <c r="W192" s="38"/>
      <c r="X192" s="38">
        <f t="shared" ref="X192" si="2263">TRUNC($M192 * W192,2)</f>
        <v>0</v>
      </c>
      <c r="Y192" s="38"/>
      <c r="Z192" s="38">
        <f t="shared" ref="Z192" si="2264">TRUNC($M192 * Y192,2)</f>
        <v>0</v>
      </c>
      <c r="AA192" s="38"/>
      <c r="AB192" s="38">
        <f t="shared" ref="AB192" si="2265">TRUNC($M192 * AA192,2)</f>
        <v>0</v>
      </c>
      <c r="AC192" s="38"/>
      <c r="AD192" s="38">
        <f t="shared" ref="AD192" si="2266">TRUNC($M192 * AC192,2)</f>
        <v>0</v>
      </c>
      <c r="AE192" s="38"/>
      <c r="AF192" s="38">
        <f t="shared" ref="AF192" si="2267">TRUNC($M192 * AE192,2)</f>
        <v>0</v>
      </c>
      <c r="AG192" s="38"/>
      <c r="AH192" s="38">
        <f t="shared" ref="AH192" si="2268">TRUNC($M192 * AG192,2)</f>
        <v>0</v>
      </c>
      <c r="AI192" s="38"/>
      <c r="AJ192" s="38">
        <f t="shared" ref="AJ192" si="2269">TRUNC($M192 * AI192,2)</f>
        <v>0</v>
      </c>
      <c r="AK192" s="38"/>
      <c r="AL192" s="38">
        <f t="shared" ref="AL192" si="2270">TRUNC($M192 * AK192,2)</f>
        <v>0</v>
      </c>
      <c r="AM192" s="38"/>
      <c r="AN192" s="38">
        <f t="shared" ref="AN192" si="2271">TRUNC($M192 * AM192,2)</f>
        <v>0</v>
      </c>
      <c r="AO192" s="38"/>
      <c r="AP192" s="38">
        <f t="shared" ref="AP192" si="2272">TRUNC($M192 * AO192,2)</f>
        <v>0</v>
      </c>
      <c r="AQ192" s="38"/>
      <c r="AR192" s="38">
        <f t="shared" ref="AR192" si="2273">TRUNC($M192 * AQ192,2)</f>
        <v>0</v>
      </c>
      <c r="AS192" s="38"/>
      <c r="AT192" s="38">
        <f t="shared" ref="AT192" si="2274">TRUNC($M192 * AS192,2)</f>
        <v>0</v>
      </c>
      <c r="AU192" s="38"/>
      <c r="AV192" s="38">
        <f t="shared" ref="AV192" si="2275">TRUNC($M192 * AU192,2)</f>
        <v>0</v>
      </c>
      <c r="AW192" s="38"/>
      <c r="AX192" s="37">
        <f t="shared" ref="AX192" si="2276">TRUNC($M192 * AW192,2)</f>
        <v>0</v>
      </c>
      <c r="AY192" s="36">
        <f t="shared" si="2122"/>
        <v>0</v>
      </c>
      <c r="AZ192" s="38">
        <f t="shared" ref="AZ192" si="2277">TRUNC($M192 * AY192,2)</f>
        <v>0</v>
      </c>
      <c r="BA192" s="38">
        <f t="shared" si="2124"/>
        <v>19.8</v>
      </c>
      <c r="BB192" s="37">
        <f t="shared" ref="BB192" si="2278">TRUNC($M192 * BA192,2)</f>
        <v>9658.24</v>
      </c>
    </row>
    <row r="193" spans="1:54" ht="24" customHeight="1" x14ac:dyDescent="0.25">
      <c r="A193" s="4">
        <v>14</v>
      </c>
      <c r="B193" s="4" t="s">
        <v>12</v>
      </c>
      <c r="C193" s="4"/>
      <c r="D193" s="4" t="s">
        <v>432</v>
      </c>
      <c r="E193" s="5"/>
      <c r="F193" s="14"/>
      <c r="G193" s="6"/>
      <c r="H193" s="6"/>
      <c r="I193" s="7">
        <f>SUM(I194,I196,I204)</f>
        <v>51494.320000000014</v>
      </c>
      <c r="J193" s="7"/>
      <c r="K193" s="7">
        <f>SUM(K194,K196,K204)</f>
        <v>61967.450000000004</v>
      </c>
      <c r="L193" s="22">
        <f>K193 / L13</f>
        <v>2.136808620689655E-2</v>
      </c>
      <c r="M193" s="25"/>
      <c r="N193" s="26">
        <f>SUM(N194,N196,N204)</f>
        <v>41158.839999999997</v>
      </c>
      <c r="O193" s="25"/>
      <c r="P193" s="30">
        <f>SUM(P194,P196,P204)</f>
        <v>0</v>
      </c>
      <c r="Q193" s="30"/>
      <c r="R193" s="30">
        <f>SUM(R194,R196,R204)</f>
        <v>0</v>
      </c>
      <c r="S193" s="30"/>
      <c r="T193" s="26">
        <f>SUM(T194,T196,T204)</f>
        <v>41158.839999999997</v>
      </c>
      <c r="U193" s="25"/>
      <c r="V193" s="30">
        <f>SUM(V194,V196,V204)</f>
        <v>0</v>
      </c>
      <c r="W193" s="30"/>
      <c r="X193" s="30">
        <f>SUM(X194,X196,X204)</f>
        <v>0</v>
      </c>
      <c r="Y193" s="30"/>
      <c r="Z193" s="30">
        <f>SUM(Z194,Z196,Z204)</f>
        <v>0</v>
      </c>
      <c r="AA193" s="30"/>
      <c r="AB193" s="30">
        <f>SUM(AB194,AB196,AB204)</f>
        <v>0</v>
      </c>
      <c r="AC193" s="30"/>
      <c r="AD193" s="30">
        <f>SUM(AD194,AD196,AD204)</f>
        <v>0</v>
      </c>
      <c r="AE193" s="30"/>
      <c r="AF193" s="30">
        <f>SUM(AF194,AF196,AF204)</f>
        <v>0</v>
      </c>
      <c r="AG193" s="30"/>
      <c r="AH193" s="30">
        <f>SUM(AH194,AH196,AH204)</f>
        <v>0</v>
      </c>
      <c r="AI193" s="30"/>
      <c r="AJ193" s="30">
        <f>SUM(AJ194,AJ196,AJ204)</f>
        <v>0</v>
      </c>
      <c r="AK193" s="30"/>
      <c r="AL193" s="30">
        <f>SUM(AL194,AL196,AL204)</f>
        <v>0</v>
      </c>
      <c r="AM193" s="30"/>
      <c r="AN193" s="30">
        <f>SUM(AN194,AN196,AN204)</f>
        <v>0</v>
      </c>
      <c r="AO193" s="30"/>
      <c r="AP193" s="30">
        <f>SUM(AP194,AP196,AP204)</f>
        <v>0</v>
      </c>
      <c r="AQ193" s="30"/>
      <c r="AR193" s="30">
        <f>SUM(AR194,AR196,AR204)</f>
        <v>0</v>
      </c>
      <c r="AS193" s="30"/>
      <c r="AT193" s="30">
        <f>SUM(AT194,AT196,AT204)</f>
        <v>0</v>
      </c>
      <c r="AU193" s="30"/>
      <c r="AV193" s="30">
        <f>SUM(AV194,AV196,AV204)</f>
        <v>0</v>
      </c>
      <c r="AW193" s="30"/>
      <c r="AX193" s="26">
        <f>SUM(AX194,AX196,AX204)</f>
        <v>0</v>
      </c>
      <c r="AY193" s="25"/>
      <c r="AZ193" s="30">
        <f>SUM(AZ194,AZ196,AZ204)</f>
        <v>0</v>
      </c>
      <c r="BA193" s="30"/>
      <c r="BB193" s="26">
        <f>SUM(BB194,BB196,BB204)</f>
        <v>41158.839999999997</v>
      </c>
    </row>
    <row r="194" spans="1:54" ht="24" customHeight="1" x14ac:dyDescent="0.25">
      <c r="A194" s="4" t="s">
        <v>1008</v>
      </c>
      <c r="B194" s="4" t="s">
        <v>12</v>
      </c>
      <c r="C194" s="4"/>
      <c r="D194" s="4" t="s">
        <v>433</v>
      </c>
      <c r="E194" s="5"/>
      <c r="F194" s="14"/>
      <c r="G194" s="6"/>
      <c r="H194" s="6"/>
      <c r="I194" s="7">
        <f>I195</f>
        <v>294.27</v>
      </c>
      <c r="J194" s="7"/>
      <c r="K194" s="7">
        <f>K195</f>
        <v>354.12</v>
      </c>
      <c r="L194" s="22">
        <f>K194 / L13</f>
        <v>1.221103448275862E-4</v>
      </c>
      <c r="M194" s="25"/>
      <c r="N194" s="26">
        <f>N195</f>
        <v>247.56</v>
      </c>
      <c r="O194" s="25"/>
      <c r="P194" s="30">
        <f>P195</f>
        <v>0</v>
      </c>
      <c r="Q194" s="30"/>
      <c r="R194" s="30">
        <f>R195</f>
        <v>0</v>
      </c>
      <c r="S194" s="30"/>
      <c r="T194" s="26">
        <f>T195</f>
        <v>247.56</v>
      </c>
      <c r="U194" s="25"/>
      <c r="V194" s="30">
        <f>V195</f>
        <v>0</v>
      </c>
      <c r="W194" s="30"/>
      <c r="X194" s="30">
        <f>X195</f>
        <v>0</v>
      </c>
      <c r="Y194" s="30"/>
      <c r="Z194" s="30">
        <f>Z195</f>
        <v>0</v>
      </c>
      <c r="AA194" s="30"/>
      <c r="AB194" s="30">
        <f>AB195</f>
        <v>0</v>
      </c>
      <c r="AC194" s="30"/>
      <c r="AD194" s="30">
        <f>AD195</f>
        <v>0</v>
      </c>
      <c r="AE194" s="30"/>
      <c r="AF194" s="30">
        <f>AF195</f>
        <v>0</v>
      </c>
      <c r="AG194" s="30"/>
      <c r="AH194" s="30">
        <f>AH195</f>
        <v>0</v>
      </c>
      <c r="AI194" s="30"/>
      <c r="AJ194" s="30">
        <f>AJ195</f>
        <v>0</v>
      </c>
      <c r="AK194" s="30"/>
      <c r="AL194" s="30">
        <f>AL195</f>
        <v>0</v>
      </c>
      <c r="AM194" s="30"/>
      <c r="AN194" s="30">
        <f>AN195</f>
        <v>0</v>
      </c>
      <c r="AO194" s="30"/>
      <c r="AP194" s="30">
        <f>AP195</f>
        <v>0</v>
      </c>
      <c r="AQ194" s="30"/>
      <c r="AR194" s="30">
        <f>AR195</f>
        <v>0</v>
      </c>
      <c r="AS194" s="30"/>
      <c r="AT194" s="30">
        <f>AT195</f>
        <v>0</v>
      </c>
      <c r="AU194" s="30"/>
      <c r="AV194" s="30">
        <f>AV195</f>
        <v>0</v>
      </c>
      <c r="AW194" s="30"/>
      <c r="AX194" s="26">
        <f>AX195</f>
        <v>0</v>
      </c>
      <c r="AY194" s="25"/>
      <c r="AZ194" s="30">
        <f>AZ195</f>
        <v>0</v>
      </c>
      <c r="BA194" s="30"/>
      <c r="BB194" s="26">
        <f>BB195</f>
        <v>247.56</v>
      </c>
    </row>
    <row r="195" spans="1:54" ht="26.1" customHeight="1" x14ac:dyDescent="0.25">
      <c r="A195" s="31" t="s">
        <v>1009</v>
      </c>
      <c r="B195" s="31" t="s">
        <v>434</v>
      </c>
      <c r="C195" s="31" t="s">
        <v>34</v>
      </c>
      <c r="D195" s="31" t="s">
        <v>435</v>
      </c>
      <c r="E195" s="32" t="s">
        <v>36</v>
      </c>
      <c r="F195" s="33">
        <v>3</v>
      </c>
      <c r="G195" s="34">
        <v>106.54</v>
      </c>
      <c r="H195" s="34">
        <f t="shared" ref="H195:H219" si="2279">TRUNC(G195*$L$1,2)</f>
        <v>98.09</v>
      </c>
      <c r="I195" s="34">
        <f t="shared" ref="I195:I219" si="2280">TRUNC(F195 * H195,2)</f>
        <v>294.27</v>
      </c>
      <c r="J195" s="34">
        <f>(TRUNC(H195 * L14,2) + H195)</f>
        <v>118.04</v>
      </c>
      <c r="K195" s="34">
        <f>TRUNC(F195 * J195,2)</f>
        <v>354.12</v>
      </c>
      <c r="L195" s="35">
        <f>K195 / L13</f>
        <v>1.221103448275862E-4</v>
      </c>
      <c r="M195" s="36">
        <v>82.52</v>
      </c>
      <c r="N195" s="37">
        <f t="shared" ref="N195:N219" si="2281">TRUNC(F195 * M195,2)</f>
        <v>247.56</v>
      </c>
      <c r="O195" s="36"/>
      <c r="P195" s="38">
        <f t="shared" ref="P195:R219" si="2282">TRUNC($M195 * O195,2)</f>
        <v>0</v>
      </c>
      <c r="Q195" s="38"/>
      <c r="R195" s="38">
        <f t="shared" si="2282"/>
        <v>0</v>
      </c>
      <c r="S195" s="38">
        <f t="shared" ref="S195:S219" si="2283">F195+O195-Q195</f>
        <v>3</v>
      </c>
      <c r="T195" s="37">
        <f t="shared" ref="T195:V195" si="2284">TRUNC($M195 * S195,2)</f>
        <v>247.56</v>
      </c>
      <c r="U195" s="36"/>
      <c r="V195" s="38">
        <f t="shared" si="2284"/>
        <v>0</v>
      </c>
      <c r="W195" s="38"/>
      <c r="X195" s="38">
        <f t="shared" ref="X195" si="2285">TRUNC($M195 * W195,2)</f>
        <v>0</v>
      </c>
      <c r="Y195" s="38"/>
      <c r="Z195" s="38">
        <f t="shared" ref="Z195" si="2286">TRUNC($M195 * Y195,2)</f>
        <v>0</v>
      </c>
      <c r="AA195" s="38"/>
      <c r="AB195" s="38">
        <f t="shared" ref="AB195" si="2287">TRUNC($M195 * AA195,2)</f>
        <v>0</v>
      </c>
      <c r="AC195" s="38"/>
      <c r="AD195" s="38">
        <f t="shared" ref="AD195" si="2288">TRUNC($M195 * AC195,2)</f>
        <v>0</v>
      </c>
      <c r="AE195" s="38"/>
      <c r="AF195" s="38">
        <f t="shared" ref="AF195" si="2289">TRUNC($M195 * AE195,2)</f>
        <v>0</v>
      </c>
      <c r="AG195" s="38"/>
      <c r="AH195" s="38">
        <f t="shared" ref="AH195" si="2290">TRUNC($M195 * AG195,2)</f>
        <v>0</v>
      </c>
      <c r="AI195" s="38"/>
      <c r="AJ195" s="38">
        <f t="shared" ref="AJ195" si="2291">TRUNC($M195 * AI195,2)</f>
        <v>0</v>
      </c>
      <c r="AK195" s="38"/>
      <c r="AL195" s="38">
        <f t="shared" ref="AL195" si="2292">TRUNC($M195 * AK195,2)</f>
        <v>0</v>
      </c>
      <c r="AM195" s="38"/>
      <c r="AN195" s="38">
        <f t="shared" ref="AN195" si="2293">TRUNC($M195 * AM195,2)</f>
        <v>0</v>
      </c>
      <c r="AO195" s="38"/>
      <c r="AP195" s="38">
        <f t="shared" ref="AP195" si="2294">TRUNC($M195 * AO195,2)</f>
        <v>0</v>
      </c>
      <c r="AQ195" s="38"/>
      <c r="AR195" s="38">
        <f t="shared" ref="AR195" si="2295">TRUNC($M195 * AQ195,2)</f>
        <v>0</v>
      </c>
      <c r="AS195" s="38"/>
      <c r="AT195" s="38">
        <f t="shared" ref="AT195" si="2296">TRUNC($M195 * AS195,2)</f>
        <v>0</v>
      </c>
      <c r="AU195" s="38"/>
      <c r="AV195" s="38">
        <f t="shared" ref="AV195" si="2297">TRUNC($M195 * AU195,2)</f>
        <v>0</v>
      </c>
      <c r="AW195" s="38"/>
      <c r="AX195" s="37">
        <f t="shared" ref="AX195" si="2298">TRUNC($M195 * AW195,2)</f>
        <v>0</v>
      </c>
      <c r="AY195" s="36">
        <f t="shared" ref="AY195:AY219" si="2299">SUM(U195,W195,Y195,AA195,AC195,AE195,AG195,AI195,AK195,AM195,AO195,AQ195,AS195,AU195,AW195)</f>
        <v>0</v>
      </c>
      <c r="AZ195" s="38">
        <f t="shared" ref="AZ195" si="2300">TRUNC($M195 * AY195,2)</f>
        <v>0</v>
      </c>
      <c r="BA195" s="38">
        <f t="shared" ref="BA195:BA219" si="2301">S195-AY195</f>
        <v>3</v>
      </c>
      <c r="BB195" s="37">
        <f t="shared" ref="BB195" si="2302">TRUNC($M195 * BA195,2)</f>
        <v>247.56</v>
      </c>
    </row>
    <row r="196" spans="1:54" ht="24" customHeight="1" x14ac:dyDescent="0.25">
      <c r="A196" s="4" t="s">
        <v>1010</v>
      </c>
      <c r="B196" s="4" t="s">
        <v>12</v>
      </c>
      <c r="C196" s="4"/>
      <c r="D196" s="4" t="s">
        <v>436</v>
      </c>
      <c r="E196" s="5"/>
      <c r="F196" s="14"/>
      <c r="G196" s="6"/>
      <c r="H196" s="6"/>
      <c r="I196" s="7">
        <f>SUM(I197:I203)</f>
        <v>12668.210000000001</v>
      </c>
      <c r="J196" s="7"/>
      <c r="K196" s="7">
        <f>SUM(K197:K203)</f>
        <v>15244.82</v>
      </c>
      <c r="L196" s="22">
        <f>K196 / L13</f>
        <v>5.2568344827586197E-3</v>
      </c>
      <c r="M196" s="25"/>
      <c r="N196" s="26">
        <f>SUM(N197:N203)</f>
        <v>10977.139999999998</v>
      </c>
      <c r="O196" s="25"/>
      <c r="P196" s="30">
        <f>SUM(P197:P203)</f>
        <v>0</v>
      </c>
      <c r="Q196" s="30"/>
      <c r="R196" s="30">
        <f>SUM(R197:R203)</f>
        <v>0</v>
      </c>
      <c r="S196" s="30"/>
      <c r="T196" s="26">
        <f>SUM(T197:T203)</f>
        <v>10977.139999999998</v>
      </c>
      <c r="U196" s="25"/>
      <c r="V196" s="30">
        <f>SUM(V197:V203)</f>
        <v>0</v>
      </c>
      <c r="W196" s="30"/>
      <c r="X196" s="30">
        <f>SUM(X197:X203)</f>
        <v>0</v>
      </c>
      <c r="Y196" s="30"/>
      <c r="Z196" s="30">
        <f>SUM(Z197:Z203)</f>
        <v>0</v>
      </c>
      <c r="AA196" s="30"/>
      <c r="AB196" s="30">
        <f>SUM(AB197:AB203)</f>
        <v>0</v>
      </c>
      <c r="AC196" s="30"/>
      <c r="AD196" s="30">
        <f>SUM(AD197:AD203)</f>
        <v>0</v>
      </c>
      <c r="AE196" s="30"/>
      <c r="AF196" s="30">
        <f>SUM(AF197:AF203)</f>
        <v>0</v>
      </c>
      <c r="AG196" s="30"/>
      <c r="AH196" s="30">
        <f>SUM(AH197:AH203)</f>
        <v>0</v>
      </c>
      <c r="AI196" s="30"/>
      <c r="AJ196" s="30">
        <f>SUM(AJ197:AJ203)</f>
        <v>0</v>
      </c>
      <c r="AK196" s="30"/>
      <c r="AL196" s="30">
        <f>SUM(AL197:AL203)</f>
        <v>0</v>
      </c>
      <c r="AM196" s="30"/>
      <c r="AN196" s="30">
        <f>SUM(AN197:AN203)</f>
        <v>0</v>
      </c>
      <c r="AO196" s="30"/>
      <c r="AP196" s="30">
        <f>SUM(AP197:AP203)</f>
        <v>0</v>
      </c>
      <c r="AQ196" s="30"/>
      <c r="AR196" s="30">
        <f>SUM(AR197:AR203)</f>
        <v>0</v>
      </c>
      <c r="AS196" s="30"/>
      <c r="AT196" s="30">
        <f>SUM(AT197:AT203)</f>
        <v>0</v>
      </c>
      <c r="AU196" s="30"/>
      <c r="AV196" s="30">
        <f>SUM(AV197:AV203)</f>
        <v>0</v>
      </c>
      <c r="AW196" s="30"/>
      <c r="AX196" s="26">
        <f>SUM(AX197:AX203)</f>
        <v>0</v>
      </c>
      <c r="AY196" s="25"/>
      <c r="AZ196" s="30">
        <f>SUM(AZ197:AZ203)</f>
        <v>0</v>
      </c>
      <c r="BA196" s="30"/>
      <c r="BB196" s="26">
        <f>SUM(BB197:BB203)</f>
        <v>10977.139999999998</v>
      </c>
    </row>
    <row r="197" spans="1:54" ht="51.9" customHeight="1" x14ac:dyDescent="0.25">
      <c r="A197" s="31" t="s">
        <v>1011</v>
      </c>
      <c r="B197" s="31" t="s">
        <v>437</v>
      </c>
      <c r="C197" s="31" t="s">
        <v>34</v>
      </c>
      <c r="D197" s="31" t="s">
        <v>438</v>
      </c>
      <c r="E197" s="32" t="s">
        <v>36</v>
      </c>
      <c r="F197" s="33">
        <v>7</v>
      </c>
      <c r="G197" s="34">
        <v>519.25</v>
      </c>
      <c r="H197" s="34">
        <f t="shared" si="2279"/>
        <v>478.09</v>
      </c>
      <c r="I197" s="34">
        <f t="shared" si="2280"/>
        <v>3346.63</v>
      </c>
      <c r="J197" s="34">
        <f>(TRUNC(H197 * L14,2) + H197)</f>
        <v>575.32999999999993</v>
      </c>
      <c r="K197" s="34">
        <f t="shared" ref="K197:K203" si="2303">TRUNC(F197 * J197,2)</f>
        <v>4027.31</v>
      </c>
      <c r="L197" s="35">
        <f>K197 / L13</f>
        <v>1.3887275862068964E-3</v>
      </c>
      <c r="M197" s="36">
        <v>383.12</v>
      </c>
      <c r="N197" s="37">
        <f t="shared" si="2281"/>
        <v>2681.84</v>
      </c>
      <c r="O197" s="36"/>
      <c r="P197" s="38">
        <f t="shared" si="2282"/>
        <v>0</v>
      </c>
      <c r="Q197" s="38"/>
      <c r="R197" s="38">
        <f t="shared" si="2282"/>
        <v>0</v>
      </c>
      <c r="S197" s="38">
        <f t="shared" si="2283"/>
        <v>7</v>
      </c>
      <c r="T197" s="37">
        <f t="shared" ref="T197:V197" si="2304">TRUNC($M197 * S197,2)</f>
        <v>2681.84</v>
      </c>
      <c r="U197" s="36"/>
      <c r="V197" s="38">
        <f t="shared" si="2304"/>
        <v>0</v>
      </c>
      <c r="W197" s="38"/>
      <c r="X197" s="38">
        <f t="shared" ref="X197" si="2305">TRUNC($M197 * W197,2)</f>
        <v>0</v>
      </c>
      <c r="Y197" s="38"/>
      <c r="Z197" s="38">
        <f t="shared" ref="Z197" si="2306">TRUNC($M197 * Y197,2)</f>
        <v>0</v>
      </c>
      <c r="AA197" s="38"/>
      <c r="AB197" s="38">
        <f t="shared" ref="AB197" si="2307">TRUNC($M197 * AA197,2)</f>
        <v>0</v>
      </c>
      <c r="AC197" s="38"/>
      <c r="AD197" s="38">
        <f t="shared" ref="AD197" si="2308">TRUNC($M197 * AC197,2)</f>
        <v>0</v>
      </c>
      <c r="AE197" s="38"/>
      <c r="AF197" s="38">
        <f t="shared" ref="AF197" si="2309">TRUNC($M197 * AE197,2)</f>
        <v>0</v>
      </c>
      <c r="AG197" s="38"/>
      <c r="AH197" s="38">
        <f t="shared" ref="AH197" si="2310">TRUNC($M197 * AG197,2)</f>
        <v>0</v>
      </c>
      <c r="AI197" s="38"/>
      <c r="AJ197" s="38">
        <f t="shared" ref="AJ197" si="2311">TRUNC($M197 * AI197,2)</f>
        <v>0</v>
      </c>
      <c r="AK197" s="38"/>
      <c r="AL197" s="38">
        <f t="shared" ref="AL197" si="2312">TRUNC($M197 * AK197,2)</f>
        <v>0</v>
      </c>
      <c r="AM197" s="38"/>
      <c r="AN197" s="38">
        <f t="shared" ref="AN197" si="2313">TRUNC($M197 * AM197,2)</f>
        <v>0</v>
      </c>
      <c r="AO197" s="38"/>
      <c r="AP197" s="38">
        <f t="shared" ref="AP197" si="2314">TRUNC($M197 * AO197,2)</f>
        <v>0</v>
      </c>
      <c r="AQ197" s="38"/>
      <c r="AR197" s="38">
        <f t="shared" ref="AR197" si="2315">TRUNC($M197 * AQ197,2)</f>
        <v>0</v>
      </c>
      <c r="AS197" s="38"/>
      <c r="AT197" s="38">
        <f t="shared" ref="AT197" si="2316">TRUNC($M197 * AS197,2)</f>
        <v>0</v>
      </c>
      <c r="AU197" s="38"/>
      <c r="AV197" s="38">
        <f t="shared" ref="AV197" si="2317">TRUNC($M197 * AU197,2)</f>
        <v>0</v>
      </c>
      <c r="AW197" s="38"/>
      <c r="AX197" s="37">
        <f t="shared" ref="AX197" si="2318">TRUNC($M197 * AW197,2)</f>
        <v>0</v>
      </c>
      <c r="AY197" s="36">
        <f t="shared" si="2299"/>
        <v>0</v>
      </c>
      <c r="AZ197" s="38">
        <f t="shared" ref="AZ197" si="2319">TRUNC($M197 * AY197,2)</f>
        <v>0</v>
      </c>
      <c r="BA197" s="38">
        <f t="shared" si="2301"/>
        <v>7</v>
      </c>
      <c r="BB197" s="37">
        <f t="shared" ref="BB197" si="2320">TRUNC($M197 * BA197,2)</f>
        <v>2681.84</v>
      </c>
    </row>
    <row r="198" spans="1:54" ht="26.1" customHeight="1" x14ac:dyDescent="0.25">
      <c r="A198" s="31" t="s">
        <v>1012</v>
      </c>
      <c r="B198" s="31" t="s">
        <v>439</v>
      </c>
      <c r="C198" s="31" t="s">
        <v>19</v>
      </c>
      <c r="D198" s="31" t="s">
        <v>440</v>
      </c>
      <c r="E198" s="32" t="s">
        <v>171</v>
      </c>
      <c r="F198" s="33">
        <v>1</v>
      </c>
      <c r="G198" s="34">
        <v>1064.22</v>
      </c>
      <c r="H198" s="34">
        <f t="shared" si="2279"/>
        <v>979.87</v>
      </c>
      <c r="I198" s="34">
        <f t="shared" si="2280"/>
        <v>979.87</v>
      </c>
      <c r="J198" s="34">
        <f>(TRUNC(H198 * L14,2) + H198)</f>
        <v>1179.17</v>
      </c>
      <c r="K198" s="34">
        <f t="shared" si="2303"/>
        <v>1179.17</v>
      </c>
      <c r="L198" s="35">
        <f>K198 / L13</f>
        <v>4.0661034482758615E-4</v>
      </c>
      <c r="M198" s="36">
        <v>786.73</v>
      </c>
      <c r="N198" s="37">
        <f t="shared" si="2281"/>
        <v>786.73</v>
      </c>
      <c r="O198" s="36"/>
      <c r="P198" s="38">
        <f t="shared" si="2282"/>
        <v>0</v>
      </c>
      <c r="Q198" s="38"/>
      <c r="R198" s="38">
        <f t="shared" si="2282"/>
        <v>0</v>
      </c>
      <c r="S198" s="38">
        <f t="shared" si="2283"/>
        <v>1</v>
      </c>
      <c r="T198" s="37">
        <f t="shared" ref="T198:V198" si="2321">TRUNC($M198 * S198,2)</f>
        <v>786.73</v>
      </c>
      <c r="U198" s="36"/>
      <c r="V198" s="38">
        <f t="shared" si="2321"/>
        <v>0</v>
      </c>
      <c r="W198" s="38"/>
      <c r="X198" s="38">
        <f t="shared" ref="X198" si="2322">TRUNC($M198 * W198,2)</f>
        <v>0</v>
      </c>
      <c r="Y198" s="38"/>
      <c r="Z198" s="38">
        <f t="shared" ref="Z198" si="2323">TRUNC($M198 * Y198,2)</f>
        <v>0</v>
      </c>
      <c r="AA198" s="38"/>
      <c r="AB198" s="38">
        <f t="shared" ref="AB198" si="2324">TRUNC($M198 * AA198,2)</f>
        <v>0</v>
      </c>
      <c r="AC198" s="38"/>
      <c r="AD198" s="38">
        <f t="shared" ref="AD198" si="2325">TRUNC($M198 * AC198,2)</f>
        <v>0</v>
      </c>
      <c r="AE198" s="38"/>
      <c r="AF198" s="38">
        <f t="shared" ref="AF198" si="2326">TRUNC($M198 * AE198,2)</f>
        <v>0</v>
      </c>
      <c r="AG198" s="38"/>
      <c r="AH198" s="38">
        <f t="shared" ref="AH198" si="2327">TRUNC($M198 * AG198,2)</f>
        <v>0</v>
      </c>
      <c r="AI198" s="38"/>
      <c r="AJ198" s="38">
        <f t="shared" ref="AJ198" si="2328">TRUNC($M198 * AI198,2)</f>
        <v>0</v>
      </c>
      <c r="AK198" s="38"/>
      <c r="AL198" s="38">
        <f t="shared" ref="AL198" si="2329">TRUNC($M198 * AK198,2)</f>
        <v>0</v>
      </c>
      <c r="AM198" s="38"/>
      <c r="AN198" s="38">
        <f t="shared" ref="AN198" si="2330">TRUNC($M198 * AM198,2)</f>
        <v>0</v>
      </c>
      <c r="AO198" s="38"/>
      <c r="AP198" s="38">
        <f t="shared" ref="AP198" si="2331">TRUNC($M198 * AO198,2)</f>
        <v>0</v>
      </c>
      <c r="AQ198" s="38"/>
      <c r="AR198" s="38">
        <f t="shared" ref="AR198" si="2332">TRUNC($M198 * AQ198,2)</f>
        <v>0</v>
      </c>
      <c r="AS198" s="38"/>
      <c r="AT198" s="38">
        <f t="shared" ref="AT198" si="2333">TRUNC($M198 * AS198,2)</f>
        <v>0</v>
      </c>
      <c r="AU198" s="38"/>
      <c r="AV198" s="38">
        <f t="shared" ref="AV198" si="2334">TRUNC($M198 * AU198,2)</f>
        <v>0</v>
      </c>
      <c r="AW198" s="38"/>
      <c r="AX198" s="37">
        <f t="shared" ref="AX198" si="2335">TRUNC($M198 * AW198,2)</f>
        <v>0</v>
      </c>
      <c r="AY198" s="36">
        <f t="shared" si="2299"/>
        <v>0</v>
      </c>
      <c r="AZ198" s="38">
        <f t="shared" ref="AZ198" si="2336">TRUNC($M198 * AY198,2)</f>
        <v>0</v>
      </c>
      <c r="BA198" s="38">
        <f t="shared" si="2301"/>
        <v>1</v>
      </c>
      <c r="BB198" s="37">
        <f t="shared" ref="BB198" si="2337">TRUNC($M198 * BA198,2)</f>
        <v>786.73</v>
      </c>
    </row>
    <row r="199" spans="1:54" ht="65.099999999999994" customHeight="1" x14ac:dyDescent="0.25">
      <c r="A199" s="31" t="s">
        <v>1013</v>
      </c>
      <c r="B199" s="31" t="s">
        <v>441</v>
      </c>
      <c r="C199" s="31" t="s">
        <v>34</v>
      </c>
      <c r="D199" s="31" t="s">
        <v>442</v>
      </c>
      <c r="E199" s="32" t="s">
        <v>36</v>
      </c>
      <c r="F199" s="33">
        <v>15</v>
      </c>
      <c r="G199" s="34">
        <v>414</v>
      </c>
      <c r="H199" s="34">
        <f t="shared" si="2279"/>
        <v>381.18</v>
      </c>
      <c r="I199" s="34">
        <f t="shared" si="2280"/>
        <v>5717.7</v>
      </c>
      <c r="J199" s="34">
        <f>(TRUNC(H199 * L14,2) + H199)</f>
        <v>458.71000000000004</v>
      </c>
      <c r="K199" s="34">
        <f t="shared" si="2303"/>
        <v>6880.65</v>
      </c>
      <c r="L199" s="35">
        <f>K199 / L13</f>
        <v>2.3726379310344821E-3</v>
      </c>
      <c r="M199" s="36">
        <v>346.75</v>
      </c>
      <c r="N199" s="37">
        <f t="shared" si="2281"/>
        <v>5201.25</v>
      </c>
      <c r="O199" s="36"/>
      <c r="P199" s="38">
        <f t="shared" si="2282"/>
        <v>0</v>
      </c>
      <c r="Q199" s="38"/>
      <c r="R199" s="38">
        <f t="shared" si="2282"/>
        <v>0</v>
      </c>
      <c r="S199" s="38">
        <f t="shared" si="2283"/>
        <v>15</v>
      </c>
      <c r="T199" s="37">
        <f t="shared" ref="T199:V199" si="2338">TRUNC($M199 * S199,2)</f>
        <v>5201.25</v>
      </c>
      <c r="U199" s="36"/>
      <c r="V199" s="38">
        <f t="shared" si="2338"/>
        <v>0</v>
      </c>
      <c r="W199" s="38"/>
      <c r="X199" s="38">
        <f t="shared" ref="X199" si="2339">TRUNC($M199 * W199,2)</f>
        <v>0</v>
      </c>
      <c r="Y199" s="38"/>
      <c r="Z199" s="38">
        <f t="shared" ref="Z199" si="2340">TRUNC($M199 * Y199,2)</f>
        <v>0</v>
      </c>
      <c r="AA199" s="38"/>
      <c r="AB199" s="38">
        <f t="shared" ref="AB199" si="2341">TRUNC($M199 * AA199,2)</f>
        <v>0</v>
      </c>
      <c r="AC199" s="38"/>
      <c r="AD199" s="38">
        <f t="shared" ref="AD199" si="2342">TRUNC($M199 * AC199,2)</f>
        <v>0</v>
      </c>
      <c r="AE199" s="38"/>
      <c r="AF199" s="38">
        <f t="shared" ref="AF199" si="2343">TRUNC($M199 * AE199,2)</f>
        <v>0</v>
      </c>
      <c r="AG199" s="38"/>
      <c r="AH199" s="38">
        <f t="shared" ref="AH199" si="2344">TRUNC($M199 * AG199,2)</f>
        <v>0</v>
      </c>
      <c r="AI199" s="38"/>
      <c r="AJ199" s="38">
        <f t="shared" ref="AJ199" si="2345">TRUNC($M199 * AI199,2)</f>
        <v>0</v>
      </c>
      <c r="AK199" s="38"/>
      <c r="AL199" s="38">
        <f t="shared" ref="AL199" si="2346">TRUNC($M199 * AK199,2)</f>
        <v>0</v>
      </c>
      <c r="AM199" s="38"/>
      <c r="AN199" s="38">
        <f t="shared" ref="AN199" si="2347">TRUNC($M199 * AM199,2)</f>
        <v>0</v>
      </c>
      <c r="AO199" s="38"/>
      <c r="AP199" s="38">
        <f t="shared" ref="AP199" si="2348">TRUNC($M199 * AO199,2)</f>
        <v>0</v>
      </c>
      <c r="AQ199" s="38"/>
      <c r="AR199" s="38">
        <f t="shared" ref="AR199" si="2349">TRUNC($M199 * AQ199,2)</f>
        <v>0</v>
      </c>
      <c r="AS199" s="38"/>
      <c r="AT199" s="38">
        <f t="shared" ref="AT199" si="2350">TRUNC($M199 * AS199,2)</f>
        <v>0</v>
      </c>
      <c r="AU199" s="38"/>
      <c r="AV199" s="38">
        <f t="shared" ref="AV199" si="2351">TRUNC($M199 * AU199,2)</f>
        <v>0</v>
      </c>
      <c r="AW199" s="38"/>
      <c r="AX199" s="37">
        <f t="shared" ref="AX199" si="2352">TRUNC($M199 * AW199,2)</f>
        <v>0</v>
      </c>
      <c r="AY199" s="36">
        <f t="shared" si="2299"/>
        <v>0</v>
      </c>
      <c r="AZ199" s="38">
        <f t="shared" ref="AZ199" si="2353">TRUNC($M199 * AY199,2)</f>
        <v>0</v>
      </c>
      <c r="BA199" s="38">
        <f t="shared" si="2301"/>
        <v>15</v>
      </c>
      <c r="BB199" s="37">
        <f t="shared" ref="BB199" si="2354">TRUNC($M199 * BA199,2)</f>
        <v>5201.25</v>
      </c>
    </row>
    <row r="200" spans="1:54" ht="51.9" customHeight="1" x14ac:dyDescent="0.25">
      <c r="A200" s="31" t="s">
        <v>1014</v>
      </c>
      <c r="B200" s="31" t="s">
        <v>443</v>
      </c>
      <c r="C200" s="31" t="s">
        <v>34</v>
      </c>
      <c r="D200" s="31" t="s">
        <v>444</v>
      </c>
      <c r="E200" s="32" t="s">
        <v>36</v>
      </c>
      <c r="F200" s="33">
        <v>1</v>
      </c>
      <c r="G200" s="34">
        <v>863.41</v>
      </c>
      <c r="H200" s="34">
        <f t="shared" si="2279"/>
        <v>794.97</v>
      </c>
      <c r="I200" s="34">
        <f t="shared" si="2280"/>
        <v>794.97</v>
      </c>
      <c r="J200" s="34">
        <f>(TRUNC(H200 * L14,2) + H200)</f>
        <v>956.66000000000008</v>
      </c>
      <c r="K200" s="34">
        <f t="shared" si="2303"/>
        <v>956.66</v>
      </c>
      <c r="L200" s="35">
        <f>K200 / L13</f>
        <v>3.2988275862068958E-4</v>
      </c>
      <c r="M200" s="36">
        <v>709.23</v>
      </c>
      <c r="N200" s="37">
        <f t="shared" si="2281"/>
        <v>709.23</v>
      </c>
      <c r="O200" s="36"/>
      <c r="P200" s="38">
        <f t="shared" si="2282"/>
        <v>0</v>
      </c>
      <c r="Q200" s="38"/>
      <c r="R200" s="38">
        <f t="shared" si="2282"/>
        <v>0</v>
      </c>
      <c r="S200" s="38">
        <f t="shared" si="2283"/>
        <v>1</v>
      </c>
      <c r="T200" s="37">
        <f t="shared" ref="T200:V200" si="2355">TRUNC($M200 * S200,2)</f>
        <v>709.23</v>
      </c>
      <c r="U200" s="36"/>
      <c r="V200" s="38">
        <f t="shared" si="2355"/>
        <v>0</v>
      </c>
      <c r="W200" s="38"/>
      <c r="X200" s="38">
        <f t="shared" ref="X200" si="2356">TRUNC($M200 * W200,2)</f>
        <v>0</v>
      </c>
      <c r="Y200" s="38"/>
      <c r="Z200" s="38">
        <f t="shared" ref="Z200" si="2357">TRUNC($M200 * Y200,2)</f>
        <v>0</v>
      </c>
      <c r="AA200" s="38"/>
      <c r="AB200" s="38">
        <f t="shared" ref="AB200" si="2358">TRUNC($M200 * AA200,2)</f>
        <v>0</v>
      </c>
      <c r="AC200" s="38"/>
      <c r="AD200" s="38">
        <f t="shared" ref="AD200" si="2359">TRUNC($M200 * AC200,2)</f>
        <v>0</v>
      </c>
      <c r="AE200" s="38"/>
      <c r="AF200" s="38">
        <f t="shared" ref="AF200" si="2360">TRUNC($M200 * AE200,2)</f>
        <v>0</v>
      </c>
      <c r="AG200" s="38"/>
      <c r="AH200" s="38">
        <f t="shared" ref="AH200" si="2361">TRUNC($M200 * AG200,2)</f>
        <v>0</v>
      </c>
      <c r="AI200" s="38"/>
      <c r="AJ200" s="38">
        <f t="shared" ref="AJ200" si="2362">TRUNC($M200 * AI200,2)</f>
        <v>0</v>
      </c>
      <c r="AK200" s="38"/>
      <c r="AL200" s="38">
        <f t="shared" ref="AL200" si="2363">TRUNC($M200 * AK200,2)</f>
        <v>0</v>
      </c>
      <c r="AM200" s="38"/>
      <c r="AN200" s="38">
        <f t="shared" ref="AN200" si="2364">TRUNC($M200 * AM200,2)</f>
        <v>0</v>
      </c>
      <c r="AO200" s="38"/>
      <c r="AP200" s="38">
        <f t="shared" ref="AP200" si="2365">TRUNC($M200 * AO200,2)</f>
        <v>0</v>
      </c>
      <c r="AQ200" s="38"/>
      <c r="AR200" s="38">
        <f t="shared" ref="AR200" si="2366">TRUNC($M200 * AQ200,2)</f>
        <v>0</v>
      </c>
      <c r="AS200" s="38"/>
      <c r="AT200" s="38">
        <f t="shared" ref="AT200" si="2367">TRUNC($M200 * AS200,2)</f>
        <v>0</v>
      </c>
      <c r="AU200" s="38"/>
      <c r="AV200" s="38">
        <f t="shared" ref="AV200" si="2368">TRUNC($M200 * AU200,2)</f>
        <v>0</v>
      </c>
      <c r="AW200" s="38"/>
      <c r="AX200" s="37">
        <f t="shared" ref="AX200" si="2369">TRUNC($M200 * AW200,2)</f>
        <v>0</v>
      </c>
      <c r="AY200" s="36">
        <f t="shared" si="2299"/>
        <v>0</v>
      </c>
      <c r="AZ200" s="38">
        <f t="shared" ref="AZ200" si="2370">TRUNC($M200 * AY200,2)</f>
        <v>0</v>
      </c>
      <c r="BA200" s="38">
        <f t="shared" si="2301"/>
        <v>1</v>
      </c>
      <c r="BB200" s="37">
        <f t="shared" ref="BB200" si="2371">TRUNC($M200 * BA200,2)</f>
        <v>709.23</v>
      </c>
    </row>
    <row r="201" spans="1:54" ht="39" customHeight="1" x14ac:dyDescent="0.25">
      <c r="A201" s="31" t="s">
        <v>1015</v>
      </c>
      <c r="B201" s="31" t="s">
        <v>445</v>
      </c>
      <c r="C201" s="31" t="s">
        <v>446</v>
      </c>
      <c r="D201" s="31" t="s">
        <v>447</v>
      </c>
      <c r="E201" s="32" t="s">
        <v>448</v>
      </c>
      <c r="F201" s="33">
        <v>1</v>
      </c>
      <c r="G201" s="34">
        <v>567.87</v>
      </c>
      <c r="H201" s="34">
        <f t="shared" si="2279"/>
        <v>522.86</v>
      </c>
      <c r="I201" s="34">
        <f t="shared" si="2280"/>
        <v>522.86</v>
      </c>
      <c r="J201" s="34">
        <f>(TRUNC(H201 * L14,2) + H201)</f>
        <v>629.20000000000005</v>
      </c>
      <c r="K201" s="34">
        <f t="shared" si="2303"/>
        <v>629.20000000000005</v>
      </c>
      <c r="L201" s="35">
        <f>K201 / L13</f>
        <v>2.1696551724137929E-4</v>
      </c>
      <c r="M201" s="36">
        <v>465.47</v>
      </c>
      <c r="N201" s="37">
        <f t="shared" si="2281"/>
        <v>465.47</v>
      </c>
      <c r="O201" s="36"/>
      <c r="P201" s="38">
        <f t="shared" si="2282"/>
        <v>0</v>
      </c>
      <c r="Q201" s="38"/>
      <c r="R201" s="38">
        <f t="shared" si="2282"/>
        <v>0</v>
      </c>
      <c r="S201" s="38">
        <f t="shared" si="2283"/>
        <v>1</v>
      </c>
      <c r="T201" s="37">
        <f t="shared" ref="T201:V201" si="2372">TRUNC($M201 * S201,2)</f>
        <v>465.47</v>
      </c>
      <c r="U201" s="36"/>
      <c r="V201" s="38">
        <f t="shared" si="2372"/>
        <v>0</v>
      </c>
      <c r="W201" s="38"/>
      <c r="X201" s="38">
        <f t="shared" ref="X201" si="2373">TRUNC($M201 * W201,2)</f>
        <v>0</v>
      </c>
      <c r="Y201" s="38"/>
      <c r="Z201" s="38">
        <f t="shared" ref="Z201" si="2374">TRUNC($M201 * Y201,2)</f>
        <v>0</v>
      </c>
      <c r="AA201" s="38"/>
      <c r="AB201" s="38">
        <f t="shared" ref="AB201" si="2375">TRUNC($M201 * AA201,2)</f>
        <v>0</v>
      </c>
      <c r="AC201" s="38"/>
      <c r="AD201" s="38">
        <f t="shared" ref="AD201" si="2376">TRUNC($M201 * AC201,2)</f>
        <v>0</v>
      </c>
      <c r="AE201" s="38"/>
      <c r="AF201" s="38">
        <f t="shared" ref="AF201" si="2377">TRUNC($M201 * AE201,2)</f>
        <v>0</v>
      </c>
      <c r="AG201" s="38"/>
      <c r="AH201" s="38">
        <f t="shared" ref="AH201" si="2378">TRUNC($M201 * AG201,2)</f>
        <v>0</v>
      </c>
      <c r="AI201" s="38"/>
      <c r="AJ201" s="38">
        <f t="shared" ref="AJ201" si="2379">TRUNC($M201 * AI201,2)</f>
        <v>0</v>
      </c>
      <c r="AK201" s="38"/>
      <c r="AL201" s="38">
        <f t="shared" ref="AL201" si="2380">TRUNC($M201 * AK201,2)</f>
        <v>0</v>
      </c>
      <c r="AM201" s="38"/>
      <c r="AN201" s="38">
        <f t="shared" ref="AN201" si="2381">TRUNC($M201 * AM201,2)</f>
        <v>0</v>
      </c>
      <c r="AO201" s="38"/>
      <c r="AP201" s="38">
        <f t="shared" ref="AP201" si="2382">TRUNC($M201 * AO201,2)</f>
        <v>0</v>
      </c>
      <c r="AQ201" s="38"/>
      <c r="AR201" s="38">
        <f t="shared" ref="AR201" si="2383">TRUNC($M201 * AQ201,2)</f>
        <v>0</v>
      </c>
      <c r="AS201" s="38"/>
      <c r="AT201" s="38">
        <f t="shared" ref="AT201" si="2384">TRUNC($M201 * AS201,2)</f>
        <v>0</v>
      </c>
      <c r="AU201" s="38"/>
      <c r="AV201" s="38">
        <f t="shared" ref="AV201" si="2385">TRUNC($M201 * AU201,2)</f>
        <v>0</v>
      </c>
      <c r="AW201" s="38"/>
      <c r="AX201" s="37">
        <f t="shared" ref="AX201" si="2386">TRUNC($M201 * AW201,2)</f>
        <v>0</v>
      </c>
      <c r="AY201" s="36">
        <f t="shared" si="2299"/>
        <v>0</v>
      </c>
      <c r="AZ201" s="38">
        <f t="shared" ref="AZ201" si="2387">TRUNC($M201 * AY201,2)</f>
        <v>0</v>
      </c>
      <c r="BA201" s="38">
        <f t="shared" si="2301"/>
        <v>1</v>
      </c>
      <c r="BB201" s="37">
        <f t="shared" ref="BB201" si="2388">TRUNC($M201 * BA201,2)</f>
        <v>465.47</v>
      </c>
    </row>
    <row r="202" spans="1:54" ht="39" customHeight="1" x14ac:dyDescent="0.25">
      <c r="A202" s="31" t="s">
        <v>1016</v>
      </c>
      <c r="B202" s="31" t="s">
        <v>449</v>
      </c>
      <c r="C202" s="31" t="s">
        <v>34</v>
      </c>
      <c r="D202" s="31" t="s">
        <v>450</v>
      </c>
      <c r="E202" s="32" t="s">
        <v>36</v>
      </c>
      <c r="F202" s="33">
        <v>3</v>
      </c>
      <c r="G202" s="34">
        <v>143.94999999999999</v>
      </c>
      <c r="H202" s="34">
        <f t="shared" si="2279"/>
        <v>132.54</v>
      </c>
      <c r="I202" s="34">
        <f t="shared" si="2280"/>
        <v>397.62</v>
      </c>
      <c r="J202" s="34">
        <f>(TRUNC(H202 * L14,2) + H202)</f>
        <v>159.48999999999998</v>
      </c>
      <c r="K202" s="34">
        <f t="shared" si="2303"/>
        <v>478.47</v>
      </c>
      <c r="L202" s="35">
        <f>K202 / L13</f>
        <v>1.6498965517241379E-4</v>
      </c>
      <c r="M202" s="36">
        <v>113.94</v>
      </c>
      <c r="N202" s="37">
        <f t="shared" si="2281"/>
        <v>341.82</v>
      </c>
      <c r="O202" s="36"/>
      <c r="P202" s="38">
        <f t="shared" si="2282"/>
        <v>0</v>
      </c>
      <c r="Q202" s="38"/>
      <c r="R202" s="38">
        <f t="shared" si="2282"/>
        <v>0</v>
      </c>
      <c r="S202" s="38">
        <f t="shared" si="2283"/>
        <v>3</v>
      </c>
      <c r="T202" s="37">
        <f t="shared" ref="T202:V202" si="2389">TRUNC($M202 * S202,2)</f>
        <v>341.82</v>
      </c>
      <c r="U202" s="36"/>
      <c r="V202" s="38">
        <f t="shared" si="2389"/>
        <v>0</v>
      </c>
      <c r="W202" s="38"/>
      <c r="X202" s="38">
        <f t="shared" ref="X202" si="2390">TRUNC($M202 * W202,2)</f>
        <v>0</v>
      </c>
      <c r="Y202" s="38"/>
      <c r="Z202" s="38">
        <f t="shared" ref="Z202" si="2391">TRUNC($M202 * Y202,2)</f>
        <v>0</v>
      </c>
      <c r="AA202" s="38"/>
      <c r="AB202" s="38">
        <f t="shared" ref="AB202" si="2392">TRUNC($M202 * AA202,2)</f>
        <v>0</v>
      </c>
      <c r="AC202" s="38"/>
      <c r="AD202" s="38">
        <f t="shared" ref="AD202" si="2393">TRUNC($M202 * AC202,2)</f>
        <v>0</v>
      </c>
      <c r="AE202" s="38"/>
      <c r="AF202" s="38">
        <f t="shared" ref="AF202" si="2394">TRUNC($M202 * AE202,2)</f>
        <v>0</v>
      </c>
      <c r="AG202" s="38"/>
      <c r="AH202" s="38">
        <f t="shared" ref="AH202" si="2395">TRUNC($M202 * AG202,2)</f>
        <v>0</v>
      </c>
      <c r="AI202" s="38"/>
      <c r="AJ202" s="38">
        <f t="shared" ref="AJ202" si="2396">TRUNC($M202 * AI202,2)</f>
        <v>0</v>
      </c>
      <c r="AK202" s="38"/>
      <c r="AL202" s="38">
        <f t="shared" ref="AL202" si="2397">TRUNC($M202 * AK202,2)</f>
        <v>0</v>
      </c>
      <c r="AM202" s="38"/>
      <c r="AN202" s="38">
        <f t="shared" ref="AN202" si="2398">TRUNC($M202 * AM202,2)</f>
        <v>0</v>
      </c>
      <c r="AO202" s="38"/>
      <c r="AP202" s="38">
        <f t="shared" ref="AP202" si="2399">TRUNC($M202 * AO202,2)</f>
        <v>0</v>
      </c>
      <c r="AQ202" s="38"/>
      <c r="AR202" s="38">
        <f t="shared" ref="AR202" si="2400">TRUNC($M202 * AQ202,2)</f>
        <v>0</v>
      </c>
      <c r="AS202" s="38"/>
      <c r="AT202" s="38">
        <f t="shared" ref="AT202" si="2401">TRUNC($M202 * AS202,2)</f>
        <v>0</v>
      </c>
      <c r="AU202" s="38"/>
      <c r="AV202" s="38">
        <f t="shared" ref="AV202" si="2402">TRUNC($M202 * AU202,2)</f>
        <v>0</v>
      </c>
      <c r="AW202" s="38"/>
      <c r="AX202" s="37">
        <f t="shared" ref="AX202" si="2403">TRUNC($M202 * AW202,2)</f>
        <v>0</v>
      </c>
      <c r="AY202" s="36">
        <f t="shared" si="2299"/>
        <v>0</v>
      </c>
      <c r="AZ202" s="38">
        <f t="shared" ref="AZ202" si="2404">TRUNC($M202 * AY202,2)</f>
        <v>0</v>
      </c>
      <c r="BA202" s="38">
        <f t="shared" si="2301"/>
        <v>3</v>
      </c>
      <c r="BB202" s="37">
        <f t="shared" ref="BB202" si="2405">TRUNC($M202 * BA202,2)</f>
        <v>341.82</v>
      </c>
    </row>
    <row r="203" spans="1:54" ht="24" customHeight="1" x14ac:dyDescent="0.25">
      <c r="A203" s="31" t="s">
        <v>1017</v>
      </c>
      <c r="B203" s="31" t="s">
        <v>451</v>
      </c>
      <c r="C203" s="31" t="s">
        <v>19</v>
      </c>
      <c r="D203" s="31" t="s">
        <v>452</v>
      </c>
      <c r="E203" s="32" t="s">
        <v>171</v>
      </c>
      <c r="F203" s="33">
        <v>8</v>
      </c>
      <c r="G203" s="34">
        <v>123.35</v>
      </c>
      <c r="H203" s="34">
        <f t="shared" si="2279"/>
        <v>113.57</v>
      </c>
      <c r="I203" s="34">
        <f t="shared" si="2280"/>
        <v>908.56</v>
      </c>
      <c r="J203" s="34">
        <f>(TRUNC(H203 * L14,2) + H203)</f>
        <v>136.66999999999999</v>
      </c>
      <c r="K203" s="34">
        <f t="shared" si="2303"/>
        <v>1093.3599999999999</v>
      </c>
      <c r="L203" s="35">
        <f>K203 / L13</f>
        <v>3.7702068965517232E-4</v>
      </c>
      <c r="M203" s="36">
        <v>98.85</v>
      </c>
      <c r="N203" s="37">
        <f t="shared" si="2281"/>
        <v>790.8</v>
      </c>
      <c r="O203" s="36"/>
      <c r="P203" s="38">
        <f t="shared" si="2282"/>
        <v>0</v>
      </c>
      <c r="Q203" s="38"/>
      <c r="R203" s="38">
        <f t="shared" si="2282"/>
        <v>0</v>
      </c>
      <c r="S203" s="38">
        <f t="shared" si="2283"/>
        <v>8</v>
      </c>
      <c r="T203" s="37">
        <f t="shared" ref="T203:V203" si="2406">TRUNC($M203 * S203,2)</f>
        <v>790.8</v>
      </c>
      <c r="U203" s="36"/>
      <c r="V203" s="38">
        <f t="shared" si="2406"/>
        <v>0</v>
      </c>
      <c r="W203" s="38"/>
      <c r="X203" s="38">
        <f t="shared" ref="X203" si="2407">TRUNC($M203 * W203,2)</f>
        <v>0</v>
      </c>
      <c r="Y203" s="38"/>
      <c r="Z203" s="38">
        <f t="shared" ref="Z203" si="2408">TRUNC($M203 * Y203,2)</f>
        <v>0</v>
      </c>
      <c r="AA203" s="38"/>
      <c r="AB203" s="38">
        <f t="shared" ref="AB203" si="2409">TRUNC($M203 * AA203,2)</f>
        <v>0</v>
      </c>
      <c r="AC203" s="38"/>
      <c r="AD203" s="38">
        <f t="shared" ref="AD203" si="2410">TRUNC($M203 * AC203,2)</f>
        <v>0</v>
      </c>
      <c r="AE203" s="38"/>
      <c r="AF203" s="38">
        <f t="shared" ref="AF203" si="2411">TRUNC($M203 * AE203,2)</f>
        <v>0</v>
      </c>
      <c r="AG203" s="38"/>
      <c r="AH203" s="38">
        <f t="shared" ref="AH203" si="2412">TRUNC($M203 * AG203,2)</f>
        <v>0</v>
      </c>
      <c r="AI203" s="38"/>
      <c r="AJ203" s="38">
        <f t="shared" ref="AJ203" si="2413">TRUNC($M203 * AI203,2)</f>
        <v>0</v>
      </c>
      <c r="AK203" s="38"/>
      <c r="AL203" s="38">
        <f t="shared" ref="AL203" si="2414">TRUNC($M203 * AK203,2)</f>
        <v>0</v>
      </c>
      <c r="AM203" s="38"/>
      <c r="AN203" s="38">
        <f t="shared" ref="AN203" si="2415">TRUNC($M203 * AM203,2)</f>
        <v>0</v>
      </c>
      <c r="AO203" s="38"/>
      <c r="AP203" s="38">
        <f t="shared" ref="AP203" si="2416">TRUNC($M203 * AO203,2)</f>
        <v>0</v>
      </c>
      <c r="AQ203" s="38"/>
      <c r="AR203" s="38">
        <f t="shared" ref="AR203" si="2417">TRUNC($M203 * AQ203,2)</f>
        <v>0</v>
      </c>
      <c r="AS203" s="38"/>
      <c r="AT203" s="38">
        <f t="shared" ref="AT203" si="2418">TRUNC($M203 * AS203,2)</f>
        <v>0</v>
      </c>
      <c r="AU203" s="38"/>
      <c r="AV203" s="38">
        <f t="shared" ref="AV203" si="2419">TRUNC($M203 * AU203,2)</f>
        <v>0</v>
      </c>
      <c r="AW203" s="38"/>
      <c r="AX203" s="37">
        <f t="shared" ref="AX203" si="2420">TRUNC($M203 * AW203,2)</f>
        <v>0</v>
      </c>
      <c r="AY203" s="36">
        <f t="shared" si="2299"/>
        <v>0</v>
      </c>
      <c r="AZ203" s="38">
        <f t="shared" ref="AZ203" si="2421">TRUNC($M203 * AY203,2)</f>
        <v>0</v>
      </c>
      <c r="BA203" s="38">
        <f t="shared" si="2301"/>
        <v>8</v>
      </c>
      <c r="BB203" s="37">
        <f t="shared" ref="BB203" si="2422">TRUNC($M203 * BA203,2)</f>
        <v>790.8</v>
      </c>
    </row>
    <row r="204" spans="1:54" ht="24" customHeight="1" x14ac:dyDescent="0.25">
      <c r="A204" s="4" t="s">
        <v>1018</v>
      </c>
      <c r="B204" s="4" t="s">
        <v>12</v>
      </c>
      <c r="C204" s="4"/>
      <c r="D204" s="4" t="s">
        <v>453</v>
      </c>
      <c r="E204" s="5"/>
      <c r="F204" s="14"/>
      <c r="G204" s="6"/>
      <c r="H204" s="6"/>
      <c r="I204" s="7">
        <f>SUM(I205:I219)</f>
        <v>38531.840000000011</v>
      </c>
      <c r="J204" s="7"/>
      <c r="K204" s="7">
        <f>SUM(K205:K219)</f>
        <v>46368.51</v>
      </c>
      <c r="L204" s="22">
        <f>K204 / L13</f>
        <v>1.5989141379310342E-2</v>
      </c>
      <c r="M204" s="25"/>
      <c r="N204" s="26">
        <f>SUM(N205:N219)</f>
        <v>29934.14</v>
      </c>
      <c r="O204" s="25"/>
      <c r="P204" s="30">
        <f>SUM(P205:P219)</f>
        <v>0</v>
      </c>
      <c r="Q204" s="30"/>
      <c r="R204" s="30">
        <f>SUM(R205:R219)</f>
        <v>0</v>
      </c>
      <c r="S204" s="30"/>
      <c r="T204" s="26">
        <f>SUM(T205:T219)</f>
        <v>29934.14</v>
      </c>
      <c r="U204" s="25"/>
      <c r="V204" s="30">
        <f>SUM(V205:V219)</f>
        <v>0</v>
      </c>
      <c r="W204" s="30"/>
      <c r="X204" s="30">
        <f>SUM(X205:X219)</f>
        <v>0</v>
      </c>
      <c r="Y204" s="30"/>
      <c r="Z204" s="30">
        <f>SUM(Z205:Z219)</f>
        <v>0</v>
      </c>
      <c r="AA204" s="30"/>
      <c r="AB204" s="30">
        <f>SUM(AB205:AB219)</f>
        <v>0</v>
      </c>
      <c r="AC204" s="30"/>
      <c r="AD204" s="30">
        <f>SUM(AD205:AD219)</f>
        <v>0</v>
      </c>
      <c r="AE204" s="30"/>
      <c r="AF204" s="30">
        <f>SUM(AF205:AF219)</f>
        <v>0</v>
      </c>
      <c r="AG204" s="30"/>
      <c r="AH204" s="30">
        <f>SUM(AH205:AH219)</f>
        <v>0</v>
      </c>
      <c r="AI204" s="30"/>
      <c r="AJ204" s="30">
        <f>SUM(AJ205:AJ219)</f>
        <v>0</v>
      </c>
      <c r="AK204" s="30"/>
      <c r="AL204" s="30">
        <f>SUM(AL205:AL219)</f>
        <v>0</v>
      </c>
      <c r="AM204" s="30"/>
      <c r="AN204" s="30">
        <f>SUM(AN205:AN219)</f>
        <v>0</v>
      </c>
      <c r="AO204" s="30"/>
      <c r="AP204" s="30">
        <f>SUM(AP205:AP219)</f>
        <v>0</v>
      </c>
      <c r="AQ204" s="30"/>
      <c r="AR204" s="30">
        <f>SUM(AR205:AR219)</f>
        <v>0</v>
      </c>
      <c r="AS204" s="30"/>
      <c r="AT204" s="30">
        <f>SUM(AT205:AT219)</f>
        <v>0</v>
      </c>
      <c r="AU204" s="30"/>
      <c r="AV204" s="30">
        <f>SUM(AV205:AV219)</f>
        <v>0</v>
      </c>
      <c r="AW204" s="30"/>
      <c r="AX204" s="26">
        <f>SUM(AX205:AX219)</f>
        <v>0</v>
      </c>
      <c r="AY204" s="25"/>
      <c r="AZ204" s="30">
        <f>SUM(AZ205:AZ219)</f>
        <v>0</v>
      </c>
      <c r="BA204" s="30"/>
      <c r="BB204" s="26">
        <f>SUM(BB205:BB219)</f>
        <v>29934.14</v>
      </c>
    </row>
    <row r="205" spans="1:54" ht="26.1" customHeight="1" x14ac:dyDescent="0.25">
      <c r="A205" s="31" t="s">
        <v>1019</v>
      </c>
      <c r="B205" s="31" t="s">
        <v>454</v>
      </c>
      <c r="C205" s="31" t="s">
        <v>19</v>
      </c>
      <c r="D205" s="31" t="s">
        <v>455</v>
      </c>
      <c r="E205" s="32" t="s">
        <v>26</v>
      </c>
      <c r="F205" s="33">
        <v>7.14</v>
      </c>
      <c r="G205" s="34">
        <v>1333.06</v>
      </c>
      <c r="H205" s="34">
        <f t="shared" si="2279"/>
        <v>1227.4000000000001</v>
      </c>
      <c r="I205" s="34">
        <f t="shared" si="2280"/>
        <v>8763.6299999999992</v>
      </c>
      <c r="J205" s="34">
        <f>(TRUNC(H205 * L14,2) + H205)</f>
        <v>1477.0500000000002</v>
      </c>
      <c r="K205" s="34">
        <f t="shared" ref="K205:K219" si="2423">TRUNC(F205 * J205,2)</f>
        <v>10546.13</v>
      </c>
      <c r="L205" s="35">
        <f>K205 / L13</f>
        <v>3.636596551724137E-3</v>
      </c>
      <c r="M205" s="36">
        <v>1028.67</v>
      </c>
      <c r="N205" s="37">
        <f t="shared" si="2281"/>
        <v>7344.7</v>
      </c>
      <c r="O205" s="36"/>
      <c r="P205" s="38">
        <f t="shared" si="2282"/>
        <v>0</v>
      </c>
      <c r="Q205" s="38"/>
      <c r="R205" s="38">
        <f t="shared" si="2282"/>
        <v>0</v>
      </c>
      <c r="S205" s="38">
        <f t="shared" si="2283"/>
        <v>7.14</v>
      </c>
      <c r="T205" s="37">
        <f t="shared" ref="T205:V205" si="2424">TRUNC($M205 * S205,2)</f>
        <v>7344.7</v>
      </c>
      <c r="U205" s="36"/>
      <c r="V205" s="38">
        <f t="shared" si="2424"/>
        <v>0</v>
      </c>
      <c r="W205" s="38"/>
      <c r="X205" s="38">
        <f t="shared" ref="X205" si="2425">TRUNC($M205 * W205,2)</f>
        <v>0</v>
      </c>
      <c r="Y205" s="38"/>
      <c r="Z205" s="38">
        <f t="shared" ref="Z205" si="2426">TRUNC($M205 * Y205,2)</f>
        <v>0</v>
      </c>
      <c r="AA205" s="38"/>
      <c r="AB205" s="38">
        <f t="shared" ref="AB205" si="2427">TRUNC($M205 * AA205,2)</f>
        <v>0</v>
      </c>
      <c r="AC205" s="38"/>
      <c r="AD205" s="38">
        <f t="shared" ref="AD205" si="2428">TRUNC($M205 * AC205,2)</f>
        <v>0</v>
      </c>
      <c r="AE205" s="38"/>
      <c r="AF205" s="38">
        <f t="shared" ref="AF205" si="2429">TRUNC($M205 * AE205,2)</f>
        <v>0</v>
      </c>
      <c r="AG205" s="38"/>
      <c r="AH205" s="38">
        <f t="shared" ref="AH205" si="2430">TRUNC($M205 * AG205,2)</f>
        <v>0</v>
      </c>
      <c r="AI205" s="38"/>
      <c r="AJ205" s="38">
        <f t="shared" ref="AJ205" si="2431">TRUNC($M205 * AI205,2)</f>
        <v>0</v>
      </c>
      <c r="AK205" s="38"/>
      <c r="AL205" s="38">
        <f t="shared" ref="AL205" si="2432">TRUNC($M205 * AK205,2)</f>
        <v>0</v>
      </c>
      <c r="AM205" s="38"/>
      <c r="AN205" s="38">
        <f t="shared" ref="AN205" si="2433">TRUNC($M205 * AM205,2)</f>
        <v>0</v>
      </c>
      <c r="AO205" s="38"/>
      <c r="AP205" s="38">
        <f t="shared" ref="AP205" si="2434">TRUNC($M205 * AO205,2)</f>
        <v>0</v>
      </c>
      <c r="AQ205" s="38"/>
      <c r="AR205" s="38">
        <f t="shared" ref="AR205" si="2435">TRUNC($M205 * AQ205,2)</f>
        <v>0</v>
      </c>
      <c r="AS205" s="38"/>
      <c r="AT205" s="38">
        <f t="shared" ref="AT205" si="2436">TRUNC($M205 * AS205,2)</f>
        <v>0</v>
      </c>
      <c r="AU205" s="38"/>
      <c r="AV205" s="38">
        <f t="shared" ref="AV205" si="2437">TRUNC($M205 * AU205,2)</f>
        <v>0</v>
      </c>
      <c r="AW205" s="38"/>
      <c r="AX205" s="37">
        <f t="shared" ref="AX205" si="2438">TRUNC($M205 * AW205,2)</f>
        <v>0</v>
      </c>
      <c r="AY205" s="36">
        <f t="shared" si="2299"/>
        <v>0</v>
      </c>
      <c r="AZ205" s="38">
        <f t="shared" ref="AZ205" si="2439">TRUNC($M205 * AY205,2)</f>
        <v>0</v>
      </c>
      <c r="BA205" s="38">
        <f t="shared" si="2301"/>
        <v>7.14</v>
      </c>
      <c r="BB205" s="37">
        <f t="shared" ref="BB205" si="2440">TRUNC($M205 * BA205,2)</f>
        <v>7344.7</v>
      </c>
    </row>
    <row r="206" spans="1:54" ht="39" customHeight="1" x14ac:dyDescent="0.25">
      <c r="A206" s="31" t="s">
        <v>1020</v>
      </c>
      <c r="B206" s="31" t="s">
        <v>456</v>
      </c>
      <c r="C206" s="31" t="s">
        <v>24</v>
      </c>
      <c r="D206" s="31" t="s">
        <v>457</v>
      </c>
      <c r="E206" s="32" t="s">
        <v>171</v>
      </c>
      <c r="F206" s="33">
        <v>1</v>
      </c>
      <c r="G206" s="34">
        <v>2408.41</v>
      </c>
      <c r="H206" s="34">
        <f t="shared" si="2279"/>
        <v>2217.52</v>
      </c>
      <c r="I206" s="34">
        <f t="shared" si="2280"/>
        <v>2217.52</v>
      </c>
      <c r="J206" s="34">
        <f>(TRUNC(H206 * L14,2) + H206)</f>
        <v>2668.56</v>
      </c>
      <c r="K206" s="34">
        <f t="shared" si="2423"/>
        <v>2668.56</v>
      </c>
      <c r="L206" s="35">
        <f>K206 / L13</f>
        <v>9.2019310344827569E-4</v>
      </c>
      <c r="M206" s="36">
        <v>1712.36</v>
      </c>
      <c r="N206" s="37">
        <f t="shared" si="2281"/>
        <v>1712.36</v>
      </c>
      <c r="O206" s="36"/>
      <c r="P206" s="38">
        <f t="shared" si="2282"/>
        <v>0</v>
      </c>
      <c r="Q206" s="38"/>
      <c r="R206" s="38">
        <f t="shared" si="2282"/>
        <v>0</v>
      </c>
      <c r="S206" s="38">
        <f t="shared" si="2283"/>
        <v>1</v>
      </c>
      <c r="T206" s="37">
        <f t="shared" ref="T206:V206" si="2441">TRUNC($M206 * S206,2)</f>
        <v>1712.36</v>
      </c>
      <c r="U206" s="36"/>
      <c r="V206" s="38">
        <f t="shared" si="2441"/>
        <v>0</v>
      </c>
      <c r="W206" s="38"/>
      <c r="X206" s="38">
        <f t="shared" ref="X206" si="2442">TRUNC($M206 * W206,2)</f>
        <v>0</v>
      </c>
      <c r="Y206" s="38"/>
      <c r="Z206" s="38">
        <f t="shared" ref="Z206" si="2443">TRUNC($M206 * Y206,2)</f>
        <v>0</v>
      </c>
      <c r="AA206" s="38"/>
      <c r="AB206" s="38">
        <f t="shared" ref="AB206" si="2444">TRUNC($M206 * AA206,2)</f>
        <v>0</v>
      </c>
      <c r="AC206" s="38"/>
      <c r="AD206" s="38">
        <f t="shared" ref="AD206" si="2445">TRUNC($M206 * AC206,2)</f>
        <v>0</v>
      </c>
      <c r="AE206" s="38"/>
      <c r="AF206" s="38">
        <f t="shared" ref="AF206" si="2446">TRUNC($M206 * AE206,2)</f>
        <v>0</v>
      </c>
      <c r="AG206" s="38"/>
      <c r="AH206" s="38">
        <f t="shared" ref="AH206" si="2447">TRUNC($M206 * AG206,2)</f>
        <v>0</v>
      </c>
      <c r="AI206" s="38"/>
      <c r="AJ206" s="38">
        <f t="shared" ref="AJ206" si="2448">TRUNC($M206 * AI206,2)</f>
        <v>0</v>
      </c>
      <c r="AK206" s="38"/>
      <c r="AL206" s="38">
        <f t="shared" ref="AL206" si="2449">TRUNC($M206 * AK206,2)</f>
        <v>0</v>
      </c>
      <c r="AM206" s="38"/>
      <c r="AN206" s="38">
        <f t="shared" ref="AN206" si="2450">TRUNC($M206 * AM206,2)</f>
        <v>0</v>
      </c>
      <c r="AO206" s="38"/>
      <c r="AP206" s="38">
        <f t="shared" ref="AP206" si="2451">TRUNC($M206 * AO206,2)</f>
        <v>0</v>
      </c>
      <c r="AQ206" s="38"/>
      <c r="AR206" s="38">
        <f t="shared" ref="AR206" si="2452">TRUNC($M206 * AQ206,2)</f>
        <v>0</v>
      </c>
      <c r="AS206" s="38"/>
      <c r="AT206" s="38">
        <f t="shared" ref="AT206" si="2453">TRUNC($M206 * AS206,2)</f>
        <v>0</v>
      </c>
      <c r="AU206" s="38"/>
      <c r="AV206" s="38">
        <f t="shared" ref="AV206" si="2454">TRUNC($M206 * AU206,2)</f>
        <v>0</v>
      </c>
      <c r="AW206" s="38"/>
      <c r="AX206" s="37">
        <f t="shared" ref="AX206" si="2455">TRUNC($M206 * AW206,2)</f>
        <v>0</v>
      </c>
      <c r="AY206" s="36">
        <f t="shared" si="2299"/>
        <v>0</v>
      </c>
      <c r="AZ206" s="38">
        <f t="shared" ref="AZ206" si="2456">TRUNC($M206 * AY206,2)</f>
        <v>0</v>
      </c>
      <c r="BA206" s="38">
        <f t="shared" si="2301"/>
        <v>1</v>
      </c>
      <c r="BB206" s="37">
        <f t="shared" ref="BB206" si="2457">TRUNC($M206 * BA206,2)</f>
        <v>1712.36</v>
      </c>
    </row>
    <row r="207" spans="1:54" ht="39" customHeight="1" x14ac:dyDescent="0.25">
      <c r="A207" s="31" t="s">
        <v>1021</v>
      </c>
      <c r="B207" s="31" t="s">
        <v>458</v>
      </c>
      <c r="C207" s="31" t="s">
        <v>34</v>
      </c>
      <c r="D207" s="31" t="s">
        <v>459</v>
      </c>
      <c r="E207" s="32" t="s">
        <v>36</v>
      </c>
      <c r="F207" s="33">
        <v>8</v>
      </c>
      <c r="G207" s="34">
        <v>180.94</v>
      </c>
      <c r="H207" s="34">
        <f t="shared" si="2279"/>
        <v>166.59</v>
      </c>
      <c r="I207" s="34">
        <f t="shared" si="2280"/>
        <v>1332.72</v>
      </c>
      <c r="J207" s="34">
        <f>(TRUNC(H207 * L14,2) + H207)</f>
        <v>200.47</v>
      </c>
      <c r="K207" s="34">
        <f t="shared" si="2423"/>
        <v>1603.76</v>
      </c>
      <c r="L207" s="35">
        <f>K207 / L13</f>
        <v>5.5302068965517237E-4</v>
      </c>
      <c r="M207" s="36">
        <v>134.54</v>
      </c>
      <c r="N207" s="37">
        <f t="shared" si="2281"/>
        <v>1076.32</v>
      </c>
      <c r="O207" s="36"/>
      <c r="P207" s="38">
        <f t="shared" si="2282"/>
        <v>0</v>
      </c>
      <c r="Q207" s="38"/>
      <c r="R207" s="38">
        <f t="shared" si="2282"/>
        <v>0</v>
      </c>
      <c r="S207" s="38">
        <f t="shared" si="2283"/>
        <v>8</v>
      </c>
      <c r="T207" s="37">
        <f t="shared" ref="T207:V207" si="2458">TRUNC($M207 * S207,2)</f>
        <v>1076.32</v>
      </c>
      <c r="U207" s="36"/>
      <c r="V207" s="38">
        <f t="shared" si="2458"/>
        <v>0</v>
      </c>
      <c r="W207" s="38"/>
      <c r="X207" s="38">
        <f t="shared" ref="X207" si="2459">TRUNC($M207 * W207,2)</f>
        <v>0</v>
      </c>
      <c r="Y207" s="38"/>
      <c r="Z207" s="38">
        <f t="shared" ref="Z207" si="2460">TRUNC($M207 * Y207,2)</f>
        <v>0</v>
      </c>
      <c r="AA207" s="38"/>
      <c r="AB207" s="38">
        <f t="shared" ref="AB207" si="2461">TRUNC($M207 * AA207,2)</f>
        <v>0</v>
      </c>
      <c r="AC207" s="38"/>
      <c r="AD207" s="38">
        <f t="shared" ref="AD207" si="2462">TRUNC($M207 * AC207,2)</f>
        <v>0</v>
      </c>
      <c r="AE207" s="38"/>
      <c r="AF207" s="38">
        <f t="shared" ref="AF207" si="2463">TRUNC($M207 * AE207,2)</f>
        <v>0</v>
      </c>
      <c r="AG207" s="38"/>
      <c r="AH207" s="38">
        <f t="shared" ref="AH207" si="2464">TRUNC($M207 * AG207,2)</f>
        <v>0</v>
      </c>
      <c r="AI207" s="38"/>
      <c r="AJ207" s="38">
        <f t="shared" ref="AJ207" si="2465">TRUNC($M207 * AI207,2)</f>
        <v>0</v>
      </c>
      <c r="AK207" s="38"/>
      <c r="AL207" s="38">
        <f t="shared" ref="AL207" si="2466">TRUNC($M207 * AK207,2)</f>
        <v>0</v>
      </c>
      <c r="AM207" s="38"/>
      <c r="AN207" s="38">
        <f t="shared" ref="AN207" si="2467">TRUNC($M207 * AM207,2)</f>
        <v>0</v>
      </c>
      <c r="AO207" s="38"/>
      <c r="AP207" s="38">
        <f t="shared" ref="AP207" si="2468">TRUNC($M207 * AO207,2)</f>
        <v>0</v>
      </c>
      <c r="AQ207" s="38"/>
      <c r="AR207" s="38">
        <f t="shared" ref="AR207" si="2469">TRUNC($M207 * AQ207,2)</f>
        <v>0</v>
      </c>
      <c r="AS207" s="38"/>
      <c r="AT207" s="38">
        <f t="shared" ref="AT207" si="2470">TRUNC($M207 * AS207,2)</f>
        <v>0</v>
      </c>
      <c r="AU207" s="38"/>
      <c r="AV207" s="38">
        <f t="shared" ref="AV207" si="2471">TRUNC($M207 * AU207,2)</f>
        <v>0</v>
      </c>
      <c r="AW207" s="38"/>
      <c r="AX207" s="37">
        <f t="shared" ref="AX207" si="2472">TRUNC($M207 * AW207,2)</f>
        <v>0</v>
      </c>
      <c r="AY207" s="36">
        <f t="shared" si="2299"/>
        <v>0</v>
      </c>
      <c r="AZ207" s="38">
        <f t="shared" ref="AZ207" si="2473">TRUNC($M207 * AY207,2)</f>
        <v>0</v>
      </c>
      <c r="BA207" s="38">
        <f t="shared" si="2301"/>
        <v>8</v>
      </c>
      <c r="BB207" s="37">
        <f t="shared" ref="BB207" si="2474">TRUNC($M207 * BA207,2)</f>
        <v>1076.32</v>
      </c>
    </row>
    <row r="208" spans="1:54" ht="39" customHeight="1" x14ac:dyDescent="0.25">
      <c r="A208" s="31" t="s">
        <v>1022</v>
      </c>
      <c r="B208" s="31" t="s">
        <v>460</v>
      </c>
      <c r="C208" s="31" t="s">
        <v>34</v>
      </c>
      <c r="D208" s="31" t="s">
        <v>461</v>
      </c>
      <c r="E208" s="32" t="s">
        <v>36</v>
      </c>
      <c r="F208" s="33">
        <v>5</v>
      </c>
      <c r="G208" s="34">
        <v>51</v>
      </c>
      <c r="H208" s="34">
        <f t="shared" si="2279"/>
        <v>46.95</v>
      </c>
      <c r="I208" s="34">
        <f t="shared" si="2280"/>
        <v>234.75</v>
      </c>
      <c r="J208" s="34">
        <f>(TRUNC(H208 * L14,2) + H208)</f>
        <v>56.49</v>
      </c>
      <c r="K208" s="34">
        <f t="shared" si="2423"/>
        <v>282.45</v>
      </c>
      <c r="L208" s="35">
        <f>K208 / L13</f>
        <v>9.7396551724137907E-5</v>
      </c>
      <c r="M208" s="36">
        <v>38.409999999999997</v>
      </c>
      <c r="N208" s="37">
        <f t="shared" si="2281"/>
        <v>192.05</v>
      </c>
      <c r="O208" s="36"/>
      <c r="P208" s="38">
        <f t="shared" si="2282"/>
        <v>0</v>
      </c>
      <c r="Q208" s="38"/>
      <c r="R208" s="38">
        <f t="shared" si="2282"/>
        <v>0</v>
      </c>
      <c r="S208" s="38">
        <f t="shared" si="2283"/>
        <v>5</v>
      </c>
      <c r="T208" s="37">
        <f t="shared" ref="T208:V208" si="2475">TRUNC($M208 * S208,2)</f>
        <v>192.05</v>
      </c>
      <c r="U208" s="36"/>
      <c r="V208" s="38">
        <f t="shared" si="2475"/>
        <v>0</v>
      </c>
      <c r="W208" s="38"/>
      <c r="X208" s="38">
        <f t="shared" ref="X208" si="2476">TRUNC($M208 * W208,2)</f>
        <v>0</v>
      </c>
      <c r="Y208" s="38"/>
      <c r="Z208" s="38">
        <f t="shared" ref="Z208" si="2477">TRUNC($M208 * Y208,2)</f>
        <v>0</v>
      </c>
      <c r="AA208" s="38"/>
      <c r="AB208" s="38">
        <f t="shared" ref="AB208" si="2478">TRUNC($M208 * AA208,2)</f>
        <v>0</v>
      </c>
      <c r="AC208" s="38"/>
      <c r="AD208" s="38">
        <f t="shared" ref="AD208" si="2479">TRUNC($M208 * AC208,2)</f>
        <v>0</v>
      </c>
      <c r="AE208" s="38"/>
      <c r="AF208" s="38">
        <f t="shared" ref="AF208" si="2480">TRUNC($M208 * AE208,2)</f>
        <v>0</v>
      </c>
      <c r="AG208" s="38"/>
      <c r="AH208" s="38">
        <f t="shared" ref="AH208" si="2481">TRUNC($M208 * AG208,2)</f>
        <v>0</v>
      </c>
      <c r="AI208" s="38"/>
      <c r="AJ208" s="38">
        <f t="shared" ref="AJ208" si="2482">TRUNC($M208 * AI208,2)</f>
        <v>0</v>
      </c>
      <c r="AK208" s="38"/>
      <c r="AL208" s="38">
        <f t="shared" ref="AL208" si="2483">TRUNC($M208 * AK208,2)</f>
        <v>0</v>
      </c>
      <c r="AM208" s="38"/>
      <c r="AN208" s="38">
        <f t="shared" ref="AN208" si="2484">TRUNC($M208 * AM208,2)</f>
        <v>0</v>
      </c>
      <c r="AO208" s="38"/>
      <c r="AP208" s="38">
        <f t="shared" ref="AP208" si="2485">TRUNC($M208 * AO208,2)</f>
        <v>0</v>
      </c>
      <c r="AQ208" s="38"/>
      <c r="AR208" s="38">
        <f t="shared" ref="AR208" si="2486">TRUNC($M208 * AQ208,2)</f>
        <v>0</v>
      </c>
      <c r="AS208" s="38"/>
      <c r="AT208" s="38">
        <f t="shared" ref="AT208" si="2487">TRUNC($M208 * AS208,2)</f>
        <v>0</v>
      </c>
      <c r="AU208" s="38"/>
      <c r="AV208" s="38">
        <f t="shared" ref="AV208" si="2488">TRUNC($M208 * AU208,2)</f>
        <v>0</v>
      </c>
      <c r="AW208" s="38"/>
      <c r="AX208" s="37">
        <f t="shared" ref="AX208" si="2489">TRUNC($M208 * AW208,2)</f>
        <v>0</v>
      </c>
      <c r="AY208" s="36">
        <f t="shared" si="2299"/>
        <v>0</v>
      </c>
      <c r="AZ208" s="38">
        <f t="shared" ref="AZ208" si="2490">TRUNC($M208 * AY208,2)</f>
        <v>0</v>
      </c>
      <c r="BA208" s="38">
        <f t="shared" si="2301"/>
        <v>5</v>
      </c>
      <c r="BB208" s="37">
        <f t="shared" ref="BB208" si="2491">TRUNC($M208 * BA208,2)</f>
        <v>192.05</v>
      </c>
    </row>
    <row r="209" spans="1:54" ht="24" customHeight="1" x14ac:dyDescent="0.25">
      <c r="A209" s="31" t="s">
        <v>1023</v>
      </c>
      <c r="B209" s="31" t="s">
        <v>462</v>
      </c>
      <c r="C209" s="31" t="s">
        <v>19</v>
      </c>
      <c r="D209" s="31" t="s">
        <v>463</v>
      </c>
      <c r="E209" s="32" t="s">
        <v>171</v>
      </c>
      <c r="F209" s="33">
        <v>2</v>
      </c>
      <c r="G209" s="34">
        <v>344.17</v>
      </c>
      <c r="H209" s="34">
        <f t="shared" si="2279"/>
        <v>316.89</v>
      </c>
      <c r="I209" s="34">
        <f t="shared" si="2280"/>
        <v>633.78</v>
      </c>
      <c r="J209" s="34">
        <f>(TRUNC(H209 * L14,2) + H209)</f>
        <v>381.34</v>
      </c>
      <c r="K209" s="34">
        <f t="shared" si="2423"/>
        <v>762.68</v>
      </c>
      <c r="L209" s="35">
        <f>K209 / L13</f>
        <v>2.6299310344827582E-4</v>
      </c>
      <c r="M209" s="36">
        <v>275.83999999999997</v>
      </c>
      <c r="N209" s="37">
        <f t="shared" si="2281"/>
        <v>551.67999999999995</v>
      </c>
      <c r="O209" s="36"/>
      <c r="P209" s="38">
        <f t="shared" si="2282"/>
        <v>0</v>
      </c>
      <c r="Q209" s="38"/>
      <c r="R209" s="38">
        <f t="shared" si="2282"/>
        <v>0</v>
      </c>
      <c r="S209" s="38">
        <f t="shared" si="2283"/>
        <v>2</v>
      </c>
      <c r="T209" s="37">
        <f t="shared" ref="T209:V209" si="2492">TRUNC($M209 * S209,2)</f>
        <v>551.67999999999995</v>
      </c>
      <c r="U209" s="36"/>
      <c r="V209" s="38">
        <f t="shared" si="2492"/>
        <v>0</v>
      </c>
      <c r="W209" s="38"/>
      <c r="X209" s="38">
        <f t="shared" ref="X209" si="2493">TRUNC($M209 * W209,2)</f>
        <v>0</v>
      </c>
      <c r="Y209" s="38"/>
      <c r="Z209" s="38">
        <f t="shared" ref="Z209" si="2494">TRUNC($M209 * Y209,2)</f>
        <v>0</v>
      </c>
      <c r="AA209" s="38"/>
      <c r="AB209" s="38">
        <f t="shared" ref="AB209" si="2495">TRUNC($M209 * AA209,2)</f>
        <v>0</v>
      </c>
      <c r="AC209" s="38"/>
      <c r="AD209" s="38">
        <f t="shared" ref="AD209" si="2496">TRUNC($M209 * AC209,2)</f>
        <v>0</v>
      </c>
      <c r="AE209" s="38"/>
      <c r="AF209" s="38">
        <f t="shared" ref="AF209" si="2497">TRUNC($M209 * AE209,2)</f>
        <v>0</v>
      </c>
      <c r="AG209" s="38"/>
      <c r="AH209" s="38">
        <f t="shared" ref="AH209" si="2498">TRUNC($M209 * AG209,2)</f>
        <v>0</v>
      </c>
      <c r="AI209" s="38"/>
      <c r="AJ209" s="38">
        <f t="shared" ref="AJ209" si="2499">TRUNC($M209 * AI209,2)</f>
        <v>0</v>
      </c>
      <c r="AK209" s="38"/>
      <c r="AL209" s="38">
        <f t="shared" ref="AL209" si="2500">TRUNC($M209 * AK209,2)</f>
        <v>0</v>
      </c>
      <c r="AM209" s="38"/>
      <c r="AN209" s="38">
        <f t="shared" ref="AN209" si="2501">TRUNC($M209 * AM209,2)</f>
        <v>0</v>
      </c>
      <c r="AO209" s="38"/>
      <c r="AP209" s="38">
        <f t="shared" ref="AP209" si="2502">TRUNC($M209 * AO209,2)</f>
        <v>0</v>
      </c>
      <c r="AQ209" s="38"/>
      <c r="AR209" s="38">
        <f t="shared" ref="AR209" si="2503">TRUNC($M209 * AQ209,2)</f>
        <v>0</v>
      </c>
      <c r="AS209" s="38"/>
      <c r="AT209" s="38">
        <f t="shared" ref="AT209" si="2504">TRUNC($M209 * AS209,2)</f>
        <v>0</v>
      </c>
      <c r="AU209" s="38"/>
      <c r="AV209" s="38">
        <f t="shared" ref="AV209" si="2505">TRUNC($M209 * AU209,2)</f>
        <v>0</v>
      </c>
      <c r="AW209" s="38"/>
      <c r="AX209" s="37">
        <f t="shared" ref="AX209" si="2506">TRUNC($M209 * AW209,2)</f>
        <v>0</v>
      </c>
      <c r="AY209" s="36">
        <f t="shared" si="2299"/>
        <v>0</v>
      </c>
      <c r="AZ209" s="38">
        <f t="shared" ref="AZ209" si="2507">TRUNC($M209 * AY209,2)</f>
        <v>0</v>
      </c>
      <c r="BA209" s="38">
        <f t="shared" si="2301"/>
        <v>2</v>
      </c>
      <c r="BB209" s="37">
        <f t="shared" ref="BB209" si="2508">TRUNC($M209 * BA209,2)</f>
        <v>551.67999999999995</v>
      </c>
    </row>
    <row r="210" spans="1:54" ht="26.1" customHeight="1" x14ac:dyDescent="0.25">
      <c r="A210" s="31" t="s">
        <v>1024</v>
      </c>
      <c r="B210" s="31" t="s">
        <v>464</v>
      </c>
      <c r="C210" s="31" t="s">
        <v>19</v>
      </c>
      <c r="D210" s="31" t="s">
        <v>465</v>
      </c>
      <c r="E210" s="32" t="s">
        <v>36</v>
      </c>
      <c r="F210" s="33">
        <v>8</v>
      </c>
      <c r="G210" s="34">
        <v>350.8</v>
      </c>
      <c r="H210" s="34">
        <f t="shared" si="2279"/>
        <v>322.99</v>
      </c>
      <c r="I210" s="34">
        <f t="shared" si="2280"/>
        <v>2583.92</v>
      </c>
      <c r="J210" s="34">
        <f>(TRUNC(H210 * L14,2) + H210)</f>
        <v>388.68</v>
      </c>
      <c r="K210" s="34">
        <f t="shared" si="2423"/>
        <v>3109.44</v>
      </c>
      <c r="L210" s="35">
        <f>K210 / L13</f>
        <v>1.0722206896551722E-3</v>
      </c>
      <c r="M210" s="36">
        <v>280.69</v>
      </c>
      <c r="N210" s="37">
        <f t="shared" si="2281"/>
        <v>2245.52</v>
      </c>
      <c r="O210" s="36"/>
      <c r="P210" s="38">
        <f t="shared" si="2282"/>
        <v>0</v>
      </c>
      <c r="Q210" s="38"/>
      <c r="R210" s="38">
        <f t="shared" si="2282"/>
        <v>0</v>
      </c>
      <c r="S210" s="38">
        <f t="shared" si="2283"/>
        <v>8</v>
      </c>
      <c r="T210" s="37">
        <f t="shared" ref="T210:V210" si="2509">TRUNC($M210 * S210,2)</f>
        <v>2245.52</v>
      </c>
      <c r="U210" s="36"/>
      <c r="V210" s="38">
        <f t="shared" si="2509"/>
        <v>0</v>
      </c>
      <c r="W210" s="38"/>
      <c r="X210" s="38">
        <f t="shared" ref="X210" si="2510">TRUNC($M210 * W210,2)</f>
        <v>0</v>
      </c>
      <c r="Y210" s="38"/>
      <c r="Z210" s="38">
        <f t="shared" ref="Z210" si="2511">TRUNC($M210 * Y210,2)</f>
        <v>0</v>
      </c>
      <c r="AA210" s="38"/>
      <c r="AB210" s="38">
        <f t="shared" ref="AB210" si="2512">TRUNC($M210 * AA210,2)</f>
        <v>0</v>
      </c>
      <c r="AC210" s="38"/>
      <c r="AD210" s="38">
        <f t="shared" ref="AD210" si="2513">TRUNC($M210 * AC210,2)</f>
        <v>0</v>
      </c>
      <c r="AE210" s="38"/>
      <c r="AF210" s="38">
        <f t="shared" ref="AF210" si="2514">TRUNC($M210 * AE210,2)</f>
        <v>0</v>
      </c>
      <c r="AG210" s="38"/>
      <c r="AH210" s="38">
        <f t="shared" ref="AH210" si="2515">TRUNC($M210 * AG210,2)</f>
        <v>0</v>
      </c>
      <c r="AI210" s="38"/>
      <c r="AJ210" s="38">
        <f t="shared" ref="AJ210" si="2516">TRUNC($M210 * AI210,2)</f>
        <v>0</v>
      </c>
      <c r="AK210" s="38"/>
      <c r="AL210" s="38">
        <f t="shared" ref="AL210" si="2517">TRUNC($M210 * AK210,2)</f>
        <v>0</v>
      </c>
      <c r="AM210" s="38"/>
      <c r="AN210" s="38">
        <f t="shared" ref="AN210" si="2518">TRUNC($M210 * AM210,2)</f>
        <v>0</v>
      </c>
      <c r="AO210" s="38"/>
      <c r="AP210" s="38">
        <f t="shared" ref="AP210" si="2519">TRUNC($M210 * AO210,2)</f>
        <v>0</v>
      </c>
      <c r="AQ210" s="38"/>
      <c r="AR210" s="38">
        <f t="shared" ref="AR210" si="2520">TRUNC($M210 * AQ210,2)</f>
        <v>0</v>
      </c>
      <c r="AS210" s="38"/>
      <c r="AT210" s="38">
        <f t="shared" ref="AT210" si="2521">TRUNC($M210 * AS210,2)</f>
        <v>0</v>
      </c>
      <c r="AU210" s="38"/>
      <c r="AV210" s="38">
        <f t="shared" ref="AV210" si="2522">TRUNC($M210 * AU210,2)</f>
        <v>0</v>
      </c>
      <c r="AW210" s="38"/>
      <c r="AX210" s="37">
        <f t="shared" ref="AX210" si="2523">TRUNC($M210 * AW210,2)</f>
        <v>0</v>
      </c>
      <c r="AY210" s="36">
        <f t="shared" si="2299"/>
        <v>0</v>
      </c>
      <c r="AZ210" s="38">
        <f t="shared" ref="AZ210" si="2524">TRUNC($M210 * AY210,2)</f>
        <v>0</v>
      </c>
      <c r="BA210" s="38">
        <f t="shared" si="2301"/>
        <v>8</v>
      </c>
      <c r="BB210" s="37">
        <f t="shared" ref="BB210" si="2525">TRUNC($M210 * BA210,2)</f>
        <v>2245.52</v>
      </c>
    </row>
    <row r="211" spans="1:54" ht="26.1" customHeight="1" x14ac:dyDescent="0.25">
      <c r="A211" s="31" t="s">
        <v>1025</v>
      </c>
      <c r="B211" s="31" t="s">
        <v>466</v>
      </c>
      <c r="C211" s="31" t="s">
        <v>24</v>
      </c>
      <c r="D211" s="31" t="s">
        <v>467</v>
      </c>
      <c r="E211" s="32" t="s">
        <v>171</v>
      </c>
      <c r="F211" s="33">
        <v>27</v>
      </c>
      <c r="G211" s="34">
        <v>271.99</v>
      </c>
      <c r="H211" s="34">
        <f t="shared" si="2279"/>
        <v>250.43</v>
      </c>
      <c r="I211" s="34">
        <f t="shared" si="2280"/>
        <v>6761.61</v>
      </c>
      <c r="J211" s="34">
        <f>(TRUNC(H211 * L14,2) + H211)</f>
        <v>301.36</v>
      </c>
      <c r="K211" s="34">
        <f t="shared" si="2423"/>
        <v>8136.72</v>
      </c>
      <c r="L211" s="35">
        <f>K211 / L13</f>
        <v>2.8057655172413791E-3</v>
      </c>
      <c r="M211" s="36">
        <v>203.59</v>
      </c>
      <c r="N211" s="37">
        <f t="shared" si="2281"/>
        <v>5496.93</v>
      </c>
      <c r="O211" s="36"/>
      <c r="P211" s="38">
        <f t="shared" si="2282"/>
        <v>0</v>
      </c>
      <c r="Q211" s="38"/>
      <c r="R211" s="38">
        <f t="shared" si="2282"/>
        <v>0</v>
      </c>
      <c r="S211" s="38">
        <f t="shared" si="2283"/>
        <v>27</v>
      </c>
      <c r="T211" s="37">
        <f t="shared" ref="T211:V211" si="2526">TRUNC($M211 * S211,2)</f>
        <v>5496.93</v>
      </c>
      <c r="U211" s="36"/>
      <c r="V211" s="38">
        <f t="shared" si="2526"/>
        <v>0</v>
      </c>
      <c r="W211" s="38"/>
      <c r="X211" s="38">
        <f t="shared" ref="X211" si="2527">TRUNC($M211 * W211,2)</f>
        <v>0</v>
      </c>
      <c r="Y211" s="38"/>
      <c r="Z211" s="38">
        <f t="shared" ref="Z211" si="2528">TRUNC($M211 * Y211,2)</f>
        <v>0</v>
      </c>
      <c r="AA211" s="38"/>
      <c r="AB211" s="38">
        <f t="shared" ref="AB211" si="2529">TRUNC($M211 * AA211,2)</f>
        <v>0</v>
      </c>
      <c r="AC211" s="38"/>
      <c r="AD211" s="38">
        <f t="shared" ref="AD211" si="2530">TRUNC($M211 * AC211,2)</f>
        <v>0</v>
      </c>
      <c r="AE211" s="38"/>
      <c r="AF211" s="38">
        <f t="shared" ref="AF211" si="2531">TRUNC($M211 * AE211,2)</f>
        <v>0</v>
      </c>
      <c r="AG211" s="38"/>
      <c r="AH211" s="38">
        <f t="shared" ref="AH211" si="2532">TRUNC($M211 * AG211,2)</f>
        <v>0</v>
      </c>
      <c r="AI211" s="38"/>
      <c r="AJ211" s="38">
        <f t="shared" ref="AJ211" si="2533">TRUNC($M211 * AI211,2)</f>
        <v>0</v>
      </c>
      <c r="AK211" s="38"/>
      <c r="AL211" s="38">
        <f t="shared" ref="AL211" si="2534">TRUNC($M211 * AK211,2)</f>
        <v>0</v>
      </c>
      <c r="AM211" s="38"/>
      <c r="AN211" s="38">
        <f t="shared" ref="AN211" si="2535">TRUNC($M211 * AM211,2)</f>
        <v>0</v>
      </c>
      <c r="AO211" s="38"/>
      <c r="AP211" s="38">
        <f t="shared" ref="AP211" si="2536">TRUNC($M211 * AO211,2)</f>
        <v>0</v>
      </c>
      <c r="AQ211" s="38"/>
      <c r="AR211" s="38">
        <f t="shared" ref="AR211" si="2537">TRUNC($M211 * AQ211,2)</f>
        <v>0</v>
      </c>
      <c r="AS211" s="38"/>
      <c r="AT211" s="38">
        <f t="shared" ref="AT211" si="2538">TRUNC($M211 * AS211,2)</f>
        <v>0</v>
      </c>
      <c r="AU211" s="38"/>
      <c r="AV211" s="38">
        <f t="shared" ref="AV211" si="2539">TRUNC($M211 * AU211,2)</f>
        <v>0</v>
      </c>
      <c r="AW211" s="38"/>
      <c r="AX211" s="37">
        <f t="shared" ref="AX211" si="2540">TRUNC($M211 * AW211,2)</f>
        <v>0</v>
      </c>
      <c r="AY211" s="36">
        <f t="shared" si="2299"/>
        <v>0</v>
      </c>
      <c r="AZ211" s="38">
        <f t="shared" ref="AZ211" si="2541">TRUNC($M211 * AY211,2)</f>
        <v>0</v>
      </c>
      <c r="BA211" s="38">
        <f t="shared" si="2301"/>
        <v>27</v>
      </c>
      <c r="BB211" s="37">
        <f t="shared" ref="BB211" si="2542">TRUNC($M211 * BA211,2)</f>
        <v>5496.93</v>
      </c>
    </row>
    <row r="212" spans="1:54" ht="26.1" customHeight="1" x14ac:dyDescent="0.25">
      <c r="A212" s="31" t="s">
        <v>1026</v>
      </c>
      <c r="B212" s="31" t="s">
        <v>468</v>
      </c>
      <c r="C212" s="31" t="s">
        <v>24</v>
      </c>
      <c r="D212" s="31" t="s">
        <v>469</v>
      </c>
      <c r="E212" s="32" t="s">
        <v>171</v>
      </c>
      <c r="F212" s="33">
        <v>7</v>
      </c>
      <c r="G212" s="34">
        <v>812.9</v>
      </c>
      <c r="H212" s="34">
        <f t="shared" si="2279"/>
        <v>748.47</v>
      </c>
      <c r="I212" s="34">
        <f t="shared" si="2280"/>
        <v>5239.29</v>
      </c>
      <c r="J212" s="34">
        <f>(TRUNC(H212 * L14,2) + H212)</f>
        <v>900.7</v>
      </c>
      <c r="K212" s="34">
        <f t="shared" si="2423"/>
        <v>6304.9</v>
      </c>
      <c r="L212" s="35">
        <f>K212 / L13</f>
        <v>2.1741034482758615E-3</v>
      </c>
      <c r="M212" s="36">
        <v>582.73</v>
      </c>
      <c r="N212" s="37">
        <f t="shared" si="2281"/>
        <v>4079.11</v>
      </c>
      <c r="O212" s="36"/>
      <c r="P212" s="38">
        <f t="shared" si="2282"/>
        <v>0</v>
      </c>
      <c r="Q212" s="38"/>
      <c r="R212" s="38">
        <f t="shared" si="2282"/>
        <v>0</v>
      </c>
      <c r="S212" s="38">
        <f t="shared" si="2283"/>
        <v>7</v>
      </c>
      <c r="T212" s="37">
        <f t="shared" ref="T212:V212" si="2543">TRUNC($M212 * S212,2)</f>
        <v>4079.11</v>
      </c>
      <c r="U212" s="36"/>
      <c r="V212" s="38">
        <f t="shared" si="2543"/>
        <v>0</v>
      </c>
      <c r="W212" s="38"/>
      <c r="X212" s="38">
        <f t="shared" ref="X212" si="2544">TRUNC($M212 * W212,2)</f>
        <v>0</v>
      </c>
      <c r="Y212" s="38"/>
      <c r="Z212" s="38">
        <f t="shared" ref="Z212" si="2545">TRUNC($M212 * Y212,2)</f>
        <v>0</v>
      </c>
      <c r="AA212" s="38"/>
      <c r="AB212" s="38">
        <f t="shared" ref="AB212" si="2546">TRUNC($M212 * AA212,2)</f>
        <v>0</v>
      </c>
      <c r="AC212" s="38"/>
      <c r="AD212" s="38">
        <f t="shared" ref="AD212" si="2547">TRUNC($M212 * AC212,2)</f>
        <v>0</v>
      </c>
      <c r="AE212" s="38"/>
      <c r="AF212" s="38">
        <f t="shared" ref="AF212" si="2548">TRUNC($M212 * AE212,2)</f>
        <v>0</v>
      </c>
      <c r="AG212" s="38"/>
      <c r="AH212" s="38">
        <f t="shared" ref="AH212" si="2549">TRUNC($M212 * AG212,2)</f>
        <v>0</v>
      </c>
      <c r="AI212" s="38"/>
      <c r="AJ212" s="38">
        <f t="shared" ref="AJ212" si="2550">TRUNC($M212 * AI212,2)</f>
        <v>0</v>
      </c>
      <c r="AK212" s="38"/>
      <c r="AL212" s="38">
        <f t="shared" ref="AL212" si="2551">TRUNC($M212 * AK212,2)</f>
        <v>0</v>
      </c>
      <c r="AM212" s="38"/>
      <c r="AN212" s="38">
        <f t="shared" ref="AN212" si="2552">TRUNC($M212 * AM212,2)</f>
        <v>0</v>
      </c>
      <c r="AO212" s="38"/>
      <c r="AP212" s="38">
        <f t="shared" ref="AP212" si="2553">TRUNC($M212 * AO212,2)</f>
        <v>0</v>
      </c>
      <c r="AQ212" s="38"/>
      <c r="AR212" s="38">
        <f t="shared" ref="AR212" si="2554">TRUNC($M212 * AQ212,2)</f>
        <v>0</v>
      </c>
      <c r="AS212" s="38"/>
      <c r="AT212" s="38">
        <f t="shared" ref="AT212" si="2555">TRUNC($M212 * AS212,2)</f>
        <v>0</v>
      </c>
      <c r="AU212" s="38"/>
      <c r="AV212" s="38">
        <f t="shared" ref="AV212" si="2556">TRUNC($M212 * AU212,2)</f>
        <v>0</v>
      </c>
      <c r="AW212" s="38"/>
      <c r="AX212" s="37">
        <f t="shared" ref="AX212" si="2557">TRUNC($M212 * AW212,2)</f>
        <v>0</v>
      </c>
      <c r="AY212" s="36">
        <f t="shared" si="2299"/>
        <v>0</v>
      </c>
      <c r="AZ212" s="38">
        <f t="shared" ref="AZ212" si="2558">TRUNC($M212 * AY212,2)</f>
        <v>0</v>
      </c>
      <c r="BA212" s="38">
        <f t="shared" si="2301"/>
        <v>7</v>
      </c>
      <c r="BB212" s="37">
        <f t="shared" ref="BB212" si="2559">TRUNC($M212 * BA212,2)</f>
        <v>4079.11</v>
      </c>
    </row>
    <row r="213" spans="1:54" ht="26.1" customHeight="1" x14ac:dyDescent="0.25">
      <c r="A213" s="31" t="s">
        <v>1027</v>
      </c>
      <c r="B213" s="31" t="s">
        <v>470</v>
      </c>
      <c r="C213" s="31" t="s">
        <v>24</v>
      </c>
      <c r="D213" s="31" t="s">
        <v>471</v>
      </c>
      <c r="E213" s="32" t="s">
        <v>171</v>
      </c>
      <c r="F213" s="33">
        <v>10</v>
      </c>
      <c r="G213" s="34">
        <v>221.66</v>
      </c>
      <c r="H213" s="34">
        <f t="shared" si="2279"/>
        <v>204.09</v>
      </c>
      <c r="I213" s="34">
        <f t="shared" si="2280"/>
        <v>2040.9</v>
      </c>
      <c r="J213" s="34">
        <f>(TRUNC(H213 * L14,2) + H213)</f>
        <v>245.6</v>
      </c>
      <c r="K213" s="34">
        <f t="shared" si="2423"/>
        <v>2456</v>
      </c>
      <c r="L213" s="35">
        <f>K213 / L13</f>
        <v>8.4689655172413782E-4</v>
      </c>
      <c r="M213" s="36">
        <v>160.36000000000001</v>
      </c>
      <c r="N213" s="37">
        <f t="shared" si="2281"/>
        <v>1603.6</v>
      </c>
      <c r="O213" s="36"/>
      <c r="P213" s="38">
        <f t="shared" si="2282"/>
        <v>0</v>
      </c>
      <c r="Q213" s="38"/>
      <c r="R213" s="38">
        <f t="shared" si="2282"/>
        <v>0</v>
      </c>
      <c r="S213" s="38">
        <f t="shared" si="2283"/>
        <v>10</v>
      </c>
      <c r="T213" s="37">
        <f t="shared" ref="T213:V213" si="2560">TRUNC($M213 * S213,2)</f>
        <v>1603.6</v>
      </c>
      <c r="U213" s="36"/>
      <c r="V213" s="38">
        <f t="shared" si="2560"/>
        <v>0</v>
      </c>
      <c r="W213" s="38"/>
      <c r="X213" s="38">
        <f t="shared" ref="X213" si="2561">TRUNC($M213 * W213,2)</f>
        <v>0</v>
      </c>
      <c r="Y213" s="38"/>
      <c r="Z213" s="38">
        <f t="shared" ref="Z213" si="2562">TRUNC($M213 * Y213,2)</f>
        <v>0</v>
      </c>
      <c r="AA213" s="38"/>
      <c r="AB213" s="38">
        <f t="shared" ref="AB213" si="2563">TRUNC($M213 * AA213,2)</f>
        <v>0</v>
      </c>
      <c r="AC213" s="38"/>
      <c r="AD213" s="38">
        <f t="shared" ref="AD213" si="2564">TRUNC($M213 * AC213,2)</f>
        <v>0</v>
      </c>
      <c r="AE213" s="38"/>
      <c r="AF213" s="38">
        <f t="shared" ref="AF213" si="2565">TRUNC($M213 * AE213,2)</f>
        <v>0</v>
      </c>
      <c r="AG213" s="38"/>
      <c r="AH213" s="38">
        <f t="shared" ref="AH213" si="2566">TRUNC($M213 * AG213,2)</f>
        <v>0</v>
      </c>
      <c r="AI213" s="38"/>
      <c r="AJ213" s="38">
        <f t="shared" ref="AJ213" si="2567">TRUNC($M213 * AI213,2)</f>
        <v>0</v>
      </c>
      <c r="AK213" s="38"/>
      <c r="AL213" s="38">
        <f t="shared" ref="AL213" si="2568">TRUNC($M213 * AK213,2)</f>
        <v>0</v>
      </c>
      <c r="AM213" s="38"/>
      <c r="AN213" s="38">
        <f t="shared" ref="AN213" si="2569">TRUNC($M213 * AM213,2)</f>
        <v>0</v>
      </c>
      <c r="AO213" s="38"/>
      <c r="AP213" s="38">
        <f t="shared" ref="AP213" si="2570">TRUNC($M213 * AO213,2)</f>
        <v>0</v>
      </c>
      <c r="AQ213" s="38"/>
      <c r="AR213" s="38">
        <f t="shared" ref="AR213" si="2571">TRUNC($M213 * AQ213,2)</f>
        <v>0</v>
      </c>
      <c r="AS213" s="38"/>
      <c r="AT213" s="38">
        <f t="shared" ref="AT213" si="2572">TRUNC($M213 * AS213,2)</f>
        <v>0</v>
      </c>
      <c r="AU213" s="38"/>
      <c r="AV213" s="38">
        <f t="shared" ref="AV213" si="2573">TRUNC($M213 * AU213,2)</f>
        <v>0</v>
      </c>
      <c r="AW213" s="38"/>
      <c r="AX213" s="37">
        <f t="shared" ref="AX213" si="2574">TRUNC($M213 * AW213,2)</f>
        <v>0</v>
      </c>
      <c r="AY213" s="36">
        <f t="shared" si="2299"/>
        <v>0</v>
      </c>
      <c r="AZ213" s="38">
        <f t="shared" ref="AZ213" si="2575">TRUNC($M213 * AY213,2)</f>
        <v>0</v>
      </c>
      <c r="BA213" s="38">
        <f t="shared" si="2301"/>
        <v>10</v>
      </c>
      <c r="BB213" s="37">
        <f t="shared" ref="BB213" si="2576">TRUNC($M213 * BA213,2)</f>
        <v>1603.6</v>
      </c>
    </row>
    <row r="214" spans="1:54" ht="26.1" customHeight="1" x14ac:dyDescent="0.25">
      <c r="A214" s="31" t="s">
        <v>1028</v>
      </c>
      <c r="B214" s="31" t="s">
        <v>351</v>
      </c>
      <c r="C214" s="31" t="s">
        <v>24</v>
      </c>
      <c r="D214" s="31" t="s">
        <v>352</v>
      </c>
      <c r="E214" s="32" t="s">
        <v>171</v>
      </c>
      <c r="F214" s="33">
        <v>10</v>
      </c>
      <c r="G214" s="34">
        <v>111.66</v>
      </c>
      <c r="H214" s="34">
        <f t="shared" si="2279"/>
        <v>102.8</v>
      </c>
      <c r="I214" s="34">
        <f t="shared" si="2280"/>
        <v>1028</v>
      </c>
      <c r="J214" s="34">
        <f>(TRUNC(H214 * L14,2) + H214)</f>
        <v>123.69999999999999</v>
      </c>
      <c r="K214" s="34">
        <f t="shared" si="2423"/>
        <v>1237</v>
      </c>
      <c r="L214" s="35">
        <f>K214 / L13</f>
        <v>4.2655172413793099E-4</v>
      </c>
      <c r="M214" s="36">
        <v>82.34</v>
      </c>
      <c r="N214" s="37">
        <f t="shared" si="2281"/>
        <v>823.4</v>
      </c>
      <c r="O214" s="36"/>
      <c r="P214" s="38">
        <f t="shared" si="2282"/>
        <v>0</v>
      </c>
      <c r="Q214" s="38"/>
      <c r="R214" s="38">
        <f t="shared" si="2282"/>
        <v>0</v>
      </c>
      <c r="S214" s="38">
        <f t="shared" si="2283"/>
        <v>10</v>
      </c>
      <c r="T214" s="37">
        <f t="shared" ref="T214:V214" si="2577">TRUNC($M214 * S214,2)</f>
        <v>823.4</v>
      </c>
      <c r="U214" s="36"/>
      <c r="V214" s="38">
        <f t="shared" si="2577"/>
        <v>0</v>
      </c>
      <c r="W214" s="38"/>
      <c r="X214" s="38">
        <f t="shared" ref="X214" si="2578">TRUNC($M214 * W214,2)</f>
        <v>0</v>
      </c>
      <c r="Y214" s="38"/>
      <c r="Z214" s="38">
        <f t="shared" ref="Z214" si="2579">TRUNC($M214 * Y214,2)</f>
        <v>0</v>
      </c>
      <c r="AA214" s="38"/>
      <c r="AB214" s="38">
        <f t="shared" ref="AB214" si="2580">TRUNC($M214 * AA214,2)</f>
        <v>0</v>
      </c>
      <c r="AC214" s="38"/>
      <c r="AD214" s="38">
        <f t="shared" ref="AD214" si="2581">TRUNC($M214 * AC214,2)</f>
        <v>0</v>
      </c>
      <c r="AE214" s="38"/>
      <c r="AF214" s="38">
        <f t="shared" ref="AF214" si="2582">TRUNC($M214 * AE214,2)</f>
        <v>0</v>
      </c>
      <c r="AG214" s="38"/>
      <c r="AH214" s="38">
        <f t="shared" ref="AH214" si="2583">TRUNC($M214 * AG214,2)</f>
        <v>0</v>
      </c>
      <c r="AI214" s="38"/>
      <c r="AJ214" s="38">
        <f t="shared" ref="AJ214" si="2584">TRUNC($M214 * AI214,2)</f>
        <v>0</v>
      </c>
      <c r="AK214" s="38"/>
      <c r="AL214" s="38">
        <f t="shared" ref="AL214" si="2585">TRUNC($M214 * AK214,2)</f>
        <v>0</v>
      </c>
      <c r="AM214" s="38"/>
      <c r="AN214" s="38">
        <f t="shared" ref="AN214" si="2586">TRUNC($M214 * AM214,2)</f>
        <v>0</v>
      </c>
      <c r="AO214" s="38"/>
      <c r="AP214" s="38">
        <f t="shared" ref="AP214" si="2587">TRUNC($M214 * AO214,2)</f>
        <v>0</v>
      </c>
      <c r="AQ214" s="38"/>
      <c r="AR214" s="38">
        <f t="shared" ref="AR214" si="2588">TRUNC($M214 * AQ214,2)</f>
        <v>0</v>
      </c>
      <c r="AS214" s="38"/>
      <c r="AT214" s="38">
        <f t="shared" ref="AT214" si="2589">TRUNC($M214 * AS214,2)</f>
        <v>0</v>
      </c>
      <c r="AU214" s="38"/>
      <c r="AV214" s="38">
        <f t="shared" ref="AV214" si="2590">TRUNC($M214 * AU214,2)</f>
        <v>0</v>
      </c>
      <c r="AW214" s="38"/>
      <c r="AX214" s="37">
        <f t="shared" ref="AX214" si="2591">TRUNC($M214 * AW214,2)</f>
        <v>0</v>
      </c>
      <c r="AY214" s="36">
        <f t="shared" si="2299"/>
        <v>0</v>
      </c>
      <c r="AZ214" s="38">
        <f t="shared" ref="AZ214" si="2592">TRUNC($M214 * AY214,2)</f>
        <v>0</v>
      </c>
      <c r="BA214" s="38">
        <f t="shared" si="2301"/>
        <v>10</v>
      </c>
      <c r="BB214" s="37">
        <f t="shared" ref="BB214" si="2593">TRUNC($M214 * BA214,2)</f>
        <v>823.4</v>
      </c>
    </row>
    <row r="215" spans="1:54" ht="39" customHeight="1" x14ac:dyDescent="0.25">
      <c r="A215" s="31" t="s">
        <v>1029</v>
      </c>
      <c r="B215" s="31" t="s">
        <v>472</v>
      </c>
      <c r="C215" s="31" t="s">
        <v>34</v>
      </c>
      <c r="D215" s="31" t="s">
        <v>473</v>
      </c>
      <c r="E215" s="32" t="s">
        <v>36</v>
      </c>
      <c r="F215" s="33">
        <v>5</v>
      </c>
      <c r="G215" s="34">
        <v>349.65</v>
      </c>
      <c r="H215" s="34">
        <f t="shared" si="2279"/>
        <v>321.93</v>
      </c>
      <c r="I215" s="34">
        <f t="shared" si="2280"/>
        <v>1609.65</v>
      </c>
      <c r="J215" s="34">
        <f>(TRUNC(H215 * L14,2) + H215)</f>
        <v>387.41</v>
      </c>
      <c r="K215" s="34">
        <f t="shared" si="2423"/>
        <v>1937.05</v>
      </c>
      <c r="L215" s="35">
        <f>K215 / L13</f>
        <v>6.6794827586206889E-4</v>
      </c>
      <c r="M215" s="36">
        <v>262.76</v>
      </c>
      <c r="N215" s="37">
        <f t="shared" si="2281"/>
        <v>1313.8</v>
      </c>
      <c r="O215" s="36"/>
      <c r="P215" s="38">
        <f t="shared" si="2282"/>
        <v>0</v>
      </c>
      <c r="Q215" s="38"/>
      <c r="R215" s="38">
        <f t="shared" si="2282"/>
        <v>0</v>
      </c>
      <c r="S215" s="38">
        <f t="shared" si="2283"/>
        <v>5</v>
      </c>
      <c r="T215" s="37">
        <f t="shared" ref="T215:V215" si="2594">TRUNC($M215 * S215,2)</f>
        <v>1313.8</v>
      </c>
      <c r="U215" s="36"/>
      <c r="V215" s="38">
        <f t="shared" si="2594"/>
        <v>0</v>
      </c>
      <c r="W215" s="38"/>
      <c r="X215" s="38">
        <f t="shared" ref="X215" si="2595">TRUNC($M215 * W215,2)</f>
        <v>0</v>
      </c>
      <c r="Y215" s="38"/>
      <c r="Z215" s="38">
        <f t="shared" ref="Z215" si="2596">TRUNC($M215 * Y215,2)</f>
        <v>0</v>
      </c>
      <c r="AA215" s="38"/>
      <c r="AB215" s="38">
        <f t="shared" ref="AB215" si="2597">TRUNC($M215 * AA215,2)</f>
        <v>0</v>
      </c>
      <c r="AC215" s="38"/>
      <c r="AD215" s="38">
        <f t="shared" ref="AD215" si="2598">TRUNC($M215 * AC215,2)</f>
        <v>0</v>
      </c>
      <c r="AE215" s="38"/>
      <c r="AF215" s="38">
        <f t="shared" ref="AF215" si="2599">TRUNC($M215 * AE215,2)</f>
        <v>0</v>
      </c>
      <c r="AG215" s="38"/>
      <c r="AH215" s="38">
        <f t="shared" ref="AH215" si="2600">TRUNC($M215 * AG215,2)</f>
        <v>0</v>
      </c>
      <c r="AI215" s="38"/>
      <c r="AJ215" s="38">
        <f t="shared" ref="AJ215" si="2601">TRUNC($M215 * AI215,2)</f>
        <v>0</v>
      </c>
      <c r="AK215" s="38"/>
      <c r="AL215" s="38">
        <f t="shared" ref="AL215" si="2602">TRUNC($M215 * AK215,2)</f>
        <v>0</v>
      </c>
      <c r="AM215" s="38"/>
      <c r="AN215" s="38">
        <f t="shared" ref="AN215" si="2603">TRUNC($M215 * AM215,2)</f>
        <v>0</v>
      </c>
      <c r="AO215" s="38"/>
      <c r="AP215" s="38">
        <f t="shared" ref="AP215" si="2604">TRUNC($M215 * AO215,2)</f>
        <v>0</v>
      </c>
      <c r="AQ215" s="38"/>
      <c r="AR215" s="38">
        <f t="shared" ref="AR215" si="2605">TRUNC($M215 * AQ215,2)</f>
        <v>0</v>
      </c>
      <c r="AS215" s="38"/>
      <c r="AT215" s="38">
        <f t="shared" ref="AT215" si="2606">TRUNC($M215 * AS215,2)</f>
        <v>0</v>
      </c>
      <c r="AU215" s="38"/>
      <c r="AV215" s="38">
        <f t="shared" ref="AV215" si="2607">TRUNC($M215 * AU215,2)</f>
        <v>0</v>
      </c>
      <c r="AW215" s="38"/>
      <c r="AX215" s="37">
        <f t="shared" ref="AX215" si="2608">TRUNC($M215 * AW215,2)</f>
        <v>0</v>
      </c>
      <c r="AY215" s="36">
        <f t="shared" si="2299"/>
        <v>0</v>
      </c>
      <c r="AZ215" s="38">
        <f t="shared" ref="AZ215" si="2609">TRUNC($M215 * AY215,2)</f>
        <v>0</v>
      </c>
      <c r="BA215" s="38">
        <f t="shared" si="2301"/>
        <v>5</v>
      </c>
      <c r="BB215" s="37">
        <f t="shared" ref="BB215" si="2610">TRUNC($M215 * BA215,2)</f>
        <v>1313.8</v>
      </c>
    </row>
    <row r="216" spans="1:54" ht="39" customHeight="1" x14ac:dyDescent="0.25">
      <c r="A216" s="31" t="s">
        <v>1030</v>
      </c>
      <c r="B216" s="31" t="s">
        <v>474</v>
      </c>
      <c r="C216" s="31" t="s">
        <v>446</v>
      </c>
      <c r="D216" s="31" t="s">
        <v>475</v>
      </c>
      <c r="E216" s="32" t="s">
        <v>448</v>
      </c>
      <c r="F216" s="33">
        <v>1</v>
      </c>
      <c r="G216" s="34">
        <v>132.97</v>
      </c>
      <c r="H216" s="34">
        <f t="shared" si="2279"/>
        <v>122.43</v>
      </c>
      <c r="I216" s="34">
        <f t="shared" si="2280"/>
        <v>122.43</v>
      </c>
      <c r="J216" s="34">
        <f>(TRUNC(H216 * L14,2) + H216)</f>
        <v>147.33000000000001</v>
      </c>
      <c r="K216" s="34">
        <f t="shared" si="2423"/>
        <v>147.33000000000001</v>
      </c>
      <c r="L216" s="35">
        <f>K216 / L13</f>
        <v>5.0803448275862063E-5</v>
      </c>
      <c r="M216" s="36">
        <v>132.33000000000001</v>
      </c>
      <c r="N216" s="37">
        <f t="shared" si="2281"/>
        <v>132.33000000000001</v>
      </c>
      <c r="O216" s="36"/>
      <c r="P216" s="38">
        <f t="shared" si="2282"/>
        <v>0</v>
      </c>
      <c r="Q216" s="38"/>
      <c r="R216" s="38">
        <f t="shared" si="2282"/>
        <v>0</v>
      </c>
      <c r="S216" s="38">
        <f t="shared" si="2283"/>
        <v>1</v>
      </c>
      <c r="T216" s="37">
        <f t="shared" ref="T216:V216" si="2611">TRUNC($M216 * S216,2)</f>
        <v>132.33000000000001</v>
      </c>
      <c r="U216" s="36"/>
      <c r="V216" s="38">
        <f t="shared" si="2611"/>
        <v>0</v>
      </c>
      <c r="W216" s="38"/>
      <c r="X216" s="38">
        <f t="shared" ref="X216" si="2612">TRUNC($M216 * W216,2)</f>
        <v>0</v>
      </c>
      <c r="Y216" s="38"/>
      <c r="Z216" s="38">
        <f t="shared" ref="Z216" si="2613">TRUNC($M216 * Y216,2)</f>
        <v>0</v>
      </c>
      <c r="AA216" s="38"/>
      <c r="AB216" s="38">
        <f t="shared" ref="AB216" si="2614">TRUNC($M216 * AA216,2)</f>
        <v>0</v>
      </c>
      <c r="AC216" s="38"/>
      <c r="AD216" s="38">
        <f t="shared" ref="AD216" si="2615">TRUNC($M216 * AC216,2)</f>
        <v>0</v>
      </c>
      <c r="AE216" s="38"/>
      <c r="AF216" s="38">
        <f t="shared" ref="AF216" si="2616">TRUNC($M216 * AE216,2)</f>
        <v>0</v>
      </c>
      <c r="AG216" s="38"/>
      <c r="AH216" s="38">
        <f t="shared" ref="AH216" si="2617">TRUNC($M216 * AG216,2)</f>
        <v>0</v>
      </c>
      <c r="AI216" s="38"/>
      <c r="AJ216" s="38">
        <f t="shared" ref="AJ216" si="2618">TRUNC($M216 * AI216,2)</f>
        <v>0</v>
      </c>
      <c r="AK216" s="38"/>
      <c r="AL216" s="38">
        <f t="shared" ref="AL216" si="2619">TRUNC($M216 * AK216,2)</f>
        <v>0</v>
      </c>
      <c r="AM216" s="38"/>
      <c r="AN216" s="38">
        <f t="shared" ref="AN216" si="2620">TRUNC($M216 * AM216,2)</f>
        <v>0</v>
      </c>
      <c r="AO216" s="38"/>
      <c r="AP216" s="38">
        <f t="shared" ref="AP216" si="2621">TRUNC($M216 * AO216,2)</f>
        <v>0</v>
      </c>
      <c r="AQ216" s="38"/>
      <c r="AR216" s="38">
        <f t="shared" ref="AR216" si="2622">TRUNC($M216 * AQ216,2)</f>
        <v>0</v>
      </c>
      <c r="AS216" s="38"/>
      <c r="AT216" s="38">
        <f t="shared" ref="AT216" si="2623">TRUNC($M216 * AS216,2)</f>
        <v>0</v>
      </c>
      <c r="AU216" s="38"/>
      <c r="AV216" s="38">
        <f t="shared" ref="AV216" si="2624">TRUNC($M216 * AU216,2)</f>
        <v>0</v>
      </c>
      <c r="AW216" s="38"/>
      <c r="AX216" s="37">
        <f t="shared" ref="AX216" si="2625">TRUNC($M216 * AW216,2)</f>
        <v>0</v>
      </c>
      <c r="AY216" s="36">
        <f t="shared" si="2299"/>
        <v>0</v>
      </c>
      <c r="AZ216" s="38">
        <f t="shared" ref="AZ216" si="2626">TRUNC($M216 * AY216,2)</f>
        <v>0</v>
      </c>
      <c r="BA216" s="38">
        <f t="shared" si="2301"/>
        <v>1</v>
      </c>
      <c r="BB216" s="37">
        <f t="shared" ref="BB216" si="2627">TRUNC($M216 * BA216,2)</f>
        <v>132.33000000000001</v>
      </c>
    </row>
    <row r="217" spans="1:54" ht="26.1" customHeight="1" x14ac:dyDescent="0.25">
      <c r="A217" s="31" t="s">
        <v>1031</v>
      </c>
      <c r="B217" s="31" t="s">
        <v>476</v>
      </c>
      <c r="C217" s="31" t="s">
        <v>34</v>
      </c>
      <c r="D217" s="31" t="s">
        <v>477</v>
      </c>
      <c r="E217" s="32" t="s">
        <v>36</v>
      </c>
      <c r="F217" s="33">
        <v>1</v>
      </c>
      <c r="G217" s="34">
        <v>1152.32</v>
      </c>
      <c r="H217" s="34">
        <f t="shared" si="2279"/>
        <v>1060.98</v>
      </c>
      <c r="I217" s="34">
        <f t="shared" si="2280"/>
        <v>1060.98</v>
      </c>
      <c r="J217" s="34">
        <f>(TRUNC(H217 * L14,2) + H217)</f>
        <v>1276.78</v>
      </c>
      <c r="K217" s="34">
        <f t="shared" si="2423"/>
        <v>1276.78</v>
      </c>
      <c r="L217" s="35">
        <f>K217 / L13</f>
        <v>4.4026896551724131E-4</v>
      </c>
      <c r="M217" s="36">
        <v>836.91</v>
      </c>
      <c r="N217" s="37">
        <f t="shared" si="2281"/>
        <v>836.91</v>
      </c>
      <c r="O217" s="36"/>
      <c r="P217" s="38">
        <f t="shared" si="2282"/>
        <v>0</v>
      </c>
      <c r="Q217" s="38"/>
      <c r="R217" s="38">
        <f t="shared" si="2282"/>
        <v>0</v>
      </c>
      <c r="S217" s="38">
        <f t="shared" si="2283"/>
        <v>1</v>
      </c>
      <c r="T217" s="37">
        <f t="shared" ref="T217:V217" si="2628">TRUNC($M217 * S217,2)</f>
        <v>836.91</v>
      </c>
      <c r="U217" s="36"/>
      <c r="V217" s="38">
        <f t="shared" si="2628"/>
        <v>0</v>
      </c>
      <c r="W217" s="38"/>
      <c r="X217" s="38">
        <f t="shared" ref="X217" si="2629">TRUNC($M217 * W217,2)</f>
        <v>0</v>
      </c>
      <c r="Y217" s="38"/>
      <c r="Z217" s="38">
        <f t="shared" ref="Z217" si="2630">TRUNC($M217 * Y217,2)</f>
        <v>0</v>
      </c>
      <c r="AA217" s="38"/>
      <c r="AB217" s="38">
        <f t="shared" ref="AB217" si="2631">TRUNC($M217 * AA217,2)</f>
        <v>0</v>
      </c>
      <c r="AC217" s="38"/>
      <c r="AD217" s="38">
        <f t="shared" ref="AD217" si="2632">TRUNC($M217 * AC217,2)</f>
        <v>0</v>
      </c>
      <c r="AE217" s="38"/>
      <c r="AF217" s="38">
        <f t="shared" ref="AF217" si="2633">TRUNC($M217 * AE217,2)</f>
        <v>0</v>
      </c>
      <c r="AG217" s="38"/>
      <c r="AH217" s="38">
        <f t="shared" ref="AH217" si="2634">TRUNC($M217 * AG217,2)</f>
        <v>0</v>
      </c>
      <c r="AI217" s="38"/>
      <c r="AJ217" s="38">
        <f t="shared" ref="AJ217" si="2635">TRUNC($M217 * AI217,2)</f>
        <v>0</v>
      </c>
      <c r="AK217" s="38"/>
      <c r="AL217" s="38">
        <f t="shared" ref="AL217" si="2636">TRUNC($M217 * AK217,2)</f>
        <v>0</v>
      </c>
      <c r="AM217" s="38"/>
      <c r="AN217" s="38">
        <f t="shared" ref="AN217" si="2637">TRUNC($M217 * AM217,2)</f>
        <v>0</v>
      </c>
      <c r="AO217" s="38"/>
      <c r="AP217" s="38">
        <f t="shared" ref="AP217" si="2638">TRUNC($M217 * AO217,2)</f>
        <v>0</v>
      </c>
      <c r="AQ217" s="38"/>
      <c r="AR217" s="38">
        <f t="shared" ref="AR217" si="2639">TRUNC($M217 * AQ217,2)</f>
        <v>0</v>
      </c>
      <c r="AS217" s="38"/>
      <c r="AT217" s="38">
        <f t="shared" ref="AT217" si="2640">TRUNC($M217 * AS217,2)</f>
        <v>0</v>
      </c>
      <c r="AU217" s="38"/>
      <c r="AV217" s="38">
        <f t="shared" ref="AV217" si="2641">TRUNC($M217 * AU217,2)</f>
        <v>0</v>
      </c>
      <c r="AW217" s="38"/>
      <c r="AX217" s="37">
        <f t="shared" ref="AX217" si="2642">TRUNC($M217 * AW217,2)</f>
        <v>0</v>
      </c>
      <c r="AY217" s="36">
        <f t="shared" si="2299"/>
        <v>0</v>
      </c>
      <c r="AZ217" s="38">
        <f t="shared" ref="AZ217" si="2643">TRUNC($M217 * AY217,2)</f>
        <v>0</v>
      </c>
      <c r="BA217" s="38">
        <f t="shared" si="2301"/>
        <v>1</v>
      </c>
      <c r="BB217" s="37">
        <f t="shared" ref="BB217" si="2644">TRUNC($M217 * BA217,2)</f>
        <v>836.91</v>
      </c>
    </row>
    <row r="218" spans="1:54" ht="24" customHeight="1" x14ac:dyDescent="0.25">
      <c r="A218" s="31" t="s">
        <v>1032</v>
      </c>
      <c r="B218" s="31" t="s">
        <v>478</v>
      </c>
      <c r="C218" s="31" t="s">
        <v>42</v>
      </c>
      <c r="D218" s="31" t="s">
        <v>479</v>
      </c>
      <c r="E218" s="32" t="s">
        <v>171</v>
      </c>
      <c r="F218" s="33">
        <v>21</v>
      </c>
      <c r="G218" s="34">
        <v>125.14</v>
      </c>
      <c r="H218" s="34">
        <f t="shared" si="2279"/>
        <v>115.22</v>
      </c>
      <c r="I218" s="34">
        <f t="shared" si="2280"/>
        <v>2419.62</v>
      </c>
      <c r="J218" s="34">
        <f>(TRUNC(H218 * L14,2) + H218)</f>
        <v>138.65</v>
      </c>
      <c r="K218" s="34">
        <f t="shared" si="2423"/>
        <v>2911.65</v>
      </c>
      <c r="L218" s="35">
        <f>K218 / L13</f>
        <v>1.0040172413793103E-3</v>
      </c>
      <c r="M218" s="36">
        <v>26.13</v>
      </c>
      <c r="N218" s="37">
        <f t="shared" si="2281"/>
        <v>548.73</v>
      </c>
      <c r="O218" s="36"/>
      <c r="P218" s="38">
        <f t="shared" si="2282"/>
        <v>0</v>
      </c>
      <c r="Q218" s="38"/>
      <c r="R218" s="38">
        <f t="shared" si="2282"/>
        <v>0</v>
      </c>
      <c r="S218" s="38">
        <f t="shared" si="2283"/>
        <v>21</v>
      </c>
      <c r="T218" s="37">
        <f t="shared" ref="T218:V218" si="2645">TRUNC($M218 * S218,2)</f>
        <v>548.73</v>
      </c>
      <c r="U218" s="36"/>
      <c r="V218" s="38">
        <f t="shared" si="2645"/>
        <v>0</v>
      </c>
      <c r="W218" s="38"/>
      <c r="X218" s="38">
        <f t="shared" ref="X218" si="2646">TRUNC($M218 * W218,2)</f>
        <v>0</v>
      </c>
      <c r="Y218" s="38"/>
      <c r="Z218" s="38">
        <f t="shared" ref="Z218" si="2647">TRUNC($M218 * Y218,2)</f>
        <v>0</v>
      </c>
      <c r="AA218" s="38"/>
      <c r="AB218" s="38">
        <f t="shared" ref="AB218" si="2648">TRUNC($M218 * AA218,2)</f>
        <v>0</v>
      </c>
      <c r="AC218" s="38"/>
      <c r="AD218" s="38">
        <f t="shared" ref="AD218" si="2649">TRUNC($M218 * AC218,2)</f>
        <v>0</v>
      </c>
      <c r="AE218" s="38"/>
      <c r="AF218" s="38">
        <f t="shared" ref="AF218" si="2650">TRUNC($M218 * AE218,2)</f>
        <v>0</v>
      </c>
      <c r="AG218" s="38"/>
      <c r="AH218" s="38">
        <f t="shared" ref="AH218" si="2651">TRUNC($M218 * AG218,2)</f>
        <v>0</v>
      </c>
      <c r="AI218" s="38"/>
      <c r="AJ218" s="38">
        <f t="shared" ref="AJ218" si="2652">TRUNC($M218 * AI218,2)</f>
        <v>0</v>
      </c>
      <c r="AK218" s="38"/>
      <c r="AL218" s="38">
        <f t="shared" ref="AL218" si="2653">TRUNC($M218 * AK218,2)</f>
        <v>0</v>
      </c>
      <c r="AM218" s="38"/>
      <c r="AN218" s="38">
        <f t="shared" ref="AN218" si="2654">TRUNC($M218 * AM218,2)</f>
        <v>0</v>
      </c>
      <c r="AO218" s="38"/>
      <c r="AP218" s="38">
        <f t="shared" ref="AP218" si="2655">TRUNC($M218 * AO218,2)</f>
        <v>0</v>
      </c>
      <c r="AQ218" s="38"/>
      <c r="AR218" s="38">
        <f t="shared" ref="AR218" si="2656">TRUNC($M218 * AQ218,2)</f>
        <v>0</v>
      </c>
      <c r="AS218" s="38"/>
      <c r="AT218" s="38">
        <f t="shared" ref="AT218" si="2657">TRUNC($M218 * AS218,2)</f>
        <v>0</v>
      </c>
      <c r="AU218" s="38"/>
      <c r="AV218" s="38">
        <f t="shared" ref="AV218" si="2658">TRUNC($M218 * AU218,2)</f>
        <v>0</v>
      </c>
      <c r="AW218" s="38"/>
      <c r="AX218" s="37">
        <f t="shared" ref="AX218" si="2659">TRUNC($M218 * AW218,2)</f>
        <v>0</v>
      </c>
      <c r="AY218" s="36">
        <f t="shared" si="2299"/>
        <v>0</v>
      </c>
      <c r="AZ218" s="38">
        <f t="shared" ref="AZ218" si="2660">TRUNC($M218 * AY218,2)</f>
        <v>0</v>
      </c>
      <c r="BA218" s="38">
        <f t="shared" si="2301"/>
        <v>21</v>
      </c>
      <c r="BB218" s="37">
        <f t="shared" ref="BB218" si="2661">TRUNC($M218 * BA218,2)</f>
        <v>548.73</v>
      </c>
    </row>
    <row r="219" spans="1:54" ht="65.099999999999994" customHeight="1" x14ac:dyDescent="0.25">
      <c r="A219" s="31" t="s">
        <v>1033</v>
      </c>
      <c r="B219" s="31" t="s">
        <v>480</v>
      </c>
      <c r="C219" s="31" t="s">
        <v>316</v>
      </c>
      <c r="D219" s="31" t="s">
        <v>481</v>
      </c>
      <c r="E219" s="32" t="s">
        <v>36</v>
      </c>
      <c r="F219" s="33">
        <v>6</v>
      </c>
      <c r="G219" s="34">
        <v>449.47</v>
      </c>
      <c r="H219" s="34">
        <f t="shared" si="2279"/>
        <v>413.84</v>
      </c>
      <c r="I219" s="34">
        <f t="shared" si="2280"/>
        <v>2483.04</v>
      </c>
      <c r="J219" s="34">
        <f>(TRUNC(H219 * L14,2) + H219)</f>
        <v>498.01</v>
      </c>
      <c r="K219" s="34">
        <f t="shared" si="2423"/>
        <v>2988.06</v>
      </c>
      <c r="L219" s="35">
        <f>K219 / L13</f>
        <v>1.0303655172413792E-3</v>
      </c>
      <c r="M219" s="36">
        <v>329.45</v>
      </c>
      <c r="N219" s="37">
        <f t="shared" si="2281"/>
        <v>1976.7</v>
      </c>
      <c r="O219" s="36"/>
      <c r="P219" s="38">
        <f t="shared" si="2282"/>
        <v>0</v>
      </c>
      <c r="Q219" s="38"/>
      <c r="R219" s="38">
        <f t="shared" si="2282"/>
        <v>0</v>
      </c>
      <c r="S219" s="38">
        <f t="shared" si="2283"/>
        <v>6</v>
      </c>
      <c r="T219" s="37">
        <f t="shared" ref="T219:V219" si="2662">TRUNC($M219 * S219,2)</f>
        <v>1976.7</v>
      </c>
      <c r="U219" s="36"/>
      <c r="V219" s="38">
        <f t="shared" si="2662"/>
        <v>0</v>
      </c>
      <c r="W219" s="38"/>
      <c r="X219" s="38">
        <f t="shared" ref="X219" si="2663">TRUNC($M219 * W219,2)</f>
        <v>0</v>
      </c>
      <c r="Y219" s="38"/>
      <c r="Z219" s="38">
        <f t="shared" ref="Z219" si="2664">TRUNC($M219 * Y219,2)</f>
        <v>0</v>
      </c>
      <c r="AA219" s="38"/>
      <c r="AB219" s="38">
        <f t="shared" ref="AB219" si="2665">TRUNC($M219 * AA219,2)</f>
        <v>0</v>
      </c>
      <c r="AC219" s="38"/>
      <c r="AD219" s="38">
        <f t="shared" ref="AD219" si="2666">TRUNC($M219 * AC219,2)</f>
        <v>0</v>
      </c>
      <c r="AE219" s="38"/>
      <c r="AF219" s="38">
        <f t="shared" ref="AF219" si="2667">TRUNC($M219 * AE219,2)</f>
        <v>0</v>
      </c>
      <c r="AG219" s="38"/>
      <c r="AH219" s="38">
        <f t="shared" ref="AH219" si="2668">TRUNC($M219 * AG219,2)</f>
        <v>0</v>
      </c>
      <c r="AI219" s="38"/>
      <c r="AJ219" s="38">
        <f t="shared" ref="AJ219" si="2669">TRUNC($M219 * AI219,2)</f>
        <v>0</v>
      </c>
      <c r="AK219" s="38"/>
      <c r="AL219" s="38">
        <f t="shared" ref="AL219" si="2670">TRUNC($M219 * AK219,2)</f>
        <v>0</v>
      </c>
      <c r="AM219" s="38"/>
      <c r="AN219" s="38">
        <f t="shared" ref="AN219" si="2671">TRUNC($M219 * AM219,2)</f>
        <v>0</v>
      </c>
      <c r="AO219" s="38"/>
      <c r="AP219" s="38">
        <f t="shared" ref="AP219" si="2672">TRUNC($M219 * AO219,2)</f>
        <v>0</v>
      </c>
      <c r="AQ219" s="38"/>
      <c r="AR219" s="38">
        <f t="shared" ref="AR219" si="2673">TRUNC($M219 * AQ219,2)</f>
        <v>0</v>
      </c>
      <c r="AS219" s="38"/>
      <c r="AT219" s="38">
        <f t="shared" ref="AT219" si="2674">TRUNC($M219 * AS219,2)</f>
        <v>0</v>
      </c>
      <c r="AU219" s="38"/>
      <c r="AV219" s="38">
        <f t="shared" ref="AV219" si="2675">TRUNC($M219 * AU219,2)</f>
        <v>0</v>
      </c>
      <c r="AW219" s="38"/>
      <c r="AX219" s="37">
        <f t="shared" ref="AX219" si="2676">TRUNC($M219 * AW219,2)</f>
        <v>0</v>
      </c>
      <c r="AY219" s="36">
        <f t="shared" si="2299"/>
        <v>0</v>
      </c>
      <c r="AZ219" s="38">
        <f t="shared" ref="AZ219" si="2677">TRUNC($M219 * AY219,2)</f>
        <v>0</v>
      </c>
      <c r="BA219" s="38">
        <f t="shared" si="2301"/>
        <v>6</v>
      </c>
      <c r="BB219" s="37">
        <f t="shared" ref="BB219" si="2678">TRUNC($M219 * BA219,2)</f>
        <v>1976.7</v>
      </c>
    </row>
    <row r="220" spans="1:54" ht="24" customHeight="1" x14ac:dyDescent="0.25">
      <c r="A220" s="4">
        <v>15</v>
      </c>
      <c r="B220" s="4" t="s">
        <v>12</v>
      </c>
      <c r="C220" s="4"/>
      <c r="D220" s="4" t="s">
        <v>482</v>
      </c>
      <c r="E220" s="5"/>
      <c r="F220" s="14"/>
      <c r="G220" s="6"/>
      <c r="H220" s="6"/>
      <c r="I220" s="7">
        <f>SUM(I221,I261,I296,I318)</f>
        <v>118200.47999999998</v>
      </c>
      <c r="J220" s="7"/>
      <c r="K220" s="7">
        <f>SUM(K221,K261,K296,K318)</f>
        <v>142229.98000000001</v>
      </c>
      <c r="L220" s="22">
        <f>K220 / L13</f>
        <v>4.9044820689655169E-2</v>
      </c>
      <c r="M220" s="25"/>
      <c r="N220" s="26">
        <f>SUM(N221,N261,N296,N318)</f>
        <v>102116.37999999999</v>
      </c>
      <c r="O220" s="25"/>
      <c r="P220" s="30">
        <f>SUM(P221,P261,P296,P318)</f>
        <v>0</v>
      </c>
      <c r="Q220" s="30"/>
      <c r="R220" s="30">
        <f>SUM(R221,R261,R296,R318)</f>
        <v>0</v>
      </c>
      <c r="S220" s="30"/>
      <c r="T220" s="26">
        <f>SUM(T221,T261,T296,T318)</f>
        <v>102116.37999999999</v>
      </c>
      <c r="U220" s="25"/>
      <c r="V220" s="30">
        <f>SUM(V221,V261,V296,V318)</f>
        <v>0</v>
      </c>
      <c r="W220" s="30"/>
      <c r="X220" s="30">
        <f>SUM(X221,X261,X296,X318)</f>
        <v>0</v>
      </c>
      <c r="Y220" s="30"/>
      <c r="Z220" s="30">
        <f>SUM(Z221,Z261,Z296,Z318)</f>
        <v>0</v>
      </c>
      <c r="AA220" s="30"/>
      <c r="AB220" s="30">
        <f>SUM(AB221,AB261,AB296,AB318)</f>
        <v>0</v>
      </c>
      <c r="AC220" s="30"/>
      <c r="AD220" s="30">
        <f>SUM(AD221,AD261,AD296,AD318)</f>
        <v>0</v>
      </c>
      <c r="AE220" s="30"/>
      <c r="AF220" s="30">
        <f>SUM(AF221,AF261,AF296,AF318)</f>
        <v>0</v>
      </c>
      <c r="AG220" s="30"/>
      <c r="AH220" s="30">
        <f>SUM(AH221,AH261,AH296,AH318)</f>
        <v>0</v>
      </c>
      <c r="AI220" s="30"/>
      <c r="AJ220" s="30">
        <f>SUM(AJ221,AJ261,AJ296,AJ318)</f>
        <v>0</v>
      </c>
      <c r="AK220" s="30"/>
      <c r="AL220" s="30">
        <f>SUM(AL221,AL261,AL296,AL318)</f>
        <v>0</v>
      </c>
      <c r="AM220" s="30"/>
      <c r="AN220" s="30">
        <f>SUM(AN221,AN261,AN296,AN318)</f>
        <v>0</v>
      </c>
      <c r="AO220" s="30"/>
      <c r="AP220" s="30">
        <f>SUM(AP221,AP261,AP296,AP318)</f>
        <v>0</v>
      </c>
      <c r="AQ220" s="30"/>
      <c r="AR220" s="30">
        <f>SUM(AR221,AR261,AR296,AR318)</f>
        <v>0</v>
      </c>
      <c r="AS220" s="30"/>
      <c r="AT220" s="30">
        <f>SUM(AT221,AT261,AT296,AT318)</f>
        <v>0</v>
      </c>
      <c r="AU220" s="30"/>
      <c r="AV220" s="30">
        <f>SUM(AV221,AV261,AV296,AV318)</f>
        <v>0</v>
      </c>
      <c r="AW220" s="30"/>
      <c r="AX220" s="26">
        <f>SUM(AX221,AX261,AX296,AX318)</f>
        <v>0</v>
      </c>
      <c r="AY220" s="25"/>
      <c r="AZ220" s="30">
        <f>SUM(AZ221,AZ261,AZ296,AZ318)</f>
        <v>0</v>
      </c>
      <c r="BA220" s="30"/>
      <c r="BB220" s="26">
        <f>SUM(BB221,BB261,BB296,BB318)</f>
        <v>102116.37999999999</v>
      </c>
    </row>
    <row r="221" spans="1:54" ht="24" customHeight="1" x14ac:dyDescent="0.25">
      <c r="A221" s="4" t="s">
        <v>1034</v>
      </c>
      <c r="B221" s="4" t="s">
        <v>12</v>
      </c>
      <c r="C221" s="4"/>
      <c r="D221" s="4" t="s">
        <v>483</v>
      </c>
      <c r="E221" s="5"/>
      <c r="F221" s="14"/>
      <c r="G221" s="6"/>
      <c r="H221" s="6"/>
      <c r="I221" s="7">
        <f>SUM(I222:I260)</f>
        <v>40001.540000000008</v>
      </c>
      <c r="J221" s="7"/>
      <c r="K221" s="7">
        <f>SUM(K222:K260)</f>
        <v>48134.1</v>
      </c>
      <c r="L221" s="22">
        <f>K221 / L13</f>
        <v>1.6597965517241377E-2</v>
      </c>
      <c r="M221" s="25"/>
      <c r="N221" s="26">
        <f>SUM(N222:N260)</f>
        <v>25006.659999999996</v>
      </c>
      <c r="O221" s="25"/>
      <c r="P221" s="30">
        <f>SUM(P222:P260)</f>
        <v>0</v>
      </c>
      <c r="Q221" s="30"/>
      <c r="R221" s="30">
        <f>SUM(R222:R260)</f>
        <v>0</v>
      </c>
      <c r="S221" s="30"/>
      <c r="T221" s="26">
        <f>SUM(T222:T260)</f>
        <v>25006.659999999996</v>
      </c>
      <c r="U221" s="25"/>
      <c r="V221" s="30">
        <f>SUM(V222:V260)</f>
        <v>0</v>
      </c>
      <c r="W221" s="30"/>
      <c r="X221" s="30">
        <f>SUM(X222:X260)</f>
        <v>0</v>
      </c>
      <c r="Y221" s="30"/>
      <c r="Z221" s="30">
        <f>SUM(Z222:Z260)</f>
        <v>0</v>
      </c>
      <c r="AA221" s="30"/>
      <c r="AB221" s="30">
        <f>SUM(AB222:AB260)</f>
        <v>0</v>
      </c>
      <c r="AC221" s="30"/>
      <c r="AD221" s="30">
        <f>SUM(AD222:AD260)</f>
        <v>0</v>
      </c>
      <c r="AE221" s="30"/>
      <c r="AF221" s="30">
        <f>SUM(AF222:AF260)</f>
        <v>0</v>
      </c>
      <c r="AG221" s="30"/>
      <c r="AH221" s="30">
        <f>SUM(AH222:AH260)</f>
        <v>0</v>
      </c>
      <c r="AI221" s="30"/>
      <c r="AJ221" s="30">
        <f>SUM(AJ222:AJ260)</f>
        <v>0</v>
      </c>
      <c r="AK221" s="30"/>
      <c r="AL221" s="30">
        <f>SUM(AL222:AL260)</f>
        <v>0</v>
      </c>
      <c r="AM221" s="30"/>
      <c r="AN221" s="30">
        <f>SUM(AN222:AN260)</f>
        <v>0</v>
      </c>
      <c r="AO221" s="30"/>
      <c r="AP221" s="30">
        <f>SUM(AP222:AP260)</f>
        <v>0</v>
      </c>
      <c r="AQ221" s="30"/>
      <c r="AR221" s="30">
        <f>SUM(AR222:AR260)</f>
        <v>0</v>
      </c>
      <c r="AS221" s="30"/>
      <c r="AT221" s="30">
        <f>SUM(AT222:AT260)</f>
        <v>0</v>
      </c>
      <c r="AU221" s="30"/>
      <c r="AV221" s="30">
        <f>SUM(AV222:AV260)</f>
        <v>0</v>
      </c>
      <c r="AW221" s="30"/>
      <c r="AX221" s="26">
        <f>SUM(AX222:AX260)</f>
        <v>0</v>
      </c>
      <c r="AY221" s="25"/>
      <c r="AZ221" s="30">
        <f>SUM(AZ222:AZ260)</f>
        <v>0</v>
      </c>
      <c r="BA221" s="30"/>
      <c r="BB221" s="26">
        <f>SUM(BB222:BB260)</f>
        <v>25006.659999999996</v>
      </c>
    </row>
    <row r="222" spans="1:54" ht="26.1" customHeight="1" x14ac:dyDescent="0.25">
      <c r="A222" s="31" t="s">
        <v>1035</v>
      </c>
      <c r="B222" s="31" t="s">
        <v>484</v>
      </c>
      <c r="C222" s="31" t="s">
        <v>245</v>
      </c>
      <c r="D222" s="31" t="s">
        <v>485</v>
      </c>
      <c r="E222" s="32" t="s">
        <v>36</v>
      </c>
      <c r="F222" s="33">
        <v>1</v>
      </c>
      <c r="G222" s="34">
        <v>74.81</v>
      </c>
      <c r="H222" s="34">
        <f t="shared" ref="H222:H285" si="2679">TRUNC(G222*$L$1,2)</f>
        <v>68.88</v>
      </c>
      <c r="I222" s="34">
        <f t="shared" ref="I222:I285" si="2680">TRUNC(F222 * H222,2)</f>
        <v>68.88</v>
      </c>
      <c r="J222" s="34">
        <f>(TRUNC(H222 * L14,2) + H222)</f>
        <v>82.89</v>
      </c>
      <c r="K222" s="34">
        <f t="shared" ref="K222:K260" si="2681">TRUNC(F222 * J222,2)</f>
        <v>82.89</v>
      </c>
      <c r="L222" s="35">
        <f>K222 / L13</f>
        <v>2.8582758620689652E-5</v>
      </c>
      <c r="M222" s="36">
        <v>15.62</v>
      </c>
      <c r="N222" s="37">
        <f t="shared" ref="N222:N285" si="2682">TRUNC(F222 * M222,2)</f>
        <v>15.62</v>
      </c>
      <c r="O222" s="36"/>
      <c r="P222" s="38">
        <f t="shared" ref="P222:R285" si="2683">TRUNC($M222 * O222,2)</f>
        <v>0</v>
      </c>
      <c r="Q222" s="38"/>
      <c r="R222" s="38">
        <f t="shared" si="2683"/>
        <v>0</v>
      </c>
      <c r="S222" s="38">
        <f t="shared" ref="S222:S285" si="2684">F222+O222-Q222</f>
        <v>1</v>
      </c>
      <c r="T222" s="37">
        <f t="shared" ref="T222:V222" si="2685">TRUNC($M222 * S222,2)</f>
        <v>15.62</v>
      </c>
      <c r="U222" s="36"/>
      <c r="V222" s="38">
        <f t="shared" si="2685"/>
        <v>0</v>
      </c>
      <c r="W222" s="38"/>
      <c r="X222" s="38">
        <f t="shared" ref="X222" si="2686">TRUNC($M222 * W222,2)</f>
        <v>0</v>
      </c>
      <c r="Y222" s="38"/>
      <c r="Z222" s="38">
        <f t="shared" ref="Z222" si="2687">TRUNC($M222 * Y222,2)</f>
        <v>0</v>
      </c>
      <c r="AA222" s="38"/>
      <c r="AB222" s="38">
        <f t="shared" ref="AB222" si="2688">TRUNC($M222 * AA222,2)</f>
        <v>0</v>
      </c>
      <c r="AC222" s="38"/>
      <c r="AD222" s="38">
        <f t="shared" ref="AD222" si="2689">TRUNC($M222 * AC222,2)</f>
        <v>0</v>
      </c>
      <c r="AE222" s="38"/>
      <c r="AF222" s="38">
        <f t="shared" ref="AF222" si="2690">TRUNC($M222 * AE222,2)</f>
        <v>0</v>
      </c>
      <c r="AG222" s="38"/>
      <c r="AH222" s="38">
        <f t="shared" ref="AH222" si="2691">TRUNC($M222 * AG222,2)</f>
        <v>0</v>
      </c>
      <c r="AI222" s="38"/>
      <c r="AJ222" s="38">
        <f t="shared" ref="AJ222" si="2692">TRUNC($M222 * AI222,2)</f>
        <v>0</v>
      </c>
      <c r="AK222" s="38"/>
      <c r="AL222" s="38">
        <f t="shared" ref="AL222" si="2693">TRUNC($M222 * AK222,2)</f>
        <v>0</v>
      </c>
      <c r="AM222" s="38"/>
      <c r="AN222" s="38">
        <f t="shared" ref="AN222" si="2694">TRUNC($M222 * AM222,2)</f>
        <v>0</v>
      </c>
      <c r="AO222" s="38"/>
      <c r="AP222" s="38">
        <f t="shared" ref="AP222" si="2695">TRUNC($M222 * AO222,2)</f>
        <v>0</v>
      </c>
      <c r="AQ222" s="38"/>
      <c r="AR222" s="38">
        <f t="shared" ref="AR222" si="2696">TRUNC($M222 * AQ222,2)</f>
        <v>0</v>
      </c>
      <c r="AS222" s="38"/>
      <c r="AT222" s="38">
        <f t="shared" ref="AT222" si="2697">TRUNC($M222 * AS222,2)</f>
        <v>0</v>
      </c>
      <c r="AU222" s="38"/>
      <c r="AV222" s="38">
        <f t="shared" ref="AV222" si="2698">TRUNC($M222 * AU222,2)</f>
        <v>0</v>
      </c>
      <c r="AW222" s="38"/>
      <c r="AX222" s="37">
        <f t="shared" ref="AX222" si="2699">TRUNC($M222 * AW222,2)</f>
        <v>0</v>
      </c>
      <c r="AY222" s="36">
        <f t="shared" ref="AY222:AY285" si="2700">SUM(U222,W222,Y222,AA222,AC222,AE222,AG222,AI222,AK222,AM222,AO222,AQ222,AS222,AU222,AW222)</f>
        <v>0</v>
      </c>
      <c r="AZ222" s="38">
        <f t="shared" ref="AZ222" si="2701">TRUNC($M222 * AY222,2)</f>
        <v>0</v>
      </c>
      <c r="BA222" s="38">
        <f t="shared" ref="BA222:BA285" si="2702">S222-AY222</f>
        <v>1</v>
      </c>
      <c r="BB222" s="37">
        <f t="shared" ref="BB222" si="2703">TRUNC($M222 * BA222,2)</f>
        <v>15.62</v>
      </c>
    </row>
    <row r="223" spans="1:54" ht="26.1" customHeight="1" x14ac:dyDescent="0.25">
      <c r="A223" s="31" t="s">
        <v>1036</v>
      </c>
      <c r="B223" s="31" t="s">
        <v>486</v>
      </c>
      <c r="C223" s="31" t="s">
        <v>34</v>
      </c>
      <c r="D223" s="31" t="s">
        <v>487</v>
      </c>
      <c r="E223" s="32" t="s">
        <v>36</v>
      </c>
      <c r="F223" s="33">
        <v>1</v>
      </c>
      <c r="G223" s="34">
        <v>79.41</v>
      </c>
      <c r="H223" s="34">
        <f t="shared" si="2679"/>
        <v>73.11</v>
      </c>
      <c r="I223" s="34">
        <f t="shared" si="2680"/>
        <v>73.11</v>
      </c>
      <c r="J223" s="34">
        <f>(TRUNC(H223 * L14,2) + H223)</f>
        <v>87.98</v>
      </c>
      <c r="K223" s="34">
        <f t="shared" si="2681"/>
        <v>87.98</v>
      </c>
      <c r="L223" s="35">
        <f>K223 / L13</f>
        <v>3.0337931034482756E-5</v>
      </c>
      <c r="M223" s="36">
        <v>62.28</v>
      </c>
      <c r="N223" s="37">
        <f t="shared" si="2682"/>
        <v>62.28</v>
      </c>
      <c r="O223" s="36"/>
      <c r="P223" s="38">
        <f t="shared" si="2683"/>
        <v>0</v>
      </c>
      <c r="Q223" s="38"/>
      <c r="R223" s="38">
        <f t="shared" si="2683"/>
        <v>0</v>
      </c>
      <c r="S223" s="38">
        <f t="shared" si="2684"/>
        <v>1</v>
      </c>
      <c r="T223" s="37">
        <f t="shared" ref="T223:V223" si="2704">TRUNC($M223 * S223,2)</f>
        <v>62.28</v>
      </c>
      <c r="U223" s="36"/>
      <c r="V223" s="38">
        <f t="shared" si="2704"/>
        <v>0</v>
      </c>
      <c r="W223" s="38"/>
      <c r="X223" s="38">
        <f t="shared" ref="X223" si="2705">TRUNC($M223 * W223,2)</f>
        <v>0</v>
      </c>
      <c r="Y223" s="38"/>
      <c r="Z223" s="38">
        <f t="shared" ref="Z223" si="2706">TRUNC($M223 * Y223,2)</f>
        <v>0</v>
      </c>
      <c r="AA223" s="38"/>
      <c r="AB223" s="38">
        <f t="shared" ref="AB223" si="2707">TRUNC($M223 * AA223,2)</f>
        <v>0</v>
      </c>
      <c r="AC223" s="38"/>
      <c r="AD223" s="38">
        <f t="shared" ref="AD223" si="2708">TRUNC($M223 * AC223,2)</f>
        <v>0</v>
      </c>
      <c r="AE223" s="38"/>
      <c r="AF223" s="38">
        <f t="shared" ref="AF223" si="2709">TRUNC($M223 * AE223,2)</f>
        <v>0</v>
      </c>
      <c r="AG223" s="38"/>
      <c r="AH223" s="38">
        <f t="shared" ref="AH223" si="2710">TRUNC($M223 * AG223,2)</f>
        <v>0</v>
      </c>
      <c r="AI223" s="38"/>
      <c r="AJ223" s="38">
        <f t="shared" ref="AJ223" si="2711">TRUNC($M223 * AI223,2)</f>
        <v>0</v>
      </c>
      <c r="AK223" s="38"/>
      <c r="AL223" s="38">
        <f t="shared" ref="AL223" si="2712">TRUNC($M223 * AK223,2)</f>
        <v>0</v>
      </c>
      <c r="AM223" s="38"/>
      <c r="AN223" s="38">
        <f t="shared" ref="AN223" si="2713">TRUNC($M223 * AM223,2)</f>
        <v>0</v>
      </c>
      <c r="AO223" s="38"/>
      <c r="AP223" s="38">
        <f t="shared" ref="AP223" si="2714">TRUNC($M223 * AO223,2)</f>
        <v>0</v>
      </c>
      <c r="AQ223" s="38"/>
      <c r="AR223" s="38">
        <f t="shared" ref="AR223" si="2715">TRUNC($M223 * AQ223,2)</f>
        <v>0</v>
      </c>
      <c r="AS223" s="38"/>
      <c r="AT223" s="38">
        <f t="shared" ref="AT223" si="2716">TRUNC($M223 * AS223,2)</f>
        <v>0</v>
      </c>
      <c r="AU223" s="38"/>
      <c r="AV223" s="38">
        <f t="shared" ref="AV223" si="2717">TRUNC($M223 * AU223,2)</f>
        <v>0</v>
      </c>
      <c r="AW223" s="38"/>
      <c r="AX223" s="37">
        <f t="shared" ref="AX223" si="2718">TRUNC($M223 * AW223,2)</f>
        <v>0</v>
      </c>
      <c r="AY223" s="36">
        <f t="shared" si="2700"/>
        <v>0</v>
      </c>
      <c r="AZ223" s="38">
        <f t="shared" ref="AZ223" si="2719">TRUNC($M223 * AY223,2)</f>
        <v>0</v>
      </c>
      <c r="BA223" s="38">
        <f t="shared" si="2702"/>
        <v>1</v>
      </c>
      <c r="BB223" s="37">
        <f t="shared" ref="BB223" si="2720">TRUNC($M223 * BA223,2)</f>
        <v>62.28</v>
      </c>
    </row>
    <row r="224" spans="1:54" ht="51.9" customHeight="1" x14ac:dyDescent="0.25">
      <c r="A224" s="31" t="s">
        <v>1037</v>
      </c>
      <c r="B224" s="31" t="s">
        <v>488</v>
      </c>
      <c r="C224" s="31" t="s">
        <v>34</v>
      </c>
      <c r="D224" s="31" t="s">
        <v>489</v>
      </c>
      <c r="E224" s="32" t="s">
        <v>36</v>
      </c>
      <c r="F224" s="33">
        <v>1</v>
      </c>
      <c r="G224" s="34">
        <v>47.32</v>
      </c>
      <c r="H224" s="34">
        <f t="shared" si="2679"/>
        <v>43.56</v>
      </c>
      <c r="I224" s="34">
        <f t="shared" si="2680"/>
        <v>43.56</v>
      </c>
      <c r="J224" s="34">
        <f>(TRUNC(H224 * L14,2) + H224)</f>
        <v>52.42</v>
      </c>
      <c r="K224" s="34">
        <f t="shared" si="2681"/>
        <v>52.42</v>
      </c>
      <c r="L224" s="35">
        <f>K224 / L13</f>
        <v>1.8075862068965514E-5</v>
      </c>
      <c r="M224" s="36">
        <v>37.82</v>
      </c>
      <c r="N224" s="37">
        <f t="shared" si="2682"/>
        <v>37.82</v>
      </c>
      <c r="O224" s="36"/>
      <c r="P224" s="38">
        <f t="shared" si="2683"/>
        <v>0</v>
      </c>
      <c r="Q224" s="38"/>
      <c r="R224" s="38">
        <f t="shared" si="2683"/>
        <v>0</v>
      </c>
      <c r="S224" s="38">
        <f t="shared" si="2684"/>
        <v>1</v>
      </c>
      <c r="T224" s="37">
        <f t="shared" ref="T224:V224" si="2721">TRUNC($M224 * S224,2)</f>
        <v>37.82</v>
      </c>
      <c r="U224" s="36"/>
      <c r="V224" s="38">
        <f t="shared" si="2721"/>
        <v>0</v>
      </c>
      <c r="W224" s="38"/>
      <c r="X224" s="38">
        <f t="shared" ref="X224" si="2722">TRUNC($M224 * W224,2)</f>
        <v>0</v>
      </c>
      <c r="Y224" s="38"/>
      <c r="Z224" s="38">
        <f t="shared" ref="Z224" si="2723">TRUNC($M224 * Y224,2)</f>
        <v>0</v>
      </c>
      <c r="AA224" s="38"/>
      <c r="AB224" s="38">
        <f t="shared" ref="AB224" si="2724">TRUNC($M224 * AA224,2)</f>
        <v>0</v>
      </c>
      <c r="AC224" s="38"/>
      <c r="AD224" s="38">
        <f t="shared" ref="AD224" si="2725">TRUNC($M224 * AC224,2)</f>
        <v>0</v>
      </c>
      <c r="AE224" s="38"/>
      <c r="AF224" s="38">
        <f t="shared" ref="AF224" si="2726">TRUNC($M224 * AE224,2)</f>
        <v>0</v>
      </c>
      <c r="AG224" s="38"/>
      <c r="AH224" s="38">
        <f t="shared" ref="AH224" si="2727">TRUNC($M224 * AG224,2)</f>
        <v>0</v>
      </c>
      <c r="AI224" s="38"/>
      <c r="AJ224" s="38">
        <f t="shared" ref="AJ224" si="2728">TRUNC($M224 * AI224,2)</f>
        <v>0</v>
      </c>
      <c r="AK224" s="38"/>
      <c r="AL224" s="38">
        <f t="shared" ref="AL224" si="2729">TRUNC($M224 * AK224,2)</f>
        <v>0</v>
      </c>
      <c r="AM224" s="38"/>
      <c r="AN224" s="38">
        <f t="shared" ref="AN224" si="2730">TRUNC($M224 * AM224,2)</f>
        <v>0</v>
      </c>
      <c r="AO224" s="38"/>
      <c r="AP224" s="38">
        <f t="shared" ref="AP224" si="2731">TRUNC($M224 * AO224,2)</f>
        <v>0</v>
      </c>
      <c r="AQ224" s="38"/>
      <c r="AR224" s="38">
        <f t="shared" ref="AR224" si="2732">TRUNC($M224 * AQ224,2)</f>
        <v>0</v>
      </c>
      <c r="AS224" s="38"/>
      <c r="AT224" s="38">
        <f t="shared" ref="AT224" si="2733">TRUNC($M224 * AS224,2)</f>
        <v>0</v>
      </c>
      <c r="AU224" s="38"/>
      <c r="AV224" s="38">
        <f t="shared" ref="AV224" si="2734">TRUNC($M224 * AU224,2)</f>
        <v>0</v>
      </c>
      <c r="AW224" s="38"/>
      <c r="AX224" s="37">
        <f t="shared" ref="AX224" si="2735">TRUNC($M224 * AW224,2)</f>
        <v>0</v>
      </c>
      <c r="AY224" s="36">
        <f t="shared" si="2700"/>
        <v>0</v>
      </c>
      <c r="AZ224" s="38">
        <f t="shared" ref="AZ224" si="2736">TRUNC($M224 * AY224,2)</f>
        <v>0</v>
      </c>
      <c r="BA224" s="38">
        <f t="shared" si="2702"/>
        <v>1</v>
      </c>
      <c r="BB224" s="37">
        <f t="shared" ref="BB224" si="2737">TRUNC($M224 * BA224,2)</f>
        <v>37.82</v>
      </c>
    </row>
    <row r="225" spans="1:54" ht="65.099999999999994" customHeight="1" x14ac:dyDescent="0.25">
      <c r="A225" s="31" t="s">
        <v>1038</v>
      </c>
      <c r="B225" s="31" t="s">
        <v>490</v>
      </c>
      <c r="C225" s="31" t="s">
        <v>34</v>
      </c>
      <c r="D225" s="31" t="s">
        <v>491</v>
      </c>
      <c r="E225" s="32" t="s">
        <v>36</v>
      </c>
      <c r="F225" s="33">
        <v>3</v>
      </c>
      <c r="G225" s="34">
        <v>11.21</v>
      </c>
      <c r="H225" s="34">
        <f t="shared" si="2679"/>
        <v>10.32</v>
      </c>
      <c r="I225" s="34">
        <f t="shared" si="2680"/>
        <v>30.96</v>
      </c>
      <c r="J225" s="34">
        <f>(TRUNC(H225 * L14,2) + H225)</f>
        <v>12.41</v>
      </c>
      <c r="K225" s="34">
        <f t="shared" si="2681"/>
        <v>37.229999999999997</v>
      </c>
      <c r="L225" s="35">
        <f>K225 / L13</f>
        <v>1.2837931034482755E-5</v>
      </c>
      <c r="M225" s="36">
        <v>10.039999999999999</v>
      </c>
      <c r="N225" s="37">
        <f t="shared" si="2682"/>
        <v>30.12</v>
      </c>
      <c r="O225" s="36"/>
      <c r="P225" s="38">
        <f t="shared" si="2683"/>
        <v>0</v>
      </c>
      <c r="Q225" s="38"/>
      <c r="R225" s="38">
        <f t="shared" si="2683"/>
        <v>0</v>
      </c>
      <c r="S225" s="38">
        <f t="shared" si="2684"/>
        <v>3</v>
      </c>
      <c r="T225" s="37">
        <f t="shared" ref="T225:V225" si="2738">TRUNC($M225 * S225,2)</f>
        <v>30.12</v>
      </c>
      <c r="U225" s="36"/>
      <c r="V225" s="38">
        <f t="shared" si="2738"/>
        <v>0</v>
      </c>
      <c r="W225" s="38"/>
      <c r="X225" s="38">
        <f t="shared" ref="X225" si="2739">TRUNC($M225 * W225,2)</f>
        <v>0</v>
      </c>
      <c r="Y225" s="38"/>
      <c r="Z225" s="38">
        <f t="shared" ref="Z225" si="2740">TRUNC($M225 * Y225,2)</f>
        <v>0</v>
      </c>
      <c r="AA225" s="38"/>
      <c r="AB225" s="38">
        <f t="shared" ref="AB225" si="2741">TRUNC($M225 * AA225,2)</f>
        <v>0</v>
      </c>
      <c r="AC225" s="38"/>
      <c r="AD225" s="38">
        <f t="shared" ref="AD225" si="2742">TRUNC($M225 * AC225,2)</f>
        <v>0</v>
      </c>
      <c r="AE225" s="38"/>
      <c r="AF225" s="38">
        <f t="shared" ref="AF225" si="2743">TRUNC($M225 * AE225,2)</f>
        <v>0</v>
      </c>
      <c r="AG225" s="38"/>
      <c r="AH225" s="38">
        <f t="shared" ref="AH225" si="2744">TRUNC($M225 * AG225,2)</f>
        <v>0</v>
      </c>
      <c r="AI225" s="38"/>
      <c r="AJ225" s="38">
        <f t="shared" ref="AJ225" si="2745">TRUNC($M225 * AI225,2)</f>
        <v>0</v>
      </c>
      <c r="AK225" s="38"/>
      <c r="AL225" s="38">
        <f t="shared" ref="AL225" si="2746">TRUNC($M225 * AK225,2)</f>
        <v>0</v>
      </c>
      <c r="AM225" s="38"/>
      <c r="AN225" s="38">
        <f t="shared" ref="AN225" si="2747">TRUNC($M225 * AM225,2)</f>
        <v>0</v>
      </c>
      <c r="AO225" s="38"/>
      <c r="AP225" s="38">
        <f t="shared" ref="AP225" si="2748">TRUNC($M225 * AO225,2)</f>
        <v>0</v>
      </c>
      <c r="AQ225" s="38"/>
      <c r="AR225" s="38">
        <f t="shared" ref="AR225" si="2749">TRUNC($M225 * AQ225,2)</f>
        <v>0</v>
      </c>
      <c r="AS225" s="38"/>
      <c r="AT225" s="38">
        <f t="shared" ref="AT225" si="2750">TRUNC($M225 * AS225,2)</f>
        <v>0</v>
      </c>
      <c r="AU225" s="38"/>
      <c r="AV225" s="38">
        <f t="shared" ref="AV225" si="2751">TRUNC($M225 * AU225,2)</f>
        <v>0</v>
      </c>
      <c r="AW225" s="38"/>
      <c r="AX225" s="37">
        <f t="shared" ref="AX225" si="2752">TRUNC($M225 * AW225,2)</f>
        <v>0</v>
      </c>
      <c r="AY225" s="36">
        <f t="shared" si="2700"/>
        <v>0</v>
      </c>
      <c r="AZ225" s="38">
        <f t="shared" ref="AZ225" si="2753">TRUNC($M225 * AY225,2)</f>
        <v>0</v>
      </c>
      <c r="BA225" s="38">
        <f t="shared" si="2702"/>
        <v>3</v>
      </c>
      <c r="BB225" s="37">
        <f t="shared" ref="BB225" si="2754">TRUNC($M225 * BA225,2)</f>
        <v>30.12</v>
      </c>
    </row>
    <row r="226" spans="1:54" ht="39" customHeight="1" x14ac:dyDescent="0.25">
      <c r="A226" s="31" t="s">
        <v>1039</v>
      </c>
      <c r="B226" s="31" t="s">
        <v>492</v>
      </c>
      <c r="C226" s="31" t="s">
        <v>34</v>
      </c>
      <c r="D226" s="31" t="s">
        <v>493</v>
      </c>
      <c r="E226" s="32" t="s">
        <v>36</v>
      </c>
      <c r="F226" s="33">
        <v>18</v>
      </c>
      <c r="G226" s="34">
        <v>28.96</v>
      </c>
      <c r="H226" s="34">
        <f t="shared" si="2679"/>
        <v>26.66</v>
      </c>
      <c r="I226" s="34">
        <f t="shared" si="2680"/>
        <v>479.88</v>
      </c>
      <c r="J226" s="34">
        <f>(TRUNC(H226 * L14,2) + H226)</f>
        <v>32.08</v>
      </c>
      <c r="K226" s="34">
        <f t="shared" si="2681"/>
        <v>577.44000000000005</v>
      </c>
      <c r="L226" s="35">
        <f>K226 / L13</f>
        <v>1.9911724137931032E-4</v>
      </c>
      <c r="M226" s="36">
        <v>25.76</v>
      </c>
      <c r="N226" s="37">
        <f t="shared" si="2682"/>
        <v>463.68</v>
      </c>
      <c r="O226" s="36"/>
      <c r="P226" s="38">
        <f t="shared" si="2683"/>
        <v>0</v>
      </c>
      <c r="Q226" s="38"/>
      <c r="R226" s="38">
        <f t="shared" si="2683"/>
        <v>0</v>
      </c>
      <c r="S226" s="38">
        <f t="shared" si="2684"/>
        <v>18</v>
      </c>
      <c r="T226" s="37">
        <f t="shared" ref="T226:V226" si="2755">TRUNC($M226 * S226,2)</f>
        <v>463.68</v>
      </c>
      <c r="U226" s="36"/>
      <c r="V226" s="38">
        <f t="shared" si="2755"/>
        <v>0</v>
      </c>
      <c r="W226" s="38"/>
      <c r="X226" s="38">
        <f t="shared" ref="X226" si="2756">TRUNC($M226 * W226,2)</f>
        <v>0</v>
      </c>
      <c r="Y226" s="38"/>
      <c r="Z226" s="38">
        <f t="shared" ref="Z226" si="2757">TRUNC($M226 * Y226,2)</f>
        <v>0</v>
      </c>
      <c r="AA226" s="38"/>
      <c r="AB226" s="38">
        <f t="shared" ref="AB226" si="2758">TRUNC($M226 * AA226,2)</f>
        <v>0</v>
      </c>
      <c r="AC226" s="38"/>
      <c r="AD226" s="38">
        <f t="shared" ref="AD226" si="2759">TRUNC($M226 * AC226,2)</f>
        <v>0</v>
      </c>
      <c r="AE226" s="38"/>
      <c r="AF226" s="38">
        <f t="shared" ref="AF226" si="2760">TRUNC($M226 * AE226,2)</f>
        <v>0</v>
      </c>
      <c r="AG226" s="38"/>
      <c r="AH226" s="38">
        <f t="shared" ref="AH226" si="2761">TRUNC($M226 * AG226,2)</f>
        <v>0</v>
      </c>
      <c r="AI226" s="38"/>
      <c r="AJ226" s="38">
        <f t="shared" ref="AJ226" si="2762">TRUNC($M226 * AI226,2)</f>
        <v>0</v>
      </c>
      <c r="AK226" s="38"/>
      <c r="AL226" s="38">
        <f t="shared" ref="AL226" si="2763">TRUNC($M226 * AK226,2)</f>
        <v>0</v>
      </c>
      <c r="AM226" s="38"/>
      <c r="AN226" s="38">
        <f t="shared" ref="AN226" si="2764">TRUNC($M226 * AM226,2)</f>
        <v>0</v>
      </c>
      <c r="AO226" s="38"/>
      <c r="AP226" s="38">
        <f t="shared" ref="AP226" si="2765">TRUNC($M226 * AO226,2)</f>
        <v>0</v>
      </c>
      <c r="AQ226" s="38"/>
      <c r="AR226" s="38">
        <f t="shared" ref="AR226" si="2766">TRUNC($M226 * AQ226,2)</f>
        <v>0</v>
      </c>
      <c r="AS226" s="38"/>
      <c r="AT226" s="38">
        <f t="shared" ref="AT226" si="2767">TRUNC($M226 * AS226,2)</f>
        <v>0</v>
      </c>
      <c r="AU226" s="38"/>
      <c r="AV226" s="38">
        <f t="shared" ref="AV226" si="2768">TRUNC($M226 * AU226,2)</f>
        <v>0</v>
      </c>
      <c r="AW226" s="38"/>
      <c r="AX226" s="37">
        <f t="shared" ref="AX226" si="2769">TRUNC($M226 * AW226,2)</f>
        <v>0</v>
      </c>
      <c r="AY226" s="36">
        <f t="shared" si="2700"/>
        <v>0</v>
      </c>
      <c r="AZ226" s="38">
        <f t="shared" ref="AZ226" si="2770">TRUNC($M226 * AY226,2)</f>
        <v>0</v>
      </c>
      <c r="BA226" s="38">
        <f t="shared" si="2702"/>
        <v>18</v>
      </c>
      <c r="BB226" s="37">
        <f t="shared" ref="BB226" si="2771">TRUNC($M226 * BA226,2)</f>
        <v>463.68</v>
      </c>
    </row>
    <row r="227" spans="1:54" ht="39" customHeight="1" x14ac:dyDescent="0.25">
      <c r="A227" s="31" t="s">
        <v>1040</v>
      </c>
      <c r="B227" s="31" t="s">
        <v>494</v>
      </c>
      <c r="C227" s="31" t="s">
        <v>34</v>
      </c>
      <c r="D227" s="31" t="s">
        <v>495</v>
      </c>
      <c r="E227" s="32" t="s">
        <v>218</v>
      </c>
      <c r="F227" s="33">
        <v>100.9</v>
      </c>
      <c r="G227" s="34">
        <v>31.96</v>
      </c>
      <c r="H227" s="34">
        <f t="shared" si="2679"/>
        <v>29.42</v>
      </c>
      <c r="I227" s="34">
        <f t="shared" si="2680"/>
        <v>2968.47</v>
      </c>
      <c r="J227" s="34">
        <f>(TRUNC(H227 * L14,2) + H227)</f>
        <v>35.400000000000006</v>
      </c>
      <c r="K227" s="34">
        <f t="shared" si="2681"/>
        <v>3571.86</v>
      </c>
      <c r="L227" s="35">
        <f>K227 / L13</f>
        <v>1.2316758620689653E-3</v>
      </c>
      <c r="M227" s="36">
        <v>28.74</v>
      </c>
      <c r="N227" s="37">
        <f t="shared" si="2682"/>
        <v>2899.86</v>
      </c>
      <c r="O227" s="36"/>
      <c r="P227" s="38">
        <f t="shared" si="2683"/>
        <v>0</v>
      </c>
      <c r="Q227" s="38"/>
      <c r="R227" s="38">
        <f t="shared" si="2683"/>
        <v>0</v>
      </c>
      <c r="S227" s="38">
        <f t="shared" si="2684"/>
        <v>100.9</v>
      </c>
      <c r="T227" s="37">
        <f t="shared" ref="T227:V227" si="2772">TRUNC($M227 * S227,2)</f>
        <v>2899.86</v>
      </c>
      <c r="U227" s="36"/>
      <c r="V227" s="38">
        <f t="shared" si="2772"/>
        <v>0</v>
      </c>
      <c r="W227" s="38"/>
      <c r="X227" s="38">
        <f t="shared" ref="X227" si="2773">TRUNC($M227 * W227,2)</f>
        <v>0</v>
      </c>
      <c r="Y227" s="38"/>
      <c r="Z227" s="38">
        <f t="shared" ref="Z227" si="2774">TRUNC($M227 * Y227,2)</f>
        <v>0</v>
      </c>
      <c r="AA227" s="38"/>
      <c r="AB227" s="38">
        <f t="shared" ref="AB227" si="2775">TRUNC($M227 * AA227,2)</f>
        <v>0</v>
      </c>
      <c r="AC227" s="38"/>
      <c r="AD227" s="38">
        <f t="shared" ref="AD227" si="2776">TRUNC($M227 * AC227,2)</f>
        <v>0</v>
      </c>
      <c r="AE227" s="38"/>
      <c r="AF227" s="38">
        <f t="shared" ref="AF227" si="2777">TRUNC($M227 * AE227,2)</f>
        <v>0</v>
      </c>
      <c r="AG227" s="38"/>
      <c r="AH227" s="38">
        <f t="shared" ref="AH227" si="2778">TRUNC($M227 * AG227,2)</f>
        <v>0</v>
      </c>
      <c r="AI227" s="38"/>
      <c r="AJ227" s="38">
        <f t="shared" ref="AJ227" si="2779">TRUNC($M227 * AI227,2)</f>
        <v>0</v>
      </c>
      <c r="AK227" s="38"/>
      <c r="AL227" s="38">
        <f t="shared" ref="AL227" si="2780">TRUNC($M227 * AK227,2)</f>
        <v>0</v>
      </c>
      <c r="AM227" s="38"/>
      <c r="AN227" s="38">
        <f t="shared" ref="AN227" si="2781">TRUNC($M227 * AM227,2)</f>
        <v>0</v>
      </c>
      <c r="AO227" s="38"/>
      <c r="AP227" s="38">
        <f t="shared" ref="AP227" si="2782">TRUNC($M227 * AO227,2)</f>
        <v>0</v>
      </c>
      <c r="AQ227" s="38"/>
      <c r="AR227" s="38">
        <f t="shared" ref="AR227" si="2783">TRUNC($M227 * AQ227,2)</f>
        <v>0</v>
      </c>
      <c r="AS227" s="38"/>
      <c r="AT227" s="38">
        <f t="shared" ref="AT227" si="2784">TRUNC($M227 * AS227,2)</f>
        <v>0</v>
      </c>
      <c r="AU227" s="38"/>
      <c r="AV227" s="38">
        <f t="shared" ref="AV227" si="2785">TRUNC($M227 * AU227,2)</f>
        <v>0</v>
      </c>
      <c r="AW227" s="38"/>
      <c r="AX227" s="37">
        <f t="shared" ref="AX227" si="2786">TRUNC($M227 * AW227,2)</f>
        <v>0</v>
      </c>
      <c r="AY227" s="36">
        <f t="shared" si="2700"/>
        <v>0</v>
      </c>
      <c r="AZ227" s="38">
        <f t="shared" ref="AZ227" si="2787">TRUNC($M227 * AY227,2)</f>
        <v>0</v>
      </c>
      <c r="BA227" s="38">
        <f t="shared" si="2702"/>
        <v>100.9</v>
      </c>
      <c r="BB227" s="37">
        <f t="shared" ref="BB227" si="2788">TRUNC($M227 * BA227,2)</f>
        <v>2899.86</v>
      </c>
    </row>
    <row r="228" spans="1:54" ht="39" customHeight="1" x14ac:dyDescent="0.25">
      <c r="A228" s="31" t="s">
        <v>1041</v>
      </c>
      <c r="B228" s="31" t="s">
        <v>496</v>
      </c>
      <c r="C228" s="31" t="s">
        <v>34</v>
      </c>
      <c r="D228" s="31" t="s">
        <v>497</v>
      </c>
      <c r="E228" s="32" t="s">
        <v>36</v>
      </c>
      <c r="F228" s="33">
        <v>5</v>
      </c>
      <c r="G228" s="34">
        <v>32.950000000000003</v>
      </c>
      <c r="H228" s="34">
        <f t="shared" si="2679"/>
        <v>30.33</v>
      </c>
      <c r="I228" s="34">
        <f t="shared" si="2680"/>
        <v>151.65</v>
      </c>
      <c r="J228" s="34">
        <f>(TRUNC(H228 * L14,2) + H228)</f>
        <v>36.489999999999995</v>
      </c>
      <c r="K228" s="34">
        <f t="shared" si="2681"/>
        <v>182.45</v>
      </c>
      <c r="L228" s="35">
        <f>K228 / L13</f>
        <v>6.2913793103448257E-5</v>
      </c>
      <c r="M228" s="36">
        <v>29.19</v>
      </c>
      <c r="N228" s="37">
        <f t="shared" si="2682"/>
        <v>145.94999999999999</v>
      </c>
      <c r="O228" s="36"/>
      <c r="P228" s="38">
        <f t="shared" si="2683"/>
        <v>0</v>
      </c>
      <c r="Q228" s="38"/>
      <c r="R228" s="38">
        <f t="shared" si="2683"/>
        <v>0</v>
      </c>
      <c r="S228" s="38">
        <f t="shared" si="2684"/>
        <v>5</v>
      </c>
      <c r="T228" s="37">
        <f t="shared" ref="T228:V228" si="2789">TRUNC($M228 * S228,2)</f>
        <v>145.94999999999999</v>
      </c>
      <c r="U228" s="36"/>
      <c r="V228" s="38">
        <f t="shared" si="2789"/>
        <v>0</v>
      </c>
      <c r="W228" s="38"/>
      <c r="X228" s="38">
        <f t="shared" ref="X228" si="2790">TRUNC($M228 * W228,2)</f>
        <v>0</v>
      </c>
      <c r="Y228" s="38"/>
      <c r="Z228" s="38">
        <f t="shared" ref="Z228" si="2791">TRUNC($M228 * Y228,2)</f>
        <v>0</v>
      </c>
      <c r="AA228" s="38"/>
      <c r="AB228" s="38">
        <f t="shared" ref="AB228" si="2792">TRUNC($M228 * AA228,2)</f>
        <v>0</v>
      </c>
      <c r="AC228" s="38"/>
      <c r="AD228" s="38">
        <f t="shared" ref="AD228" si="2793">TRUNC($M228 * AC228,2)</f>
        <v>0</v>
      </c>
      <c r="AE228" s="38"/>
      <c r="AF228" s="38">
        <f t="shared" ref="AF228" si="2794">TRUNC($M228 * AE228,2)</f>
        <v>0</v>
      </c>
      <c r="AG228" s="38"/>
      <c r="AH228" s="38">
        <f t="shared" ref="AH228" si="2795">TRUNC($M228 * AG228,2)</f>
        <v>0</v>
      </c>
      <c r="AI228" s="38"/>
      <c r="AJ228" s="38">
        <f t="shared" ref="AJ228" si="2796">TRUNC($M228 * AI228,2)</f>
        <v>0</v>
      </c>
      <c r="AK228" s="38"/>
      <c r="AL228" s="38">
        <f t="shared" ref="AL228" si="2797">TRUNC($M228 * AK228,2)</f>
        <v>0</v>
      </c>
      <c r="AM228" s="38"/>
      <c r="AN228" s="38">
        <f t="shared" ref="AN228" si="2798">TRUNC($M228 * AM228,2)</f>
        <v>0</v>
      </c>
      <c r="AO228" s="38"/>
      <c r="AP228" s="38">
        <f t="shared" ref="AP228" si="2799">TRUNC($M228 * AO228,2)</f>
        <v>0</v>
      </c>
      <c r="AQ228" s="38"/>
      <c r="AR228" s="38">
        <f t="shared" ref="AR228" si="2800">TRUNC($M228 * AQ228,2)</f>
        <v>0</v>
      </c>
      <c r="AS228" s="38"/>
      <c r="AT228" s="38">
        <f t="shared" ref="AT228" si="2801">TRUNC($M228 * AS228,2)</f>
        <v>0</v>
      </c>
      <c r="AU228" s="38"/>
      <c r="AV228" s="38">
        <f t="shared" ref="AV228" si="2802">TRUNC($M228 * AU228,2)</f>
        <v>0</v>
      </c>
      <c r="AW228" s="38"/>
      <c r="AX228" s="37">
        <f t="shared" ref="AX228" si="2803">TRUNC($M228 * AW228,2)</f>
        <v>0</v>
      </c>
      <c r="AY228" s="36">
        <f t="shared" si="2700"/>
        <v>0</v>
      </c>
      <c r="AZ228" s="38">
        <f t="shared" ref="AZ228" si="2804">TRUNC($M228 * AY228,2)</f>
        <v>0</v>
      </c>
      <c r="BA228" s="38">
        <f t="shared" si="2702"/>
        <v>5</v>
      </c>
      <c r="BB228" s="37">
        <f t="shared" ref="BB228" si="2805">TRUNC($M228 * BA228,2)</f>
        <v>145.94999999999999</v>
      </c>
    </row>
    <row r="229" spans="1:54" ht="24" customHeight="1" x14ac:dyDescent="0.25">
      <c r="A229" s="31" t="s">
        <v>1042</v>
      </c>
      <c r="B229" s="31" t="s">
        <v>498</v>
      </c>
      <c r="C229" s="31" t="s">
        <v>19</v>
      </c>
      <c r="D229" s="31" t="s">
        <v>499</v>
      </c>
      <c r="E229" s="32" t="s">
        <v>500</v>
      </c>
      <c r="F229" s="33">
        <v>1</v>
      </c>
      <c r="G229" s="34">
        <v>1039.17</v>
      </c>
      <c r="H229" s="34">
        <f t="shared" si="2679"/>
        <v>956.8</v>
      </c>
      <c r="I229" s="34">
        <f t="shared" si="2680"/>
        <v>956.8</v>
      </c>
      <c r="J229" s="34">
        <f>(TRUNC(H229 * L14,2) + H229)</f>
        <v>1151.4099999999999</v>
      </c>
      <c r="K229" s="34">
        <f t="shared" si="2681"/>
        <v>1151.4100000000001</v>
      </c>
      <c r="L229" s="35">
        <f>K229 / L13</f>
        <v>3.9703793103448273E-4</v>
      </c>
      <c r="M229" s="36">
        <v>764.27</v>
      </c>
      <c r="N229" s="37">
        <f t="shared" si="2682"/>
        <v>764.27</v>
      </c>
      <c r="O229" s="36"/>
      <c r="P229" s="38">
        <f t="shared" si="2683"/>
        <v>0</v>
      </c>
      <c r="Q229" s="38"/>
      <c r="R229" s="38">
        <f t="shared" si="2683"/>
        <v>0</v>
      </c>
      <c r="S229" s="38">
        <f t="shared" si="2684"/>
        <v>1</v>
      </c>
      <c r="T229" s="37">
        <f t="shared" ref="T229:V229" si="2806">TRUNC($M229 * S229,2)</f>
        <v>764.27</v>
      </c>
      <c r="U229" s="36"/>
      <c r="V229" s="38">
        <f t="shared" si="2806"/>
        <v>0</v>
      </c>
      <c r="W229" s="38"/>
      <c r="X229" s="38">
        <f t="shared" ref="X229" si="2807">TRUNC($M229 * W229,2)</f>
        <v>0</v>
      </c>
      <c r="Y229" s="38"/>
      <c r="Z229" s="38">
        <f t="shared" ref="Z229" si="2808">TRUNC($M229 * Y229,2)</f>
        <v>0</v>
      </c>
      <c r="AA229" s="38"/>
      <c r="AB229" s="38">
        <f t="shared" ref="AB229" si="2809">TRUNC($M229 * AA229,2)</f>
        <v>0</v>
      </c>
      <c r="AC229" s="38"/>
      <c r="AD229" s="38">
        <f t="shared" ref="AD229" si="2810">TRUNC($M229 * AC229,2)</f>
        <v>0</v>
      </c>
      <c r="AE229" s="38"/>
      <c r="AF229" s="38">
        <f t="shared" ref="AF229" si="2811">TRUNC($M229 * AE229,2)</f>
        <v>0</v>
      </c>
      <c r="AG229" s="38"/>
      <c r="AH229" s="38">
        <f t="shared" ref="AH229" si="2812">TRUNC($M229 * AG229,2)</f>
        <v>0</v>
      </c>
      <c r="AI229" s="38"/>
      <c r="AJ229" s="38">
        <f t="shared" ref="AJ229" si="2813">TRUNC($M229 * AI229,2)</f>
        <v>0</v>
      </c>
      <c r="AK229" s="38"/>
      <c r="AL229" s="38">
        <f t="shared" ref="AL229" si="2814">TRUNC($M229 * AK229,2)</f>
        <v>0</v>
      </c>
      <c r="AM229" s="38"/>
      <c r="AN229" s="38">
        <f t="shared" ref="AN229" si="2815">TRUNC($M229 * AM229,2)</f>
        <v>0</v>
      </c>
      <c r="AO229" s="38"/>
      <c r="AP229" s="38">
        <f t="shared" ref="AP229" si="2816">TRUNC($M229 * AO229,2)</f>
        <v>0</v>
      </c>
      <c r="AQ229" s="38"/>
      <c r="AR229" s="38">
        <f t="shared" ref="AR229" si="2817">TRUNC($M229 * AQ229,2)</f>
        <v>0</v>
      </c>
      <c r="AS229" s="38"/>
      <c r="AT229" s="38">
        <f t="shared" ref="AT229" si="2818">TRUNC($M229 * AS229,2)</f>
        <v>0</v>
      </c>
      <c r="AU229" s="38"/>
      <c r="AV229" s="38">
        <f t="shared" ref="AV229" si="2819">TRUNC($M229 * AU229,2)</f>
        <v>0</v>
      </c>
      <c r="AW229" s="38"/>
      <c r="AX229" s="37">
        <f t="shared" ref="AX229" si="2820">TRUNC($M229 * AW229,2)</f>
        <v>0</v>
      </c>
      <c r="AY229" s="36">
        <f t="shared" si="2700"/>
        <v>0</v>
      </c>
      <c r="AZ229" s="38">
        <f t="shared" ref="AZ229" si="2821">TRUNC($M229 * AY229,2)</f>
        <v>0</v>
      </c>
      <c r="BA229" s="38">
        <f t="shared" si="2702"/>
        <v>1</v>
      </c>
      <c r="BB229" s="37">
        <f t="shared" ref="BB229" si="2822">TRUNC($M229 * BA229,2)</f>
        <v>764.27</v>
      </c>
    </row>
    <row r="230" spans="1:54" ht="26.1" customHeight="1" x14ac:dyDescent="0.25">
      <c r="A230" s="31" t="s">
        <v>1043</v>
      </c>
      <c r="B230" s="31" t="s">
        <v>501</v>
      </c>
      <c r="C230" s="31" t="s">
        <v>34</v>
      </c>
      <c r="D230" s="31" t="s">
        <v>502</v>
      </c>
      <c r="E230" s="32" t="s">
        <v>36</v>
      </c>
      <c r="F230" s="33">
        <v>1</v>
      </c>
      <c r="G230" s="34">
        <v>31.86</v>
      </c>
      <c r="H230" s="34">
        <f t="shared" si="2679"/>
        <v>29.33</v>
      </c>
      <c r="I230" s="34">
        <f t="shared" si="2680"/>
        <v>29.33</v>
      </c>
      <c r="J230" s="34">
        <f>(TRUNC(H230 * L14,2) + H230)</f>
        <v>35.29</v>
      </c>
      <c r="K230" s="34">
        <f t="shared" si="2681"/>
        <v>35.29</v>
      </c>
      <c r="L230" s="35">
        <f>K230 / L13</f>
        <v>1.2168965517241376E-5</v>
      </c>
      <c r="M230" s="36">
        <v>25.09</v>
      </c>
      <c r="N230" s="37">
        <f t="shared" si="2682"/>
        <v>25.09</v>
      </c>
      <c r="O230" s="36"/>
      <c r="P230" s="38">
        <f t="shared" si="2683"/>
        <v>0</v>
      </c>
      <c r="Q230" s="38"/>
      <c r="R230" s="38">
        <f t="shared" si="2683"/>
        <v>0</v>
      </c>
      <c r="S230" s="38">
        <f t="shared" si="2684"/>
        <v>1</v>
      </c>
      <c r="T230" s="37">
        <f t="shared" ref="T230:V230" si="2823">TRUNC($M230 * S230,2)</f>
        <v>25.09</v>
      </c>
      <c r="U230" s="36"/>
      <c r="V230" s="38">
        <f t="shared" si="2823"/>
        <v>0</v>
      </c>
      <c r="W230" s="38"/>
      <c r="X230" s="38">
        <f t="shared" ref="X230" si="2824">TRUNC($M230 * W230,2)</f>
        <v>0</v>
      </c>
      <c r="Y230" s="38"/>
      <c r="Z230" s="38">
        <f t="shared" ref="Z230" si="2825">TRUNC($M230 * Y230,2)</f>
        <v>0</v>
      </c>
      <c r="AA230" s="38"/>
      <c r="AB230" s="38">
        <f t="shared" ref="AB230" si="2826">TRUNC($M230 * AA230,2)</f>
        <v>0</v>
      </c>
      <c r="AC230" s="38"/>
      <c r="AD230" s="38">
        <f t="shared" ref="AD230" si="2827">TRUNC($M230 * AC230,2)</f>
        <v>0</v>
      </c>
      <c r="AE230" s="38"/>
      <c r="AF230" s="38">
        <f t="shared" ref="AF230" si="2828">TRUNC($M230 * AE230,2)</f>
        <v>0</v>
      </c>
      <c r="AG230" s="38"/>
      <c r="AH230" s="38">
        <f t="shared" ref="AH230" si="2829">TRUNC($M230 * AG230,2)</f>
        <v>0</v>
      </c>
      <c r="AI230" s="38"/>
      <c r="AJ230" s="38">
        <f t="shared" ref="AJ230" si="2830">TRUNC($M230 * AI230,2)</f>
        <v>0</v>
      </c>
      <c r="AK230" s="38"/>
      <c r="AL230" s="38">
        <f t="shared" ref="AL230" si="2831">TRUNC($M230 * AK230,2)</f>
        <v>0</v>
      </c>
      <c r="AM230" s="38"/>
      <c r="AN230" s="38">
        <f t="shared" ref="AN230" si="2832">TRUNC($M230 * AM230,2)</f>
        <v>0</v>
      </c>
      <c r="AO230" s="38"/>
      <c r="AP230" s="38">
        <f t="shared" ref="AP230" si="2833">TRUNC($M230 * AO230,2)</f>
        <v>0</v>
      </c>
      <c r="AQ230" s="38"/>
      <c r="AR230" s="38">
        <f t="shared" ref="AR230" si="2834">TRUNC($M230 * AQ230,2)</f>
        <v>0</v>
      </c>
      <c r="AS230" s="38"/>
      <c r="AT230" s="38">
        <f t="shared" ref="AT230" si="2835">TRUNC($M230 * AS230,2)</f>
        <v>0</v>
      </c>
      <c r="AU230" s="38"/>
      <c r="AV230" s="38">
        <f t="shared" ref="AV230" si="2836">TRUNC($M230 * AU230,2)</f>
        <v>0</v>
      </c>
      <c r="AW230" s="38"/>
      <c r="AX230" s="37">
        <f t="shared" ref="AX230" si="2837">TRUNC($M230 * AW230,2)</f>
        <v>0</v>
      </c>
      <c r="AY230" s="36">
        <f t="shared" si="2700"/>
        <v>0</v>
      </c>
      <c r="AZ230" s="38">
        <f t="shared" ref="AZ230" si="2838">TRUNC($M230 * AY230,2)</f>
        <v>0</v>
      </c>
      <c r="BA230" s="38">
        <f t="shared" si="2702"/>
        <v>1</v>
      </c>
      <c r="BB230" s="37">
        <f t="shared" ref="BB230" si="2839">TRUNC($M230 * BA230,2)</f>
        <v>25.09</v>
      </c>
    </row>
    <row r="231" spans="1:54" ht="39" customHeight="1" x14ac:dyDescent="0.25">
      <c r="A231" s="31" t="s">
        <v>1044</v>
      </c>
      <c r="B231" s="31" t="s">
        <v>503</v>
      </c>
      <c r="C231" s="31" t="s">
        <v>34</v>
      </c>
      <c r="D231" s="31" t="s">
        <v>504</v>
      </c>
      <c r="E231" s="32" t="s">
        <v>36</v>
      </c>
      <c r="F231" s="33">
        <v>1</v>
      </c>
      <c r="G231" s="34">
        <v>131.81</v>
      </c>
      <c r="H231" s="34">
        <f t="shared" si="2679"/>
        <v>121.36</v>
      </c>
      <c r="I231" s="34">
        <f t="shared" si="2680"/>
        <v>121.36</v>
      </c>
      <c r="J231" s="34">
        <f>(TRUNC(H231 * L14,2) + H231)</f>
        <v>146.04</v>
      </c>
      <c r="K231" s="34">
        <f t="shared" si="2681"/>
        <v>146.04</v>
      </c>
      <c r="L231" s="35">
        <f>K231 / L13</f>
        <v>5.0358620689655165E-5</v>
      </c>
      <c r="M231" s="36">
        <v>101.97</v>
      </c>
      <c r="N231" s="37">
        <f t="shared" si="2682"/>
        <v>101.97</v>
      </c>
      <c r="O231" s="36"/>
      <c r="P231" s="38">
        <f t="shared" si="2683"/>
        <v>0</v>
      </c>
      <c r="Q231" s="38"/>
      <c r="R231" s="38">
        <f t="shared" si="2683"/>
        <v>0</v>
      </c>
      <c r="S231" s="38">
        <f t="shared" si="2684"/>
        <v>1</v>
      </c>
      <c r="T231" s="37">
        <f t="shared" ref="T231:V231" si="2840">TRUNC($M231 * S231,2)</f>
        <v>101.97</v>
      </c>
      <c r="U231" s="36"/>
      <c r="V231" s="38">
        <f t="shared" si="2840"/>
        <v>0</v>
      </c>
      <c r="W231" s="38"/>
      <c r="X231" s="38">
        <f t="shared" ref="X231" si="2841">TRUNC($M231 * W231,2)</f>
        <v>0</v>
      </c>
      <c r="Y231" s="38"/>
      <c r="Z231" s="38">
        <f t="shared" ref="Z231" si="2842">TRUNC($M231 * Y231,2)</f>
        <v>0</v>
      </c>
      <c r="AA231" s="38"/>
      <c r="AB231" s="38">
        <f t="shared" ref="AB231" si="2843">TRUNC($M231 * AA231,2)</f>
        <v>0</v>
      </c>
      <c r="AC231" s="38"/>
      <c r="AD231" s="38">
        <f t="shared" ref="AD231" si="2844">TRUNC($M231 * AC231,2)</f>
        <v>0</v>
      </c>
      <c r="AE231" s="38"/>
      <c r="AF231" s="38">
        <f t="shared" ref="AF231" si="2845">TRUNC($M231 * AE231,2)</f>
        <v>0</v>
      </c>
      <c r="AG231" s="38"/>
      <c r="AH231" s="38">
        <f t="shared" ref="AH231" si="2846">TRUNC($M231 * AG231,2)</f>
        <v>0</v>
      </c>
      <c r="AI231" s="38"/>
      <c r="AJ231" s="38">
        <f t="shared" ref="AJ231" si="2847">TRUNC($M231 * AI231,2)</f>
        <v>0</v>
      </c>
      <c r="AK231" s="38"/>
      <c r="AL231" s="38">
        <f t="shared" ref="AL231" si="2848">TRUNC($M231 * AK231,2)</f>
        <v>0</v>
      </c>
      <c r="AM231" s="38"/>
      <c r="AN231" s="38">
        <f t="shared" ref="AN231" si="2849">TRUNC($M231 * AM231,2)</f>
        <v>0</v>
      </c>
      <c r="AO231" s="38"/>
      <c r="AP231" s="38">
        <f t="shared" ref="AP231" si="2850">TRUNC($M231 * AO231,2)</f>
        <v>0</v>
      </c>
      <c r="AQ231" s="38"/>
      <c r="AR231" s="38">
        <f t="shared" ref="AR231" si="2851">TRUNC($M231 * AQ231,2)</f>
        <v>0</v>
      </c>
      <c r="AS231" s="38"/>
      <c r="AT231" s="38">
        <f t="shared" ref="AT231" si="2852">TRUNC($M231 * AS231,2)</f>
        <v>0</v>
      </c>
      <c r="AU231" s="38"/>
      <c r="AV231" s="38">
        <f t="shared" ref="AV231" si="2853">TRUNC($M231 * AU231,2)</f>
        <v>0</v>
      </c>
      <c r="AW231" s="38"/>
      <c r="AX231" s="37">
        <f t="shared" ref="AX231" si="2854">TRUNC($M231 * AW231,2)</f>
        <v>0</v>
      </c>
      <c r="AY231" s="36">
        <f t="shared" si="2700"/>
        <v>0</v>
      </c>
      <c r="AZ231" s="38">
        <f t="shared" ref="AZ231" si="2855">TRUNC($M231 * AY231,2)</f>
        <v>0</v>
      </c>
      <c r="BA231" s="38">
        <f t="shared" si="2702"/>
        <v>1</v>
      </c>
      <c r="BB231" s="37">
        <f t="shared" ref="BB231" si="2856">TRUNC($M231 * BA231,2)</f>
        <v>101.97</v>
      </c>
    </row>
    <row r="232" spans="1:54" ht="39" customHeight="1" x14ac:dyDescent="0.25">
      <c r="A232" s="31" t="s">
        <v>1045</v>
      </c>
      <c r="B232" s="31" t="s">
        <v>505</v>
      </c>
      <c r="C232" s="31" t="s">
        <v>34</v>
      </c>
      <c r="D232" s="31" t="s">
        <v>506</v>
      </c>
      <c r="E232" s="32" t="s">
        <v>36</v>
      </c>
      <c r="F232" s="33">
        <v>28</v>
      </c>
      <c r="G232" s="34">
        <v>74.709999999999994</v>
      </c>
      <c r="H232" s="34">
        <f t="shared" si="2679"/>
        <v>68.78</v>
      </c>
      <c r="I232" s="34">
        <f t="shared" si="2680"/>
        <v>1925.84</v>
      </c>
      <c r="J232" s="34">
        <f>(TRUNC(H232 * L14,2) + H232)</f>
        <v>82.76</v>
      </c>
      <c r="K232" s="34">
        <f t="shared" si="2681"/>
        <v>2317.2800000000002</v>
      </c>
      <c r="L232" s="35">
        <f>K232 / L13</f>
        <v>7.9906206896551723E-4</v>
      </c>
      <c r="M232" s="36">
        <v>58.02</v>
      </c>
      <c r="N232" s="37">
        <f t="shared" si="2682"/>
        <v>1624.56</v>
      </c>
      <c r="O232" s="36"/>
      <c r="P232" s="38">
        <f t="shared" si="2683"/>
        <v>0</v>
      </c>
      <c r="Q232" s="38"/>
      <c r="R232" s="38">
        <f t="shared" si="2683"/>
        <v>0</v>
      </c>
      <c r="S232" s="38">
        <f t="shared" si="2684"/>
        <v>28</v>
      </c>
      <c r="T232" s="37">
        <f t="shared" ref="T232:V232" si="2857">TRUNC($M232 * S232,2)</f>
        <v>1624.56</v>
      </c>
      <c r="U232" s="36"/>
      <c r="V232" s="38">
        <f t="shared" si="2857"/>
        <v>0</v>
      </c>
      <c r="W232" s="38"/>
      <c r="X232" s="38">
        <f t="shared" ref="X232" si="2858">TRUNC($M232 * W232,2)</f>
        <v>0</v>
      </c>
      <c r="Y232" s="38"/>
      <c r="Z232" s="38">
        <f t="shared" ref="Z232" si="2859">TRUNC($M232 * Y232,2)</f>
        <v>0</v>
      </c>
      <c r="AA232" s="38"/>
      <c r="AB232" s="38">
        <f t="shared" ref="AB232" si="2860">TRUNC($M232 * AA232,2)</f>
        <v>0</v>
      </c>
      <c r="AC232" s="38"/>
      <c r="AD232" s="38">
        <f t="shared" ref="AD232" si="2861">TRUNC($M232 * AC232,2)</f>
        <v>0</v>
      </c>
      <c r="AE232" s="38"/>
      <c r="AF232" s="38">
        <f t="shared" ref="AF232" si="2862">TRUNC($M232 * AE232,2)</f>
        <v>0</v>
      </c>
      <c r="AG232" s="38"/>
      <c r="AH232" s="38">
        <f t="shared" ref="AH232" si="2863">TRUNC($M232 * AG232,2)</f>
        <v>0</v>
      </c>
      <c r="AI232" s="38"/>
      <c r="AJ232" s="38">
        <f t="shared" ref="AJ232" si="2864">TRUNC($M232 * AI232,2)</f>
        <v>0</v>
      </c>
      <c r="AK232" s="38"/>
      <c r="AL232" s="38">
        <f t="shared" ref="AL232" si="2865">TRUNC($M232 * AK232,2)</f>
        <v>0</v>
      </c>
      <c r="AM232" s="38"/>
      <c r="AN232" s="38">
        <f t="shared" ref="AN232" si="2866">TRUNC($M232 * AM232,2)</f>
        <v>0</v>
      </c>
      <c r="AO232" s="38"/>
      <c r="AP232" s="38">
        <f t="shared" ref="AP232" si="2867">TRUNC($M232 * AO232,2)</f>
        <v>0</v>
      </c>
      <c r="AQ232" s="38"/>
      <c r="AR232" s="38">
        <f t="shared" ref="AR232" si="2868">TRUNC($M232 * AQ232,2)</f>
        <v>0</v>
      </c>
      <c r="AS232" s="38"/>
      <c r="AT232" s="38">
        <f t="shared" ref="AT232" si="2869">TRUNC($M232 * AS232,2)</f>
        <v>0</v>
      </c>
      <c r="AU232" s="38"/>
      <c r="AV232" s="38">
        <f t="shared" ref="AV232" si="2870">TRUNC($M232 * AU232,2)</f>
        <v>0</v>
      </c>
      <c r="AW232" s="38"/>
      <c r="AX232" s="37">
        <f t="shared" ref="AX232" si="2871">TRUNC($M232 * AW232,2)</f>
        <v>0</v>
      </c>
      <c r="AY232" s="36">
        <f t="shared" si="2700"/>
        <v>0</v>
      </c>
      <c r="AZ232" s="38">
        <f t="shared" ref="AZ232" si="2872">TRUNC($M232 * AY232,2)</f>
        <v>0</v>
      </c>
      <c r="BA232" s="38">
        <f t="shared" si="2702"/>
        <v>28</v>
      </c>
      <c r="BB232" s="37">
        <f t="shared" ref="BB232" si="2873">TRUNC($M232 * BA232,2)</f>
        <v>1624.56</v>
      </c>
    </row>
    <row r="233" spans="1:54" ht="39" customHeight="1" x14ac:dyDescent="0.25">
      <c r="A233" s="31" t="s">
        <v>1046</v>
      </c>
      <c r="B233" s="31" t="s">
        <v>507</v>
      </c>
      <c r="C233" s="31" t="s">
        <v>34</v>
      </c>
      <c r="D233" s="31" t="s">
        <v>508</v>
      </c>
      <c r="E233" s="32" t="s">
        <v>36</v>
      </c>
      <c r="F233" s="33">
        <v>3</v>
      </c>
      <c r="G233" s="34">
        <v>71.23</v>
      </c>
      <c r="H233" s="34">
        <f t="shared" si="2679"/>
        <v>65.58</v>
      </c>
      <c r="I233" s="34">
        <f t="shared" si="2680"/>
        <v>196.74</v>
      </c>
      <c r="J233" s="34">
        <f>(TRUNC(H233 * L14,2) + H233)</f>
        <v>78.91</v>
      </c>
      <c r="K233" s="34">
        <f t="shared" si="2681"/>
        <v>236.73</v>
      </c>
      <c r="L233" s="35">
        <f>K233 / L13</f>
        <v>8.16310344827586E-5</v>
      </c>
      <c r="M233" s="36">
        <v>55.57</v>
      </c>
      <c r="N233" s="37">
        <f t="shared" si="2682"/>
        <v>166.71</v>
      </c>
      <c r="O233" s="36"/>
      <c r="P233" s="38">
        <f t="shared" si="2683"/>
        <v>0</v>
      </c>
      <c r="Q233" s="38"/>
      <c r="R233" s="38">
        <f t="shared" si="2683"/>
        <v>0</v>
      </c>
      <c r="S233" s="38">
        <f t="shared" si="2684"/>
        <v>3</v>
      </c>
      <c r="T233" s="37">
        <f t="shared" ref="T233:V233" si="2874">TRUNC($M233 * S233,2)</f>
        <v>166.71</v>
      </c>
      <c r="U233" s="36"/>
      <c r="V233" s="38">
        <f t="shared" si="2874"/>
        <v>0</v>
      </c>
      <c r="W233" s="38"/>
      <c r="X233" s="38">
        <f t="shared" ref="X233" si="2875">TRUNC($M233 * W233,2)</f>
        <v>0</v>
      </c>
      <c r="Y233" s="38"/>
      <c r="Z233" s="38">
        <f t="shared" ref="Z233" si="2876">TRUNC($M233 * Y233,2)</f>
        <v>0</v>
      </c>
      <c r="AA233" s="38"/>
      <c r="AB233" s="38">
        <f t="shared" ref="AB233" si="2877">TRUNC($M233 * AA233,2)</f>
        <v>0</v>
      </c>
      <c r="AC233" s="38"/>
      <c r="AD233" s="38">
        <f t="shared" ref="AD233" si="2878">TRUNC($M233 * AC233,2)</f>
        <v>0</v>
      </c>
      <c r="AE233" s="38"/>
      <c r="AF233" s="38">
        <f t="shared" ref="AF233" si="2879">TRUNC($M233 * AE233,2)</f>
        <v>0</v>
      </c>
      <c r="AG233" s="38"/>
      <c r="AH233" s="38">
        <f t="shared" ref="AH233" si="2880">TRUNC($M233 * AG233,2)</f>
        <v>0</v>
      </c>
      <c r="AI233" s="38"/>
      <c r="AJ233" s="38">
        <f t="shared" ref="AJ233" si="2881">TRUNC($M233 * AI233,2)</f>
        <v>0</v>
      </c>
      <c r="AK233" s="38"/>
      <c r="AL233" s="38">
        <f t="shared" ref="AL233" si="2882">TRUNC($M233 * AK233,2)</f>
        <v>0</v>
      </c>
      <c r="AM233" s="38"/>
      <c r="AN233" s="38">
        <f t="shared" ref="AN233" si="2883">TRUNC($M233 * AM233,2)</f>
        <v>0</v>
      </c>
      <c r="AO233" s="38"/>
      <c r="AP233" s="38">
        <f t="shared" ref="AP233" si="2884">TRUNC($M233 * AO233,2)</f>
        <v>0</v>
      </c>
      <c r="AQ233" s="38"/>
      <c r="AR233" s="38">
        <f t="shared" ref="AR233" si="2885">TRUNC($M233 * AQ233,2)</f>
        <v>0</v>
      </c>
      <c r="AS233" s="38"/>
      <c r="AT233" s="38">
        <f t="shared" ref="AT233" si="2886">TRUNC($M233 * AS233,2)</f>
        <v>0</v>
      </c>
      <c r="AU233" s="38"/>
      <c r="AV233" s="38">
        <f t="shared" ref="AV233" si="2887">TRUNC($M233 * AU233,2)</f>
        <v>0</v>
      </c>
      <c r="AW233" s="38"/>
      <c r="AX233" s="37">
        <f t="shared" ref="AX233" si="2888">TRUNC($M233 * AW233,2)</f>
        <v>0</v>
      </c>
      <c r="AY233" s="36">
        <f t="shared" si="2700"/>
        <v>0</v>
      </c>
      <c r="AZ233" s="38">
        <f t="shared" ref="AZ233" si="2889">TRUNC($M233 * AY233,2)</f>
        <v>0</v>
      </c>
      <c r="BA233" s="38">
        <f t="shared" si="2702"/>
        <v>3</v>
      </c>
      <c r="BB233" s="37">
        <f t="shared" ref="BB233" si="2890">TRUNC($M233 * BA233,2)</f>
        <v>166.71</v>
      </c>
    </row>
    <row r="234" spans="1:54" ht="51.9" customHeight="1" x14ac:dyDescent="0.25">
      <c r="A234" s="31" t="s">
        <v>1047</v>
      </c>
      <c r="B234" s="31" t="s">
        <v>509</v>
      </c>
      <c r="C234" s="31" t="s">
        <v>34</v>
      </c>
      <c r="D234" s="31" t="s">
        <v>510</v>
      </c>
      <c r="E234" s="32" t="s">
        <v>218</v>
      </c>
      <c r="F234" s="33">
        <v>2</v>
      </c>
      <c r="G234" s="34">
        <v>66.03</v>
      </c>
      <c r="H234" s="34">
        <f t="shared" si="2679"/>
        <v>60.79</v>
      </c>
      <c r="I234" s="34">
        <f t="shared" si="2680"/>
        <v>121.58</v>
      </c>
      <c r="J234" s="34">
        <f>(TRUNC(H234 * L14,2) + H234)</f>
        <v>73.150000000000006</v>
      </c>
      <c r="K234" s="34">
        <f t="shared" si="2681"/>
        <v>146.30000000000001</v>
      </c>
      <c r="L234" s="35">
        <f>K234 / L13</f>
        <v>5.0448275862068962E-5</v>
      </c>
      <c r="M234" s="36">
        <v>51.25</v>
      </c>
      <c r="N234" s="37">
        <f t="shared" si="2682"/>
        <v>102.5</v>
      </c>
      <c r="O234" s="36"/>
      <c r="P234" s="38">
        <f t="shared" si="2683"/>
        <v>0</v>
      </c>
      <c r="Q234" s="38"/>
      <c r="R234" s="38">
        <f t="shared" si="2683"/>
        <v>0</v>
      </c>
      <c r="S234" s="38">
        <f t="shared" si="2684"/>
        <v>2</v>
      </c>
      <c r="T234" s="37">
        <f t="shared" ref="T234:V234" si="2891">TRUNC($M234 * S234,2)</f>
        <v>102.5</v>
      </c>
      <c r="U234" s="36"/>
      <c r="V234" s="38">
        <f t="shared" si="2891"/>
        <v>0</v>
      </c>
      <c r="W234" s="38"/>
      <c r="X234" s="38">
        <f t="shared" ref="X234" si="2892">TRUNC($M234 * W234,2)</f>
        <v>0</v>
      </c>
      <c r="Y234" s="38"/>
      <c r="Z234" s="38">
        <f t="shared" ref="Z234" si="2893">TRUNC($M234 * Y234,2)</f>
        <v>0</v>
      </c>
      <c r="AA234" s="38"/>
      <c r="AB234" s="38">
        <f t="shared" ref="AB234" si="2894">TRUNC($M234 * AA234,2)</f>
        <v>0</v>
      </c>
      <c r="AC234" s="38"/>
      <c r="AD234" s="38">
        <f t="shared" ref="AD234" si="2895">TRUNC($M234 * AC234,2)</f>
        <v>0</v>
      </c>
      <c r="AE234" s="38"/>
      <c r="AF234" s="38">
        <f t="shared" ref="AF234" si="2896">TRUNC($M234 * AE234,2)</f>
        <v>0</v>
      </c>
      <c r="AG234" s="38"/>
      <c r="AH234" s="38">
        <f t="shared" ref="AH234" si="2897">TRUNC($M234 * AG234,2)</f>
        <v>0</v>
      </c>
      <c r="AI234" s="38"/>
      <c r="AJ234" s="38">
        <f t="shared" ref="AJ234" si="2898">TRUNC($M234 * AI234,2)</f>
        <v>0</v>
      </c>
      <c r="AK234" s="38"/>
      <c r="AL234" s="38">
        <f t="shared" ref="AL234" si="2899">TRUNC($M234 * AK234,2)</f>
        <v>0</v>
      </c>
      <c r="AM234" s="38"/>
      <c r="AN234" s="38">
        <f t="shared" ref="AN234" si="2900">TRUNC($M234 * AM234,2)</f>
        <v>0</v>
      </c>
      <c r="AO234" s="38"/>
      <c r="AP234" s="38">
        <f t="shared" ref="AP234" si="2901">TRUNC($M234 * AO234,2)</f>
        <v>0</v>
      </c>
      <c r="AQ234" s="38"/>
      <c r="AR234" s="38">
        <f t="shared" ref="AR234" si="2902">TRUNC($M234 * AQ234,2)</f>
        <v>0</v>
      </c>
      <c r="AS234" s="38"/>
      <c r="AT234" s="38">
        <f t="shared" ref="AT234" si="2903">TRUNC($M234 * AS234,2)</f>
        <v>0</v>
      </c>
      <c r="AU234" s="38"/>
      <c r="AV234" s="38">
        <f t="shared" ref="AV234" si="2904">TRUNC($M234 * AU234,2)</f>
        <v>0</v>
      </c>
      <c r="AW234" s="38"/>
      <c r="AX234" s="37">
        <f t="shared" ref="AX234" si="2905">TRUNC($M234 * AW234,2)</f>
        <v>0</v>
      </c>
      <c r="AY234" s="36">
        <f t="shared" si="2700"/>
        <v>0</v>
      </c>
      <c r="AZ234" s="38">
        <f t="shared" ref="AZ234" si="2906">TRUNC($M234 * AY234,2)</f>
        <v>0</v>
      </c>
      <c r="BA234" s="38">
        <f t="shared" si="2702"/>
        <v>2</v>
      </c>
      <c r="BB234" s="37">
        <f t="shared" ref="BB234" si="2907">TRUNC($M234 * BA234,2)</f>
        <v>102.5</v>
      </c>
    </row>
    <row r="235" spans="1:54" ht="51.9" customHeight="1" x14ac:dyDescent="0.25">
      <c r="A235" s="31" t="s">
        <v>1048</v>
      </c>
      <c r="B235" s="31" t="s">
        <v>511</v>
      </c>
      <c r="C235" s="31" t="s">
        <v>34</v>
      </c>
      <c r="D235" s="31" t="s">
        <v>512</v>
      </c>
      <c r="E235" s="32" t="s">
        <v>218</v>
      </c>
      <c r="F235" s="33">
        <v>1</v>
      </c>
      <c r="G235" s="34">
        <v>115.66</v>
      </c>
      <c r="H235" s="34">
        <f t="shared" si="2679"/>
        <v>106.49</v>
      </c>
      <c r="I235" s="34">
        <f t="shared" si="2680"/>
        <v>106.49</v>
      </c>
      <c r="J235" s="34">
        <f>(TRUNC(H235 * L14,2) + H235)</f>
        <v>128.15</v>
      </c>
      <c r="K235" s="34">
        <f t="shared" si="2681"/>
        <v>128.15</v>
      </c>
      <c r="L235" s="35">
        <f>K235 / L13</f>
        <v>4.4189655172413785E-5</v>
      </c>
      <c r="M235" s="36">
        <v>88.99</v>
      </c>
      <c r="N235" s="37">
        <f t="shared" si="2682"/>
        <v>88.99</v>
      </c>
      <c r="O235" s="36"/>
      <c r="P235" s="38">
        <f t="shared" si="2683"/>
        <v>0</v>
      </c>
      <c r="Q235" s="38"/>
      <c r="R235" s="38">
        <f t="shared" si="2683"/>
        <v>0</v>
      </c>
      <c r="S235" s="38">
        <f t="shared" si="2684"/>
        <v>1</v>
      </c>
      <c r="T235" s="37">
        <f t="shared" ref="T235:V235" si="2908">TRUNC($M235 * S235,2)</f>
        <v>88.99</v>
      </c>
      <c r="U235" s="36"/>
      <c r="V235" s="38">
        <f t="shared" si="2908"/>
        <v>0</v>
      </c>
      <c r="W235" s="38"/>
      <c r="X235" s="38">
        <f t="shared" ref="X235" si="2909">TRUNC($M235 * W235,2)</f>
        <v>0</v>
      </c>
      <c r="Y235" s="38"/>
      <c r="Z235" s="38">
        <f t="shared" ref="Z235" si="2910">TRUNC($M235 * Y235,2)</f>
        <v>0</v>
      </c>
      <c r="AA235" s="38"/>
      <c r="AB235" s="38">
        <f t="shared" ref="AB235" si="2911">TRUNC($M235 * AA235,2)</f>
        <v>0</v>
      </c>
      <c r="AC235" s="38"/>
      <c r="AD235" s="38">
        <f t="shared" ref="AD235" si="2912">TRUNC($M235 * AC235,2)</f>
        <v>0</v>
      </c>
      <c r="AE235" s="38"/>
      <c r="AF235" s="38">
        <f t="shared" ref="AF235" si="2913">TRUNC($M235 * AE235,2)</f>
        <v>0</v>
      </c>
      <c r="AG235" s="38"/>
      <c r="AH235" s="38">
        <f t="shared" ref="AH235" si="2914">TRUNC($M235 * AG235,2)</f>
        <v>0</v>
      </c>
      <c r="AI235" s="38"/>
      <c r="AJ235" s="38">
        <f t="shared" ref="AJ235" si="2915">TRUNC($M235 * AI235,2)</f>
        <v>0</v>
      </c>
      <c r="AK235" s="38"/>
      <c r="AL235" s="38">
        <f t="shared" ref="AL235" si="2916">TRUNC($M235 * AK235,2)</f>
        <v>0</v>
      </c>
      <c r="AM235" s="38"/>
      <c r="AN235" s="38">
        <f t="shared" ref="AN235" si="2917">TRUNC($M235 * AM235,2)</f>
        <v>0</v>
      </c>
      <c r="AO235" s="38"/>
      <c r="AP235" s="38">
        <f t="shared" ref="AP235" si="2918">TRUNC($M235 * AO235,2)</f>
        <v>0</v>
      </c>
      <c r="AQ235" s="38"/>
      <c r="AR235" s="38">
        <f t="shared" ref="AR235" si="2919">TRUNC($M235 * AQ235,2)</f>
        <v>0</v>
      </c>
      <c r="AS235" s="38"/>
      <c r="AT235" s="38">
        <f t="shared" ref="AT235" si="2920">TRUNC($M235 * AS235,2)</f>
        <v>0</v>
      </c>
      <c r="AU235" s="38"/>
      <c r="AV235" s="38">
        <f t="shared" ref="AV235" si="2921">TRUNC($M235 * AU235,2)</f>
        <v>0</v>
      </c>
      <c r="AW235" s="38"/>
      <c r="AX235" s="37">
        <f t="shared" ref="AX235" si="2922">TRUNC($M235 * AW235,2)</f>
        <v>0</v>
      </c>
      <c r="AY235" s="36">
        <f t="shared" si="2700"/>
        <v>0</v>
      </c>
      <c r="AZ235" s="38">
        <f t="shared" ref="AZ235" si="2923">TRUNC($M235 * AY235,2)</f>
        <v>0</v>
      </c>
      <c r="BA235" s="38">
        <f t="shared" si="2702"/>
        <v>1</v>
      </c>
      <c r="BB235" s="37">
        <f t="shared" ref="BB235" si="2924">TRUNC($M235 * BA235,2)</f>
        <v>88.99</v>
      </c>
    </row>
    <row r="236" spans="1:54" ht="39" customHeight="1" x14ac:dyDescent="0.25">
      <c r="A236" s="31" t="s">
        <v>1049</v>
      </c>
      <c r="B236" s="31" t="s">
        <v>513</v>
      </c>
      <c r="C236" s="31" t="s">
        <v>34</v>
      </c>
      <c r="D236" s="31" t="s">
        <v>514</v>
      </c>
      <c r="E236" s="32" t="s">
        <v>36</v>
      </c>
      <c r="F236" s="33">
        <v>3</v>
      </c>
      <c r="G236" s="34">
        <v>7.94</v>
      </c>
      <c r="H236" s="34">
        <f t="shared" si="2679"/>
        <v>7.31</v>
      </c>
      <c r="I236" s="34">
        <f t="shared" si="2680"/>
        <v>21.93</v>
      </c>
      <c r="J236" s="34">
        <f>(TRUNC(H236 * L14,2) + H236)</f>
        <v>8.7899999999999991</v>
      </c>
      <c r="K236" s="34">
        <f t="shared" si="2681"/>
        <v>26.37</v>
      </c>
      <c r="L236" s="35">
        <f>K236 / L13</f>
        <v>9.0931034482758609E-6</v>
      </c>
      <c r="M236" s="36">
        <v>7.77</v>
      </c>
      <c r="N236" s="37">
        <f t="shared" si="2682"/>
        <v>23.31</v>
      </c>
      <c r="O236" s="36"/>
      <c r="P236" s="38">
        <f t="shared" si="2683"/>
        <v>0</v>
      </c>
      <c r="Q236" s="38"/>
      <c r="R236" s="38">
        <f t="shared" si="2683"/>
        <v>0</v>
      </c>
      <c r="S236" s="38">
        <f t="shared" si="2684"/>
        <v>3</v>
      </c>
      <c r="T236" s="37">
        <f t="shared" ref="T236:V236" si="2925">TRUNC($M236 * S236,2)</f>
        <v>23.31</v>
      </c>
      <c r="U236" s="36"/>
      <c r="V236" s="38">
        <f t="shared" si="2925"/>
        <v>0</v>
      </c>
      <c r="W236" s="38"/>
      <c r="X236" s="38">
        <f t="shared" ref="X236" si="2926">TRUNC($M236 * W236,2)</f>
        <v>0</v>
      </c>
      <c r="Y236" s="38"/>
      <c r="Z236" s="38">
        <f t="shared" ref="Z236" si="2927">TRUNC($M236 * Y236,2)</f>
        <v>0</v>
      </c>
      <c r="AA236" s="38"/>
      <c r="AB236" s="38">
        <f t="shared" ref="AB236" si="2928">TRUNC($M236 * AA236,2)</f>
        <v>0</v>
      </c>
      <c r="AC236" s="38"/>
      <c r="AD236" s="38">
        <f t="shared" ref="AD236" si="2929">TRUNC($M236 * AC236,2)</f>
        <v>0</v>
      </c>
      <c r="AE236" s="38"/>
      <c r="AF236" s="38">
        <f t="shared" ref="AF236" si="2930">TRUNC($M236 * AE236,2)</f>
        <v>0</v>
      </c>
      <c r="AG236" s="38"/>
      <c r="AH236" s="38">
        <f t="shared" ref="AH236" si="2931">TRUNC($M236 * AG236,2)</f>
        <v>0</v>
      </c>
      <c r="AI236" s="38"/>
      <c r="AJ236" s="38">
        <f t="shared" ref="AJ236" si="2932">TRUNC($M236 * AI236,2)</f>
        <v>0</v>
      </c>
      <c r="AK236" s="38"/>
      <c r="AL236" s="38">
        <f t="shared" ref="AL236" si="2933">TRUNC($M236 * AK236,2)</f>
        <v>0</v>
      </c>
      <c r="AM236" s="38"/>
      <c r="AN236" s="38">
        <f t="shared" ref="AN236" si="2934">TRUNC($M236 * AM236,2)</f>
        <v>0</v>
      </c>
      <c r="AO236" s="38"/>
      <c r="AP236" s="38">
        <f t="shared" ref="AP236" si="2935">TRUNC($M236 * AO236,2)</f>
        <v>0</v>
      </c>
      <c r="AQ236" s="38"/>
      <c r="AR236" s="38">
        <f t="shared" ref="AR236" si="2936">TRUNC($M236 * AQ236,2)</f>
        <v>0</v>
      </c>
      <c r="AS236" s="38"/>
      <c r="AT236" s="38">
        <f t="shared" ref="AT236" si="2937">TRUNC($M236 * AS236,2)</f>
        <v>0</v>
      </c>
      <c r="AU236" s="38"/>
      <c r="AV236" s="38">
        <f t="shared" ref="AV236" si="2938">TRUNC($M236 * AU236,2)</f>
        <v>0</v>
      </c>
      <c r="AW236" s="38"/>
      <c r="AX236" s="37">
        <f t="shared" ref="AX236" si="2939">TRUNC($M236 * AW236,2)</f>
        <v>0</v>
      </c>
      <c r="AY236" s="36">
        <f t="shared" si="2700"/>
        <v>0</v>
      </c>
      <c r="AZ236" s="38">
        <f t="shared" ref="AZ236" si="2940">TRUNC($M236 * AY236,2)</f>
        <v>0</v>
      </c>
      <c r="BA236" s="38">
        <f t="shared" si="2702"/>
        <v>3</v>
      </c>
      <c r="BB236" s="37">
        <f t="shared" ref="BB236" si="2941">TRUNC($M236 * BA236,2)</f>
        <v>23.31</v>
      </c>
    </row>
    <row r="237" spans="1:54" ht="39" customHeight="1" x14ac:dyDescent="0.25">
      <c r="A237" s="31" t="s">
        <v>1050</v>
      </c>
      <c r="B237" s="31" t="s">
        <v>515</v>
      </c>
      <c r="C237" s="31" t="s">
        <v>34</v>
      </c>
      <c r="D237" s="31" t="s">
        <v>516</v>
      </c>
      <c r="E237" s="32" t="s">
        <v>36</v>
      </c>
      <c r="F237" s="33">
        <v>2</v>
      </c>
      <c r="G237" s="34">
        <v>23.79</v>
      </c>
      <c r="H237" s="34">
        <f t="shared" si="2679"/>
        <v>21.9</v>
      </c>
      <c r="I237" s="34">
        <f t="shared" si="2680"/>
        <v>43.8</v>
      </c>
      <c r="J237" s="34">
        <f>(TRUNC(H237 * L14,2) + H237)</f>
        <v>26.349999999999998</v>
      </c>
      <c r="K237" s="34">
        <f t="shared" si="2681"/>
        <v>52.7</v>
      </c>
      <c r="L237" s="35">
        <f>K237 / L13</f>
        <v>1.8172413793103445E-5</v>
      </c>
      <c r="M237" s="36">
        <v>18.52</v>
      </c>
      <c r="N237" s="37">
        <f t="shared" si="2682"/>
        <v>37.04</v>
      </c>
      <c r="O237" s="36"/>
      <c r="P237" s="38">
        <f t="shared" si="2683"/>
        <v>0</v>
      </c>
      <c r="Q237" s="38"/>
      <c r="R237" s="38">
        <f t="shared" si="2683"/>
        <v>0</v>
      </c>
      <c r="S237" s="38">
        <f t="shared" si="2684"/>
        <v>2</v>
      </c>
      <c r="T237" s="37">
        <f t="shared" ref="T237:V237" si="2942">TRUNC($M237 * S237,2)</f>
        <v>37.04</v>
      </c>
      <c r="U237" s="36"/>
      <c r="V237" s="38">
        <f t="shared" si="2942"/>
        <v>0</v>
      </c>
      <c r="W237" s="38"/>
      <c r="X237" s="38">
        <f t="shared" ref="X237" si="2943">TRUNC($M237 * W237,2)</f>
        <v>0</v>
      </c>
      <c r="Y237" s="38"/>
      <c r="Z237" s="38">
        <f t="shared" ref="Z237" si="2944">TRUNC($M237 * Y237,2)</f>
        <v>0</v>
      </c>
      <c r="AA237" s="38"/>
      <c r="AB237" s="38">
        <f t="shared" ref="AB237" si="2945">TRUNC($M237 * AA237,2)</f>
        <v>0</v>
      </c>
      <c r="AC237" s="38"/>
      <c r="AD237" s="38">
        <f t="shared" ref="AD237" si="2946">TRUNC($M237 * AC237,2)</f>
        <v>0</v>
      </c>
      <c r="AE237" s="38"/>
      <c r="AF237" s="38">
        <f t="shared" ref="AF237" si="2947">TRUNC($M237 * AE237,2)</f>
        <v>0</v>
      </c>
      <c r="AG237" s="38"/>
      <c r="AH237" s="38">
        <f t="shared" ref="AH237" si="2948">TRUNC($M237 * AG237,2)</f>
        <v>0</v>
      </c>
      <c r="AI237" s="38"/>
      <c r="AJ237" s="38">
        <f t="shared" ref="AJ237" si="2949">TRUNC($M237 * AI237,2)</f>
        <v>0</v>
      </c>
      <c r="AK237" s="38"/>
      <c r="AL237" s="38">
        <f t="shared" ref="AL237" si="2950">TRUNC($M237 * AK237,2)</f>
        <v>0</v>
      </c>
      <c r="AM237" s="38"/>
      <c r="AN237" s="38">
        <f t="shared" ref="AN237" si="2951">TRUNC($M237 * AM237,2)</f>
        <v>0</v>
      </c>
      <c r="AO237" s="38"/>
      <c r="AP237" s="38">
        <f t="shared" ref="AP237" si="2952">TRUNC($M237 * AO237,2)</f>
        <v>0</v>
      </c>
      <c r="AQ237" s="38"/>
      <c r="AR237" s="38">
        <f t="shared" ref="AR237" si="2953">TRUNC($M237 * AQ237,2)</f>
        <v>0</v>
      </c>
      <c r="AS237" s="38"/>
      <c r="AT237" s="38">
        <f t="shared" ref="AT237" si="2954">TRUNC($M237 * AS237,2)</f>
        <v>0</v>
      </c>
      <c r="AU237" s="38"/>
      <c r="AV237" s="38">
        <f t="shared" ref="AV237" si="2955">TRUNC($M237 * AU237,2)</f>
        <v>0</v>
      </c>
      <c r="AW237" s="38"/>
      <c r="AX237" s="37">
        <f t="shared" ref="AX237" si="2956">TRUNC($M237 * AW237,2)</f>
        <v>0</v>
      </c>
      <c r="AY237" s="36">
        <f t="shared" si="2700"/>
        <v>0</v>
      </c>
      <c r="AZ237" s="38">
        <f t="shared" ref="AZ237" si="2957">TRUNC($M237 * AY237,2)</f>
        <v>0</v>
      </c>
      <c r="BA237" s="38">
        <f t="shared" si="2702"/>
        <v>2</v>
      </c>
      <c r="BB237" s="37">
        <f t="shared" ref="BB237" si="2958">TRUNC($M237 * BA237,2)</f>
        <v>37.04</v>
      </c>
    </row>
    <row r="238" spans="1:54" ht="65.099999999999994" customHeight="1" x14ac:dyDescent="0.25">
      <c r="A238" s="31" t="s">
        <v>1051</v>
      </c>
      <c r="B238" s="31" t="s">
        <v>517</v>
      </c>
      <c r="C238" s="31" t="s">
        <v>34</v>
      </c>
      <c r="D238" s="31" t="s">
        <v>518</v>
      </c>
      <c r="E238" s="32" t="s">
        <v>36</v>
      </c>
      <c r="F238" s="33">
        <v>61</v>
      </c>
      <c r="G238" s="34">
        <v>3.66</v>
      </c>
      <c r="H238" s="34">
        <f t="shared" si="2679"/>
        <v>3.36</v>
      </c>
      <c r="I238" s="34">
        <f t="shared" si="2680"/>
        <v>204.96</v>
      </c>
      <c r="J238" s="34">
        <f>(TRUNC(H238 * L14,2) + H238)</f>
        <v>4.04</v>
      </c>
      <c r="K238" s="34">
        <f t="shared" si="2681"/>
        <v>246.44</v>
      </c>
      <c r="L238" s="35">
        <f>K238 / L13</f>
        <v>8.4979310344827569E-5</v>
      </c>
      <c r="M238" s="36">
        <v>3.45</v>
      </c>
      <c r="N238" s="37">
        <f t="shared" si="2682"/>
        <v>210.45</v>
      </c>
      <c r="O238" s="36"/>
      <c r="P238" s="38">
        <f t="shared" si="2683"/>
        <v>0</v>
      </c>
      <c r="Q238" s="38"/>
      <c r="R238" s="38">
        <f t="shared" si="2683"/>
        <v>0</v>
      </c>
      <c r="S238" s="38">
        <f t="shared" si="2684"/>
        <v>61</v>
      </c>
      <c r="T238" s="37">
        <f t="shared" ref="T238:V238" si="2959">TRUNC($M238 * S238,2)</f>
        <v>210.45</v>
      </c>
      <c r="U238" s="36"/>
      <c r="V238" s="38">
        <f t="shared" si="2959"/>
        <v>0</v>
      </c>
      <c r="W238" s="38"/>
      <c r="X238" s="38">
        <f t="shared" ref="X238" si="2960">TRUNC($M238 * W238,2)</f>
        <v>0</v>
      </c>
      <c r="Y238" s="38"/>
      <c r="Z238" s="38">
        <f t="shared" ref="Z238" si="2961">TRUNC($M238 * Y238,2)</f>
        <v>0</v>
      </c>
      <c r="AA238" s="38"/>
      <c r="AB238" s="38">
        <f t="shared" ref="AB238" si="2962">TRUNC($M238 * AA238,2)</f>
        <v>0</v>
      </c>
      <c r="AC238" s="38"/>
      <c r="AD238" s="38">
        <f t="shared" ref="AD238" si="2963">TRUNC($M238 * AC238,2)</f>
        <v>0</v>
      </c>
      <c r="AE238" s="38"/>
      <c r="AF238" s="38">
        <f t="shared" ref="AF238" si="2964">TRUNC($M238 * AE238,2)</f>
        <v>0</v>
      </c>
      <c r="AG238" s="38"/>
      <c r="AH238" s="38">
        <f t="shared" ref="AH238" si="2965">TRUNC($M238 * AG238,2)</f>
        <v>0</v>
      </c>
      <c r="AI238" s="38"/>
      <c r="AJ238" s="38">
        <f t="shared" ref="AJ238" si="2966">TRUNC($M238 * AI238,2)</f>
        <v>0</v>
      </c>
      <c r="AK238" s="38"/>
      <c r="AL238" s="38">
        <f t="shared" ref="AL238" si="2967">TRUNC($M238 * AK238,2)</f>
        <v>0</v>
      </c>
      <c r="AM238" s="38"/>
      <c r="AN238" s="38">
        <f t="shared" ref="AN238" si="2968">TRUNC($M238 * AM238,2)</f>
        <v>0</v>
      </c>
      <c r="AO238" s="38"/>
      <c r="AP238" s="38">
        <f t="shared" ref="AP238" si="2969">TRUNC($M238 * AO238,2)</f>
        <v>0</v>
      </c>
      <c r="AQ238" s="38"/>
      <c r="AR238" s="38">
        <f t="shared" ref="AR238" si="2970">TRUNC($M238 * AQ238,2)</f>
        <v>0</v>
      </c>
      <c r="AS238" s="38"/>
      <c r="AT238" s="38">
        <f t="shared" ref="AT238" si="2971">TRUNC($M238 * AS238,2)</f>
        <v>0</v>
      </c>
      <c r="AU238" s="38"/>
      <c r="AV238" s="38">
        <f t="shared" ref="AV238" si="2972">TRUNC($M238 * AU238,2)</f>
        <v>0</v>
      </c>
      <c r="AW238" s="38"/>
      <c r="AX238" s="37">
        <f t="shared" ref="AX238" si="2973">TRUNC($M238 * AW238,2)</f>
        <v>0</v>
      </c>
      <c r="AY238" s="36">
        <f t="shared" si="2700"/>
        <v>0</v>
      </c>
      <c r="AZ238" s="38">
        <f t="shared" ref="AZ238" si="2974">TRUNC($M238 * AY238,2)</f>
        <v>0</v>
      </c>
      <c r="BA238" s="38">
        <f t="shared" si="2702"/>
        <v>61</v>
      </c>
      <c r="BB238" s="37">
        <f t="shared" ref="BB238" si="2975">TRUNC($M238 * BA238,2)</f>
        <v>210.45</v>
      </c>
    </row>
    <row r="239" spans="1:54" ht="51.9" customHeight="1" x14ac:dyDescent="0.25">
      <c r="A239" s="31" t="s">
        <v>1052</v>
      </c>
      <c r="B239" s="31" t="s">
        <v>519</v>
      </c>
      <c r="C239" s="31" t="s">
        <v>34</v>
      </c>
      <c r="D239" s="31" t="s">
        <v>520</v>
      </c>
      <c r="E239" s="32" t="s">
        <v>36</v>
      </c>
      <c r="F239" s="33">
        <v>1</v>
      </c>
      <c r="G239" s="34">
        <v>17.920000000000002</v>
      </c>
      <c r="H239" s="34">
        <f t="shared" si="2679"/>
        <v>16.489999999999998</v>
      </c>
      <c r="I239" s="34">
        <f t="shared" si="2680"/>
        <v>16.489999999999998</v>
      </c>
      <c r="J239" s="34">
        <f>(TRUNC(H239 * L14,2) + H239)</f>
        <v>19.84</v>
      </c>
      <c r="K239" s="34">
        <f t="shared" si="2681"/>
        <v>19.84</v>
      </c>
      <c r="L239" s="35">
        <f>K239 / L13</f>
        <v>6.8413793103448262E-6</v>
      </c>
      <c r="M239" s="36">
        <v>15.66</v>
      </c>
      <c r="N239" s="37">
        <f t="shared" si="2682"/>
        <v>15.66</v>
      </c>
      <c r="O239" s="36"/>
      <c r="P239" s="38">
        <f t="shared" si="2683"/>
        <v>0</v>
      </c>
      <c r="Q239" s="38"/>
      <c r="R239" s="38">
        <f t="shared" si="2683"/>
        <v>0</v>
      </c>
      <c r="S239" s="38">
        <f t="shared" si="2684"/>
        <v>1</v>
      </c>
      <c r="T239" s="37">
        <f t="shared" ref="T239:V239" si="2976">TRUNC($M239 * S239,2)</f>
        <v>15.66</v>
      </c>
      <c r="U239" s="36"/>
      <c r="V239" s="38">
        <f t="shared" si="2976"/>
        <v>0</v>
      </c>
      <c r="W239" s="38"/>
      <c r="X239" s="38">
        <f t="shared" ref="X239" si="2977">TRUNC($M239 * W239,2)</f>
        <v>0</v>
      </c>
      <c r="Y239" s="38"/>
      <c r="Z239" s="38">
        <f t="shared" ref="Z239" si="2978">TRUNC($M239 * Y239,2)</f>
        <v>0</v>
      </c>
      <c r="AA239" s="38"/>
      <c r="AB239" s="38">
        <f t="shared" ref="AB239" si="2979">TRUNC($M239 * AA239,2)</f>
        <v>0</v>
      </c>
      <c r="AC239" s="38"/>
      <c r="AD239" s="38">
        <f t="shared" ref="AD239" si="2980">TRUNC($M239 * AC239,2)</f>
        <v>0</v>
      </c>
      <c r="AE239" s="38"/>
      <c r="AF239" s="38">
        <f t="shared" ref="AF239" si="2981">TRUNC($M239 * AE239,2)</f>
        <v>0</v>
      </c>
      <c r="AG239" s="38"/>
      <c r="AH239" s="38">
        <f t="shared" ref="AH239" si="2982">TRUNC($M239 * AG239,2)</f>
        <v>0</v>
      </c>
      <c r="AI239" s="38"/>
      <c r="AJ239" s="38">
        <f t="shared" ref="AJ239" si="2983">TRUNC($M239 * AI239,2)</f>
        <v>0</v>
      </c>
      <c r="AK239" s="38"/>
      <c r="AL239" s="38">
        <f t="shared" ref="AL239" si="2984">TRUNC($M239 * AK239,2)</f>
        <v>0</v>
      </c>
      <c r="AM239" s="38"/>
      <c r="AN239" s="38">
        <f t="shared" ref="AN239" si="2985">TRUNC($M239 * AM239,2)</f>
        <v>0</v>
      </c>
      <c r="AO239" s="38"/>
      <c r="AP239" s="38">
        <f t="shared" ref="AP239" si="2986">TRUNC($M239 * AO239,2)</f>
        <v>0</v>
      </c>
      <c r="AQ239" s="38"/>
      <c r="AR239" s="38">
        <f t="shared" ref="AR239" si="2987">TRUNC($M239 * AQ239,2)</f>
        <v>0</v>
      </c>
      <c r="AS239" s="38"/>
      <c r="AT239" s="38">
        <f t="shared" ref="AT239" si="2988">TRUNC($M239 * AS239,2)</f>
        <v>0</v>
      </c>
      <c r="AU239" s="38"/>
      <c r="AV239" s="38">
        <f t="shared" ref="AV239" si="2989">TRUNC($M239 * AU239,2)</f>
        <v>0</v>
      </c>
      <c r="AW239" s="38"/>
      <c r="AX239" s="37">
        <f t="shared" ref="AX239" si="2990">TRUNC($M239 * AW239,2)</f>
        <v>0</v>
      </c>
      <c r="AY239" s="36">
        <f t="shared" si="2700"/>
        <v>0</v>
      </c>
      <c r="AZ239" s="38">
        <f t="shared" ref="AZ239" si="2991">TRUNC($M239 * AY239,2)</f>
        <v>0</v>
      </c>
      <c r="BA239" s="38">
        <f t="shared" si="2702"/>
        <v>1</v>
      </c>
      <c r="BB239" s="37">
        <f t="shared" ref="BB239" si="2992">TRUNC($M239 * BA239,2)</f>
        <v>15.66</v>
      </c>
    </row>
    <row r="240" spans="1:54" ht="39" customHeight="1" x14ac:dyDescent="0.25">
      <c r="A240" s="31" t="s">
        <v>1053</v>
      </c>
      <c r="B240" s="31" t="s">
        <v>521</v>
      </c>
      <c r="C240" s="31" t="s">
        <v>34</v>
      </c>
      <c r="D240" s="31" t="s">
        <v>522</v>
      </c>
      <c r="E240" s="32" t="s">
        <v>36</v>
      </c>
      <c r="F240" s="33">
        <v>4</v>
      </c>
      <c r="G240" s="34">
        <v>9.7100000000000009</v>
      </c>
      <c r="H240" s="34">
        <f t="shared" si="2679"/>
        <v>8.94</v>
      </c>
      <c r="I240" s="34">
        <f t="shared" si="2680"/>
        <v>35.76</v>
      </c>
      <c r="J240" s="34">
        <f>(TRUNC(H240 * L14,2) + H240)</f>
        <v>10.75</v>
      </c>
      <c r="K240" s="34">
        <f t="shared" si="2681"/>
        <v>43</v>
      </c>
      <c r="L240" s="35">
        <f>K240 / L13</f>
        <v>1.4827586206896549E-5</v>
      </c>
      <c r="M240" s="36">
        <v>8.36</v>
      </c>
      <c r="N240" s="37">
        <f t="shared" si="2682"/>
        <v>33.44</v>
      </c>
      <c r="O240" s="36"/>
      <c r="P240" s="38">
        <f t="shared" si="2683"/>
        <v>0</v>
      </c>
      <c r="Q240" s="38"/>
      <c r="R240" s="38">
        <f t="shared" si="2683"/>
        <v>0</v>
      </c>
      <c r="S240" s="38">
        <f t="shared" si="2684"/>
        <v>4</v>
      </c>
      <c r="T240" s="37">
        <f t="shared" ref="T240:V240" si="2993">TRUNC($M240 * S240,2)</f>
        <v>33.44</v>
      </c>
      <c r="U240" s="36"/>
      <c r="V240" s="38">
        <f t="shared" si="2993"/>
        <v>0</v>
      </c>
      <c r="W240" s="38"/>
      <c r="X240" s="38">
        <f t="shared" ref="X240" si="2994">TRUNC($M240 * W240,2)</f>
        <v>0</v>
      </c>
      <c r="Y240" s="38"/>
      <c r="Z240" s="38">
        <f t="shared" ref="Z240" si="2995">TRUNC($M240 * Y240,2)</f>
        <v>0</v>
      </c>
      <c r="AA240" s="38"/>
      <c r="AB240" s="38">
        <f t="shared" ref="AB240" si="2996">TRUNC($M240 * AA240,2)</f>
        <v>0</v>
      </c>
      <c r="AC240" s="38"/>
      <c r="AD240" s="38">
        <f t="shared" ref="AD240" si="2997">TRUNC($M240 * AC240,2)</f>
        <v>0</v>
      </c>
      <c r="AE240" s="38"/>
      <c r="AF240" s="38">
        <f t="shared" ref="AF240" si="2998">TRUNC($M240 * AE240,2)</f>
        <v>0</v>
      </c>
      <c r="AG240" s="38"/>
      <c r="AH240" s="38">
        <f t="shared" ref="AH240" si="2999">TRUNC($M240 * AG240,2)</f>
        <v>0</v>
      </c>
      <c r="AI240" s="38"/>
      <c r="AJ240" s="38">
        <f t="shared" ref="AJ240" si="3000">TRUNC($M240 * AI240,2)</f>
        <v>0</v>
      </c>
      <c r="AK240" s="38"/>
      <c r="AL240" s="38">
        <f t="shared" ref="AL240" si="3001">TRUNC($M240 * AK240,2)</f>
        <v>0</v>
      </c>
      <c r="AM240" s="38"/>
      <c r="AN240" s="38">
        <f t="shared" ref="AN240" si="3002">TRUNC($M240 * AM240,2)</f>
        <v>0</v>
      </c>
      <c r="AO240" s="38"/>
      <c r="AP240" s="38">
        <f t="shared" ref="AP240" si="3003">TRUNC($M240 * AO240,2)</f>
        <v>0</v>
      </c>
      <c r="AQ240" s="38"/>
      <c r="AR240" s="38">
        <f t="shared" ref="AR240" si="3004">TRUNC($M240 * AQ240,2)</f>
        <v>0</v>
      </c>
      <c r="AS240" s="38"/>
      <c r="AT240" s="38">
        <f t="shared" ref="AT240" si="3005">TRUNC($M240 * AS240,2)</f>
        <v>0</v>
      </c>
      <c r="AU240" s="38"/>
      <c r="AV240" s="38">
        <f t="shared" ref="AV240" si="3006">TRUNC($M240 * AU240,2)</f>
        <v>0</v>
      </c>
      <c r="AW240" s="38"/>
      <c r="AX240" s="37">
        <f t="shared" ref="AX240" si="3007">TRUNC($M240 * AW240,2)</f>
        <v>0</v>
      </c>
      <c r="AY240" s="36">
        <f t="shared" si="2700"/>
        <v>0</v>
      </c>
      <c r="AZ240" s="38">
        <f t="shared" ref="AZ240" si="3008">TRUNC($M240 * AY240,2)</f>
        <v>0</v>
      </c>
      <c r="BA240" s="38">
        <f t="shared" si="2702"/>
        <v>4</v>
      </c>
      <c r="BB240" s="37">
        <f t="shared" ref="BB240" si="3009">TRUNC($M240 * BA240,2)</f>
        <v>33.44</v>
      </c>
    </row>
    <row r="241" spans="1:54" ht="39" customHeight="1" x14ac:dyDescent="0.25">
      <c r="A241" s="31" t="s">
        <v>1054</v>
      </c>
      <c r="B241" s="31" t="s">
        <v>523</v>
      </c>
      <c r="C241" s="31" t="s">
        <v>34</v>
      </c>
      <c r="D241" s="31" t="s">
        <v>524</v>
      </c>
      <c r="E241" s="32" t="s">
        <v>36</v>
      </c>
      <c r="F241" s="33">
        <v>86</v>
      </c>
      <c r="G241" s="34">
        <v>8.08</v>
      </c>
      <c r="H241" s="34">
        <f t="shared" si="2679"/>
        <v>7.43</v>
      </c>
      <c r="I241" s="34">
        <f t="shared" si="2680"/>
        <v>638.98</v>
      </c>
      <c r="J241" s="34">
        <f>(TRUNC(H241 * L14,2) + H241)</f>
        <v>8.94</v>
      </c>
      <c r="K241" s="34">
        <f t="shared" si="2681"/>
        <v>768.84</v>
      </c>
      <c r="L241" s="35">
        <f>K241 / L13</f>
        <v>2.651172413793103E-4</v>
      </c>
      <c r="M241" s="36">
        <v>7.32</v>
      </c>
      <c r="N241" s="37">
        <f t="shared" si="2682"/>
        <v>629.52</v>
      </c>
      <c r="O241" s="36"/>
      <c r="P241" s="38">
        <f t="shared" si="2683"/>
        <v>0</v>
      </c>
      <c r="Q241" s="38"/>
      <c r="R241" s="38">
        <f t="shared" si="2683"/>
        <v>0</v>
      </c>
      <c r="S241" s="38">
        <f t="shared" si="2684"/>
        <v>86</v>
      </c>
      <c r="T241" s="37">
        <f t="shared" ref="T241:V241" si="3010">TRUNC($M241 * S241,2)</f>
        <v>629.52</v>
      </c>
      <c r="U241" s="36"/>
      <c r="V241" s="38">
        <f t="shared" si="3010"/>
        <v>0</v>
      </c>
      <c r="W241" s="38"/>
      <c r="X241" s="38">
        <f t="shared" ref="X241" si="3011">TRUNC($M241 * W241,2)</f>
        <v>0</v>
      </c>
      <c r="Y241" s="38"/>
      <c r="Z241" s="38">
        <f t="shared" ref="Z241" si="3012">TRUNC($M241 * Y241,2)</f>
        <v>0</v>
      </c>
      <c r="AA241" s="38"/>
      <c r="AB241" s="38">
        <f t="shared" ref="AB241" si="3013">TRUNC($M241 * AA241,2)</f>
        <v>0</v>
      </c>
      <c r="AC241" s="38"/>
      <c r="AD241" s="38">
        <f t="shared" ref="AD241" si="3014">TRUNC($M241 * AC241,2)</f>
        <v>0</v>
      </c>
      <c r="AE241" s="38"/>
      <c r="AF241" s="38">
        <f t="shared" ref="AF241" si="3015">TRUNC($M241 * AE241,2)</f>
        <v>0</v>
      </c>
      <c r="AG241" s="38"/>
      <c r="AH241" s="38">
        <f t="shared" ref="AH241" si="3016">TRUNC($M241 * AG241,2)</f>
        <v>0</v>
      </c>
      <c r="AI241" s="38"/>
      <c r="AJ241" s="38">
        <f t="shared" ref="AJ241" si="3017">TRUNC($M241 * AI241,2)</f>
        <v>0</v>
      </c>
      <c r="AK241" s="38"/>
      <c r="AL241" s="38">
        <f t="shared" ref="AL241" si="3018">TRUNC($M241 * AK241,2)</f>
        <v>0</v>
      </c>
      <c r="AM241" s="38"/>
      <c r="AN241" s="38">
        <f t="shared" ref="AN241" si="3019">TRUNC($M241 * AM241,2)</f>
        <v>0</v>
      </c>
      <c r="AO241" s="38"/>
      <c r="AP241" s="38">
        <f t="shared" ref="AP241" si="3020">TRUNC($M241 * AO241,2)</f>
        <v>0</v>
      </c>
      <c r="AQ241" s="38"/>
      <c r="AR241" s="38">
        <f t="shared" ref="AR241" si="3021">TRUNC($M241 * AQ241,2)</f>
        <v>0</v>
      </c>
      <c r="AS241" s="38"/>
      <c r="AT241" s="38">
        <f t="shared" ref="AT241" si="3022">TRUNC($M241 * AS241,2)</f>
        <v>0</v>
      </c>
      <c r="AU241" s="38"/>
      <c r="AV241" s="38">
        <f t="shared" ref="AV241" si="3023">TRUNC($M241 * AU241,2)</f>
        <v>0</v>
      </c>
      <c r="AW241" s="38"/>
      <c r="AX241" s="37">
        <f t="shared" ref="AX241" si="3024">TRUNC($M241 * AW241,2)</f>
        <v>0</v>
      </c>
      <c r="AY241" s="36">
        <f t="shared" si="2700"/>
        <v>0</v>
      </c>
      <c r="AZ241" s="38">
        <f t="shared" ref="AZ241" si="3025">TRUNC($M241 * AY241,2)</f>
        <v>0</v>
      </c>
      <c r="BA241" s="38">
        <f t="shared" si="2702"/>
        <v>86</v>
      </c>
      <c r="BB241" s="37">
        <f t="shared" ref="BB241" si="3026">TRUNC($M241 * BA241,2)</f>
        <v>629.52</v>
      </c>
    </row>
    <row r="242" spans="1:54" ht="39" customHeight="1" x14ac:dyDescent="0.25">
      <c r="A242" s="31" t="s">
        <v>1055</v>
      </c>
      <c r="B242" s="31" t="s">
        <v>525</v>
      </c>
      <c r="C242" s="31" t="s">
        <v>34</v>
      </c>
      <c r="D242" s="31" t="s">
        <v>526</v>
      </c>
      <c r="E242" s="32" t="s">
        <v>36</v>
      </c>
      <c r="F242" s="33">
        <v>1</v>
      </c>
      <c r="G242" s="34">
        <v>13.55</v>
      </c>
      <c r="H242" s="34">
        <f t="shared" si="2679"/>
        <v>12.47</v>
      </c>
      <c r="I242" s="34">
        <f t="shared" si="2680"/>
        <v>12.47</v>
      </c>
      <c r="J242" s="34">
        <f>(TRUNC(H242 * L14,2) + H242)</f>
        <v>15</v>
      </c>
      <c r="K242" s="34">
        <f t="shared" si="2681"/>
        <v>15</v>
      </c>
      <c r="L242" s="35">
        <f>K242 / L13</f>
        <v>5.1724137931034475E-6</v>
      </c>
      <c r="M242" s="36">
        <v>11.9</v>
      </c>
      <c r="N242" s="37">
        <f t="shared" si="2682"/>
        <v>11.9</v>
      </c>
      <c r="O242" s="36"/>
      <c r="P242" s="38">
        <f t="shared" si="2683"/>
        <v>0</v>
      </c>
      <c r="Q242" s="38"/>
      <c r="R242" s="38">
        <f t="shared" si="2683"/>
        <v>0</v>
      </c>
      <c r="S242" s="38">
        <f t="shared" si="2684"/>
        <v>1</v>
      </c>
      <c r="T242" s="37">
        <f t="shared" ref="T242:V242" si="3027">TRUNC($M242 * S242,2)</f>
        <v>11.9</v>
      </c>
      <c r="U242" s="36"/>
      <c r="V242" s="38">
        <f t="shared" si="3027"/>
        <v>0</v>
      </c>
      <c r="W242" s="38"/>
      <c r="X242" s="38">
        <f t="shared" ref="X242" si="3028">TRUNC($M242 * W242,2)</f>
        <v>0</v>
      </c>
      <c r="Y242" s="38"/>
      <c r="Z242" s="38">
        <f t="shared" ref="Z242" si="3029">TRUNC($M242 * Y242,2)</f>
        <v>0</v>
      </c>
      <c r="AA242" s="38"/>
      <c r="AB242" s="38">
        <f t="shared" ref="AB242" si="3030">TRUNC($M242 * AA242,2)</f>
        <v>0</v>
      </c>
      <c r="AC242" s="38"/>
      <c r="AD242" s="38">
        <f t="shared" ref="AD242" si="3031">TRUNC($M242 * AC242,2)</f>
        <v>0</v>
      </c>
      <c r="AE242" s="38"/>
      <c r="AF242" s="38">
        <f t="shared" ref="AF242" si="3032">TRUNC($M242 * AE242,2)</f>
        <v>0</v>
      </c>
      <c r="AG242" s="38"/>
      <c r="AH242" s="38">
        <f t="shared" ref="AH242" si="3033">TRUNC($M242 * AG242,2)</f>
        <v>0</v>
      </c>
      <c r="AI242" s="38"/>
      <c r="AJ242" s="38">
        <f t="shared" ref="AJ242" si="3034">TRUNC($M242 * AI242,2)</f>
        <v>0</v>
      </c>
      <c r="AK242" s="38"/>
      <c r="AL242" s="38">
        <f t="shared" ref="AL242" si="3035">TRUNC($M242 * AK242,2)</f>
        <v>0</v>
      </c>
      <c r="AM242" s="38"/>
      <c r="AN242" s="38">
        <f t="shared" ref="AN242" si="3036">TRUNC($M242 * AM242,2)</f>
        <v>0</v>
      </c>
      <c r="AO242" s="38"/>
      <c r="AP242" s="38">
        <f t="shared" ref="AP242" si="3037">TRUNC($M242 * AO242,2)</f>
        <v>0</v>
      </c>
      <c r="AQ242" s="38"/>
      <c r="AR242" s="38">
        <f t="shared" ref="AR242" si="3038">TRUNC($M242 * AQ242,2)</f>
        <v>0</v>
      </c>
      <c r="AS242" s="38"/>
      <c r="AT242" s="38">
        <f t="shared" ref="AT242" si="3039">TRUNC($M242 * AS242,2)</f>
        <v>0</v>
      </c>
      <c r="AU242" s="38"/>
      <c r="AV242" s="38">
        <f t="shared" ref="AV242" si="3040">TRUNC($M242 * AU242,2)</f>
        <v>0</v>
      </c>
      <c r="AW242" s="38"/>
      <c r="AX242" s="37">
        <f t="shared" ref="AX242" si="3041">TRUNC($M242 * AW242,2)</f>
        <v>0</v>
      </c>
      <c r="AY242" s="36">
        <f t="shared" si="2700"/>
        <v>0</v>
      </c>
      <c r="AZ242" s="38">
        <f t="shared" ref="AZ242" si="3042">TRUNC($M242 * AY242,2)</f>
        <v>0</v>
      </c>
      <c r="BA242" s="38">
        <f t="shared" si="2702"/>
        <v>1</v>
      </c>
      <c r="BB242" s="37">
        <f t="shared" ref="BB242" si="3043">TRUNC($M242 * BA242,2)</f>
        <v>11.9</v>
      </c>
    </row>
    <row r="243" spans="1:54" ht="39" customHeight="1" x14ac:dyDescent="0.25">
      <c r="A243" s="31" t="s">
        <v>1056</v>
      </c>
      <c r="B243" s="31" t="s">
        <v>527</v>
      </c>
      <c r="C243" s="31" t="s">
        <v>34</v>
      </c>
      <c r="D243" s="31" t="s">
        <v>528</v>
      </c>
      <c r="E243" s="32" t="s">
        <v>36</v>
      </c>
      <c r="F243" s="33">
        <v>29</v>
      </c>
      <c r="G243" s="34">
        <v>15.61</v>
      </c>
      <c r="H243" s="34">
        <f t="shared" si="2679"/>
        <v>14.37</v>
      </c>
      <c r="I243" s="34">
        <f t="shared" si="2680"/>
        <v>416.73</v>
      </c>
      <c r="J243" s="34">
        <f>(TRUNC(H243 * L14,2) + H243)</f>
        <v>17.29</v>
      </c>
      <c r="K243" s="34">
        <f t="shared" si="2681"/>
        <v>501.41</v>
      </c>
      <c r="L243" s="35">
        <f>K243 / L13</f>
        <v>1.7289999999999997E-4</v>
      </c>
      <c r="M243" s="36">
        <v>12.11</v>
      </c>
      <c r="N243" s="37">
        <f t="shared" si="2682"/>
        <v>351.19</v>
      </c>
      <c r="O243" s="36"/>
      <c r="P243" s="38">
        <f t="shared" si="2683"/>
        <v>0</v>
      </c>
      <c r="Q243" s="38"/>
      <c r="R243" s="38">
        <f t="shared" si="2683"/>
        <v>0</v>
      </c>
      <c r="S243" s="38">
        <f t="shared" si="2684"/>
        <v>29</v>
      </c>
      <c r="T243" s="37">
        <f t="shared" ref="T243:V243" si="3044">TRUNC($M243 * S243,2)</f>
        <v>351.19</v>
      </c>
      <c r="U243" s="36"/>
      <c r="V243" s="38">
        <f t="shared" si="3044"/>
        <v>0</v>
      </c>
      <c r="W243" s="38"/>
      <c r="X243" s="38">
        <f t="shared" ref="X243" si="3045">TRUNC($M243 * W243,2)</f>
        <v>0</v>
      </c>
      <c r="Y243" s="38"/>
      <c r="Z243" s="38">
        <f t="shared" ref="Z243" si="3046">TRUNC($M243 * Y243,2)</f>
        <v>0</v>
      </c>
      <c r="AA243" s="38"/>
      <c r="AB243" s="38">
        <f t="shared" ref="AB243" si="3047">TRUNC($M243 * AA243,2)</f>
        <v>0</v>
      </c>
      <c r="AC243" s="38"/>
      <c r="AD243" s="38">
        <f t="shared" ref="AD243" si="3048">TRUNC($M243 * AC243,2)</f>
        <v>0</v>
      </c>
      <c r="AE243" s="38"/>
      <c r="AF243" s="38">
        <f t="shared" ref="AF243" si="3049">TRUNC($M243 * AE243,2)</f>
        <v>0</v>
      </c>
      <c r="AG243" s="38"/>
      <c r="AH243" s="38">
        <f t="shared" ref="AH243" si="3050">TRUNC($M243 * AG243,2)</f>
        <v>0</v>
      </c>
      <c r="AI243" s="38"/>
      <c r="AJ243" s="38">
        <f t="shared" ref="AJ243" si="3051">TRUNC($M243 * AI243,2)</f>
        <v>0</v>
      </c>
      <c r="AK243" s="38"/>
      <c r="AL243" s="38">
        <f t="shared" ref="AL243" si="3052">TRUNC($M243 * AK243,2)</f>
        <v>0</v>
      </c>
      <c r="AM243" s="38"/>
      <c r="AN243" s="38">
        <f t="shared" ref="AN243" si="3053">TRUNC($M243 * AM243,2)</f>
        <v>0</v>
      </c>
      <c r="AO243" s="38"/>
      <c r="AP243" s="38">
        <f t="shared" ref="AP243" si="3054">TRUNC($M243 * AO243,2)</f>
        <v>0</v>
      </c>
      <c r="AQ243" s="38"/>
      <c r="AR243" s="38">
        <f t="shared" ref="AR243" si="3055">TRUNC($M243 * AQ243,2)</f>
        <v>0</v>
      </c>
      <c r="AS243" s="38"/>
      <c r="AT243" s="38">
        <f t="shared" ref="AT243" si="3056">TRUNC($M243 * AS243,2)</f>
        <v>0</v>
      </c>
      <c r="AU243" s="38"/>
      <c r="AV243" s="38">
        <f t="shared" ref="AV243" si="3057">TRUNC($M243 * AU243,2)</f>
        <v>0</v>
      </c>
      <c r="AW243" s="38"/>
      <c r="AX243" s="37">
        <f t="shared" ref="AX243" si="3058">TRUNC($M243 * AW243,2)</f>
        <v>0</v>
      </c>
      <c r="AY243" s="36">
        <f t="shared" si="2700"/>
        <v>0</v>
      </c>
      <c r="AZ243" s="38">
        <f t="shared" ref="AZ243" si="3059">TRUNC($M243 * AY243,2)</f>
        <v>0</v>
      </c>
      <c r="BA243" s="38">
        <f t="shared" si="2702"/>
        <v>29</v>
      </c>
      <c r="BB243" s="37">
        <f t="shared" ref="BB243" si="3060">TRUNC($M243 * BA243,2)</f>
        <v>351.19</v>
      </c>
    </row>
    <row r="244" spans="1:54" ht="39" customHeight="1" x14ac:dyDescent="0.25">
      <c r="A244" s="31" t="s">
        <v>1057</v>
      </c>
      <c r="B244" s="31" t="s">
        <v>529</v>
      </c>
      <c r="C244" s="31" t="s">
        <v>34</v>
      </c>
      <c r="D244" s="31" t="s">
        <v>530</v>
      </c>
      <c r="E244" s="32" t="s">
        <v>36</v>
      </c>
      <c r="F244" s="33">
        <v>1</v>
      </c>
      <c r="G244" s="34">
        <v>34.89</v>
      </c>
      <c r="H244" s="34">
        <f t="shared" si="2679"/>
        <v>32.119999999999997</v>
      </c>
      <c r="I244" s="34">
        <f t="shared" si="2680"/>
        <v>32.119999999999997</v>
      </c>
      <c r="J244" s="34">
        <f>(TRUNC(H244 * L14,2) + H244)</f>
        <v>38.65</v>
      </c>
      <c r="K244" s="34">
        <f t="shared" si="2681"/>
        <v>38.65</v>
      </c>
      <c r="L244" s="35">
        <f>K244 / L13</f>
        <v>1.332758620689655E-5</v>
      </c>
      <c r="M244" s="36">
        <v>26.65</v>
      </c>
      <c r="N244" s="37">
        <f t="shared" si="2682"/>
        <v>26.65</v>
      </c>
      <c r="O244" s="36"/>
      <c r="P244" s="38">
        <f t="shared" si="2683"/>
        <v>0</v>
      </c>
      <c r="Q244" s="38"/>
      <c r="R244" s="38">
        <f t="shared" si="2683"/>
        <v>0</v>
      </c>
      <c r="S244" s="38">
        <f t="shared" si="2684"/>
        <v>1</v>
      </c>
      <c r="T244" s="37">
        <f t="shared" ref="T244:V244" si="3061">TRUNC($M244 * S244,2)</f>
        <v>26.65</v>
      </c>
      <c r="U244" s="36"/>
      <c r="V244" s="38">
        <f t="shared" si="3061"/>
        <v>0</v>
      </c>
      <c r="W244" s="38"/>
      <c r="X244" s="38">
        <f t="shared" ref="X244" si="3062">TRUNC($M244 * W244,2)</f>
        <v>0</v>
      </c>
      <c r="Y244" s="38"/>
      <c r="Z244" s="38">
        <f t="shared" ref="Z244" si="3063">TRUNC($M244 * Y244,2)</f>
        <v>0</v>
      </c>
      <c r="AA244" s="38"/>
      <c r="AB244" s="38">
        <f t="shared" ref="AB244" si="3064">TRUNC($M244 * AA244,2)</f>
        <v>0</v>
      </c>
      <c r="AC244" s="38"/>
      <c r="AD244" s="38">
        <f t="shared" ref="AD244" si="3065">TRUNC($M244 * AC244,2)</f>
        <v>0</v>
      </c>
      <c r="AE244" s="38"/>
      <c r="AF244" s="38">
        <f t="shared" ref="AF244" si="3066">TRUNC($M244 * AE244,2)</f>
        <v>0</v>
      </c>
      <c r="AG244" s="38"/>
      <c r="AH244" s="38">
        <f t="shared" ref="AH244" si="3067">TRUNC($M244 * AG244,2)</f>
        <v>0</v>
      </c>
      <c r="AI244" s="38"/>
      <c r="AJ244" s="38">
        <f t="shared" ref="AJ244" si="3068">TRUNC($M244 * AI244,2)</f>
        <v>0</v>
      </c>
      <c r="AK244" s="38"/>
      <c r="AL244" s="38">
        <f t="shared" ref="AL244" si="3069">TRUNC($M244 * AK244,2)</f>
        <v>0</v>
      </c>
      <c r="AM244" s="38"/>
      <c r="AN244" s="38">
        <f t="shared" ref="AN244" si="3070">TRUNC($M244 * AM244,2)</f>
        <v>0</v>
      </c>
      <c r="AO244" s="38"/>
      <c r="AP244" s="38">
        <f t="shared" ref="AP244" si="3071">TRUNC($M244 * AO244,2)</f>
        <v>0</v>
      </c>
      <c r="AQ244" s="38"/>
      <c r="AR244" s="38">
        <f t="shared" ref="AR244" si="3072">TRUNC($M244 * AQ244,2)</f>
        <v>0</v>
      </c>
      <c r="AS244" s="38"/>
      <c r="AT244" s="38">
        <f t="shared" ref="AT244" si="3073">TRUNC($M244 * AS244,2)</f>
        <v>0</v>
      </c>
      <c r="AU244" s="38"/>
      <c r="AV244" s="38">
        <f t="shared" ref="AV244" si="3074">TRUNC($M244 * AU244,2)</f>
        <v>0</v>
      </c>
      <c r="AW244" s="38"/>
      <c r="AX244" s="37">
        <f t="shared" ref="AX244" si="3075">TRUNC($M244 * AW244,2)</f>
        <v>0</v>
      </c>
      <c r="AY244" s="36">
        <f t="shared" si="2700"/>
        <v>0</v>
      </c>
      <c r="AZ244" s="38">
        <f t="shared" ref="AZ244" si="3076">TRUNC($M244 * AY244,2)</f>
        <v>0</v>
      </c>
      <c r="BA244" s="38">
        <f t="shared" si="2702"/>
        <v>1</v>
      </c>
      <c r="BB244" s="37">
        <f t="shared" ref="BB244" si="3077">TRUNC($M244 * BA244,2)</f>
        <v>26.65</v>
      </c>
    </row>
    <row r="245" spans="1:54" ht="39" customHeight="1" x14ac:dyDescent="0.25">
      <c r="A245" s="31" t="s">
        <v>1058</v>
      </c>
      <c r="B245" s="31" t="s">
        <v>531</v>
      </c>
      <c r="C245" s="31" t="s">
        <v>34</v>
      </c>
      <c r="D245" s="31" t="s">
        <v>532</v>
      </c>
      <c r="E245" s="32" t="s">
        <v>218</v>
      </c>
      <c r="F245" s="33">
        <v>299.39999999999998</v>
      </c>
      <c r="G245" s="34">
        <v>27.63</v>
      </c>
      <c r="H245" s="34">
        <f t="shared" si="2679"/>
        <v>25.44</v>
      </c>
      <c r="I245" s="34">
        <f t="shared" si="2680"/>
        <v>7616.73</v>
      </c>
      <c r="J245" s="34">
        <f>(TRUNC(H245 * L14,2) + H245)</f>
        <v>30.61</v>
      </c>
      <c r="K245" s="34">
        <f t="shared" si="2681"/>
        <v>9164.6299999999992</v>
      </c>
      <c r="L245" s="35">
        <f>K245 / L13</f>
        <v>3.1602172413793097E-3</v>
      </c>
      <c r="M245" s="36">
        <v>32.08</v>
      </c>
      <c r="N245" s="37">
        <f t="shared" si="2682"/>
        <v>9604.75</v>
      </c>
      <c r="O245" s="36"/>
      <c r="P245" s="38">
        <f t="shared" si="2683"/>
        <v>0</v>
      </c>
      <c r="Q245" s="38"/>
      <c r="R245" s="38">
        <f t="shared" si="2683"/>
        <v>0</v>
      </c>
      <c r="S245" s="38">
        <f t="shared" si="2684"/>
        <v>299.39999999999998</v>
      </c>
      <c r="T245" s="37">
        <f t="shared" ref="T245:V245" si="3078">TRUNC($M245 * S245,2)</f>
        <v>9604.75</v>
      </c>
      <c r="U245" s="36"/>
      <c r="V245" s="38">
        <f t="shared" si="3078"/>
        <v>0</v>
      </c>
      <c r="W245" s="38"/>
      <c r="X245" s="38">
        <f t="shared" ref="X245" si="3079">TRUNC($M245 * W245,2)</f>
        <v>0</v>
      </c>
      <c r="Y245" s="38"/>
      <c r="Z245" s="38">
        <f t="shared" ref="Z245" si="3080">TRUNC($M245 * Y245,2)</f>
        <v>0</v>
      </c>
      <c r="AA245" s="38"/>
      <c r="AB245" s="38">
        <f t="shared" ref="AB245" si="3081">TRUNC($M245 * AA245,2)</f>
        <v>0</v>
      </c>
      <c r="AC245" s="38"/>
      <c r="AD245" s="38">
        <f t="shared" ref="AD245" si="3082">TRUNC($M245 * AC245,2)</f>
        <v>0</v>
      </c>
      <c r="AE245" s="38"/>
      <c r="AF245" s="38">
        <f t="shared" ref="AF245" si="3083">TRUNC($M245 * AE245,2)</f>
        <v>0</v>
      </c>
      <c r="AG245" s="38"/>
      <c r="AH245" s="38">
        <f t="shared" ref="AH245" si="3084">TRUNC($M245 * AG245,2)</f>
        <v>0</v>
      </c>
      <c r="AI245" s="38"/>
      <c r="AJ245" s="38">
        <f t="shared" ref="AJ245" si="3085">TRUNC($M245 * AI245,2)</f>
        <v>0</v>
      </c>
      <c r="AK245" s="38"/>
      <c r="AL245" s="38">
        <f t="shared" ref="AL245" si="3086">TRUNC($M245 * AK245,2)</f>
        <v>0</v>
      </c>
      <c r="AM245" s="38"/>
      <c r="AN245" s="38">
        <f t="shared" ref="AN245" si="3087">TRUNC($M245 * AM245,2)</f>
        <v>0</v>
      </c>
      <c r="AO245" s="38"/>
      <c r="AP245" s="38">
        <f t="shared" ref="AP245" si="3088">TRUNC($M245 * AO245,2)</f>
        <v>0</v>
      </c>
      <c r="AQ245" s="38"/>
      <c r="AR245" s="38">
        <f t="shared" ref="AR245" si="3089">TRUNC($M245 * AQ245,2)</f>
        <v>0</v>
      </c>
      <c r="AS245" s="38"/>
      <c r="AT245" s="38">
        <f t="shared" ref="AT245" si="3090">TRUNC($M245 * AS245,2)</f>
        <v>0</v>
      </c>
      <c r="AU245" s="38"/>
      <c r="AV245" s="38">
        <f t="shared" ref="AV245" si="3091">TRUNC($M245 * AU245,2)</f>
        <v>0</v>
      </c>
      <c r="AW245" s="38"/>
      <c r="AX245" s="37">
        <f t="shared" ref="AX245" si="3092">TRUNC($M245 * AW245,2)</f>
        <v>0</v>
      </c>
      <c r="AY245" s="36">
        <f t="shared" si="2700"/>
        <v>0</v>
      </c>
      <c r="AZ245" s="38">
        <f t="shared" ref="AZ245" si="3093">TRUNC($M245 * AY245,2)</f>
        <v>0</v>
      </c>
      <c r="BA245" s="38">
        <f t="shared" si="2702"/>
        <v>299.39999999999998</v>
      </c>
      <c r="BB245" s="37">
        <f t="shared" ref="BB245" si="3094">TRUNC($M245 * BA245,2)</f>
        <v>9604.75</v>
      </c>
    </row>
    <row r="246" spans="1:54" ht="39" customHeight="1" x14ac:dyDescent="0.25">
      <c r="A246" s="31" t="s">
        <v>1059</v>
      </c>
      <c r="B246" s="31" t="s">
        <v>533</v>
      </c>
      <c r="C246" s="31" t="s">
        <v>34</v>
      </c>
      <c r="D246" s="31" t="s">
        <v>534</v>
      </c>
      <c r="E246" s="32" t="s">
        <v>36</v>
      </c>
      <c r="F246" s="33">
        <v>39</v>
      </c>
      <c r="G246" s="34">
        <v>11.53</v>
      </c>
      <c r="H246" s="34">
        <f t="shared" si="2679"/>
        <v>10.61</v>
      </c>
      <c r="I246" s="34">
        <f t="shared" si="2680"/>
        <v>413.79</v>
      </c>
      <c r="J246" s="34">
        <f>(TRUNC(H246 * L14,2) + H246)</f>
        <v>12.76</v>
      </c>
      <c r="K246" s="34">
        <f t="shared" si="2681"/>
        <v>497.64</v>
      </c>
      <c r="L246" s="35">
        <f>K246 / L13</f>
        <v>1.7159999999999997E-4</v>
      </c>
      <c r="M246" s="36">
        <v>11.5</v>
      </c>
      <c r="N246" s="37">
        <f t="shared" si="2682"/>
        <v>448.5</v>
      </c>
      <c r="O246" s="36"/>
      <c r="P246" s="38">
        <f t="shared" si="2683"/>
        <v>0</v>
      </c>
      <c r="Q246" s="38"/>
      <c r="R246" s="38">
        <f t="shared" si="2683"/>
        <v>0</v>
      </c>
      <c r="S246" s="38">
        <f t="shared" si="2684"/>
        <v>39</v>
      </c>
      <c r="T246" s="37">
        <f t="shared" ref="T246:V246" si="3095">TRUNC($M246 * S246,2)</f>
        <v>448.5</v>
      </c>
      <c r="U246" s="36"/>
      <c r="V246" s="38">
        <f t="shared" si="3095"/>
        <v>0</v>
      </c>
      <c r="W246" s="38"/>
      <c r="X246" s="38">
        <f t="shared" ref="X246" si="3096">TRUNC($M246 * W246,2)</f>
        <v>0</v>
      </c>
      <c r="Y246" s="38"/>
      <c r="Z246" s="38">
        <f t="shared" ref="Z246" si="3097">TRUNC($M246 * Y246,2)</f>
        <v>0</v>
      </c>
      <c r="AA246" s="38"/>
      <c r="AB246" s="38">
        <f t="shared" ref="AB246" si="3098">TRUNC($M246 * AA246,2)</f>
        <v>0</v>
      </c>
      <c r="AC246" s="38"/>
      <c r="AD246" s="38">
        <f t="shared" ref="AD246" si="3099">TRUNC($M246 * AC246,2)</f>
        <v>0</v>
      </c>
      <c r="AE246" s="38"/>
      <c r="AF246" s="38">
        <f t="shared" ref="AF246" si="3100">TRUNC($M246 * AE246,2)</f>
        <v>0</v>
      </c>
      <c r="AG246" s="38"/>
      <c r="AH246" s="38">
        <f t="shared" ref="AH246" si="3101">TRUNC($M246 * AG246,2)</f>
        <v>0</v>
      </c>
      <c r="AI246" s="38"/>
      <c r="AJ246" s="38">
        <f t="shared" ref="AJ246" si="3102">TRUNC($M246 * AI246,2)</f>
        <v>0</v>
      </c>
      <c r="AK246" s="38"/>
      <c r="AL246" s="38">
        <f t="shared" ref="AL246" si="3103">TRUNC($M246 * AK246,2)</f>
        <v>0</v>
      </c>
      <c r="AM246" s="38"/>
      <c r="AN246" s="38">
        <f t="shared" ref="AN246" si="3104">TRUNC($M246 * AM246,2)</f>
        <v>0</v>
      </c>
      <c r="AO246" s="38"/>
      <c r="AP246" s="38">
        <f t="shared" ref="AP246" si="3105">TRUNC($M246 * AO246,2)</f>
        <v>0</v>
      </c>
      <c r="AQ246" s="38"/>
      <c r="AR246" s="38">
        <f t="shared" ref="AR246" si="3106">TRUNC($M246 * AQ246,2)</f>
        <v>0</v>
      </c>
      <c r="AS246" s="38"/>
      <c r="AT246" s="38">
        <f t="shared" ref="AT246" si="3107">TRUNC($M246 * AS246,2)</f>
        <v>0</v>
      </c>
      <c r="AU246" s="38"/>
      <c r="AV246" s="38">
        <f t="shared" ref="AV246" si="3108">TRUNC($M246 * AU246,2)</f>
        <v>0</v>
      </c>
      <c r="AW246" s="38"/>
      <c r="AX246" s="37">
        <f t="shared" ref="AX246" si="3109">TRUNC($M246 * AW246,2)</f>
        <v>0</v>
      </c>
      <c r="AY246" s="36">
        <f t="shared" si="2700"/>
        <v>0</v>
      </c>
      <c r="AZ246" s="38">
        <f t="shared" ref="AZ246" si="3110">TRUNC($M246 * AY246,2)</f>
        <v>0</v>
      </c>
      <c r="BA246" s="38">
        <f t="shared" si="2702"/>
        <v>39</v>
      </c>
      <c r="BB246" s="37">
        <f t="shared" ref="BB246" si="3111">TRUNC($M246 * BA246,2)</f>
        <v>448.5</v>
      </c>
    </row>
    <row r="247" spans="1:54" ht="39" customHeight="1" x14ac:dyDescent="0.25">
      <c r="A247" s="31" t="s">
        <v>1060</v>
      </c>
      <c r="B247" s="31" t="s">
        <v>535</v>
      </c>
      <c r="C247" s="31" t="s">
        <v>34</v>
      </c>
      <c r="D247" s="31" t="s">
        <v>536</v>
      </c>
      <c r="E247" s="32" t="s">
        <v>36</v>
      </c>
      <c r="F247" s="33">
        <v>20</v>
      </c>
      <c r="G247" s="34">
        <v>20.260000000000002</v>
      </c>
      <c r="H247" s="34">
        <f t="shared" si="2679"/>
        <v>18.649999999999999</v>
      </c>
      <c r="I247" s="34">
        <f t="shared" si="2680"/>
        <v>373</v>
      </c>
      <c r="J247" s="34">
        <f>(TRUNC(H247 * L14,2) + H247)</f>
        <v>22.439999999999998</v>
      </c>
      <c r="K247" s="34">
        <f t="shared" si="2681"/>
        <v>448.8</v>
      </c>
      <c r="L247" s="35">
        <f>K247 / L13</f>
        <v>1.5475862068965515E-4</v>
      </c>
      <c r="M247" s="36">
        <v>17.34</v>
      </c>
      <c r="N247" s="37">
        <f t="shared" si="2682"/>
        <v>346.8</v>
      </c>
      <c r="O247" s="36"/>
      <c r="P247" s="38">
        <f t="shared" si="2683"/>
        <v>0</v>
      </c>
      <c r="Q247" s="38"/>
      <c r="R247" s="38">
        <f t="shared" si="2683"/>
        <v>0</v>
      </c>
      <c r="S247" s="38">
        <f t="shared" si="2684"/>
        <v>20</v>
      </c>
      <c r="T247" s="37">
        <f t="shared" ref="T247:V247" si="3112">TRUNC($M247 * S247,2)</f>
        <v>346.8</v>
      </c>
      <c r="U247" s="36"/>
      <c r="V247" s="38">
        <f t="shared" si="3112"/>
        <v>0</v>
      </c>
      <c r="W247" s="38"/>
      <c r="X247" s="38">
        <f t="shared" ref="X247" si="3113">TRUNC($M247 * W247,2)</f>
        <v>0</v>
      </c>
      <c r="Y247" s="38"/>
      <c r="Z247" s="38">
        <f t="shared" ref="Z247" si="3114">TRUNC($M247 * Y247,2)</f>
        <v>0</v>
      </c>
      <c r="AA247" s="38"/>
      <c r="AB247" s="38">
        <f t="shared" ref="AB247" si="3115">TRUNC($M247 * AA247,2)</f>
        <v>0</v>
      </c>
      <c r="AC247" s="38"/>
      <c r="AD247" s="38">
        <f t="shared" ref="AD247" si="3116">TRUNC($M247 * AC247,2)</f>
        <v>0</v>
      </c>
      <c r="AE247" s="38"/>
      <c r="AF247" s="38">
        <f t="shared" ref="AF247" si="3117">TRUNC($M247 * AE247,2)</f>
        <v>0</v>
      </c>
      <c r="AG247" s="38"/>
      <c r="AH247" s="38">
        <f t="shared" ref="AH247" si="3118">TRUNC($M247 * AG247,2)</f>
        <v>0</v>
      </c>
      <c r="AI247" s="38"/>
      <c r="AJ247" s="38">
        <f t="shared" ref="AJ247" si="3119">TRUNC($M247 * AI247,2)</f>
        <v>0</v>
      </c>
      <c r="AK247" s="38"/>
      <c r="AL247" s="38">
        <f t="shared" ref="AL247" si="3120">TRUNC($M247 * AK247,2)</f>
        <v>0</v>
      </c>
      <c r="AM247" s="38"/>
      <c r="AN247" s="38">
        <f t="shared" ref="AN247" si="3121">TRUNC($M247 * AM247,2)</f>
        <v>0</v>
      </c>
      <c r="AO247" s="38"/>
      <c r="AP247" s="38">
        <f t="shared" ref="AP247" si="3122">TRUNC($M247 * AO247,2)</f>
        <v>0</v>
      </c>
      <c r="AQ247" s="38"/>
      <c r="AR247" s="38">
        <f t="shared" ref="AR247" si="3123">TRUNC($M247 * AQ247,2)</f>
        <v>0</v>
      </c>
      <c r="AS247" s="38"/>
      <c r="AT247" s="38">
        <f t="shared" ref="AT247" si="3124">TRUNC($M247 * AS247,2)</f>
        <v>0</v>
      </c>
      <c r="AU247" s="38"/>
      <c r="AV247" s="38">
        <f t="shared" ref="AV247" si="3125">TRUNC($M247 * AU247,2)</f>
        <v>0</v>
      </c>
      <c r="AW247" s="38"/>
      <c r="AX247" s="37">
        <f t="shared" ref="AX247" si="3126">TRUNC($M247 * AW247,2)</f>
        <v>0</v>
      </c>
      <c r="AY247" s="36">
        <f t="shared" si="2700"/>
        <v>0</v>
      </c>
      <c r="AZ247" s="38">
        <f t="shared" ref="AZ247" si="3127">TRUNC($M247 * AY247,2)</f>
        <v>0</v>
      </c>
      <c r="BA247" s="38">
        <f t="shared" si="2702"/>
        <v>20</v>
      </c>
      <c r="BB247" s="37">
        <f t="shared" ref="BB247" si="3128">TRUNC($M247 * BA247,2)</f>
        <v>346.8</v>
      </c>
    </row>
    <row r="248" spans="1:54" ht="39" customHeight="1" x14ac:dyDescent="0.25">
      <c r="A248" s="31" t="s">
        <v>1061</v>
      </c>
      <c r="B248" s="31" t="s">
        <v>537</v>
      </c>
      <c r="C248" s="31" t="s">
        <v>34</v>
      </c>
      <c r="D248" s="31" t="s">
        <v>538</v>
      </c>
      <c r="E248" s="32" t="s">
        <v>36</v>
      </c>
      <c r="F248" s="33">
        <v>10</v>
      </c>
      <c r="G248" s="34">
        <v>17.21</v>
      </c>
      <c r="H248" s="34">
        <f t="shared" si="2679"/>
        <v>15.84</v>
      </c>
      <c r="I248" s="34">
        <f t="shared" si="2680"/>
        <v>158.4</v>
      </c>
      <c r="J248" s="34">
        <f>(TRUNC(H248 * L14,2) + H248)</f>
        <v>19.059999999999999</v>
      </c>
      <c r="K248" s="34">
        <f t="shared" si="2681"/>
        <v>190.6</v>
      </c>
      <c r="L248" s="35">
        <f>K248 / L13</f>
        <v>6.5724137931034469E-5</v>
      </c>
      <c r="M248" s="36">
        <v>15.39</v>
      </c>
      <c r="N248" s="37">
        <f t="shared" si="2682"/>
        <v>153.9</v>
      </c>
      <c r="O248" s="36"/>
      <c r="P248" s="38">
        <f t="shared" si="2683"/>
        <v>0</v>
      </c>
      <c r="Q248" s="38"/>
      <c r="R248" s="38">
        <f t="shared" si="2683"/>
        <v>0</v>
      </c>
      <c r="S248" s="38">
        <f t="shared" si="2684"/>
        <v>10</v>
      </c>
      <c r="T248" s="37">
        <f t="shared" ref="T248:V248" si="3129">TRUNC($M248 * S248,2)</f>
        <v>153.9</v>
      </c>
      <c r="U248" s="36"/>
      <c r="V248" s="38">
        <f t="shared" si="3129"/>
        <v>0</v>
      </c>
      <c r="W248" s="38"/>
      <c r="X248" s="38">
        <f t="shared" ref="X248" si="3130">TRUNC($M248 * W248,2)</f>
        <v>0</v>
      </c>
      <c r="Y248" s="38"/>
      <c r="Z248" s="38">
        <f t="shared" ref="Z248" si="3131">TRUNC($M248 * Y248,2)</f>
        <v>0</v>
      </c>
      <c r="AA248" s="38"/>
      <c r="AB248" s="38">
        <f t="shared" ref="AB248" si="3132">TRUNC($M248 * AA248,2)</f>
        <v>0</v>
      </c>
      <c r="AC248" s="38"/>
      <c r="AD248" s="38">
        <f t="shared" ref="AD248" si="3133">TRUNC($M248 * AC248,2)</f>
        <v>0</v>
      </c>
      <c r="AE248" s="38"/>
      <c r="AF248" s="38">
        <f t="shared" ref="AF248" si="3134">TRUNC($M248 * AE248,2)</f>
        <v>0</v>
      </c>
      <c r="AG248" s="38"/>
      <c r="AH248" s="38">
        <f t="shared" ref="AH248" si="3135">TRUNC($M248 * AG248,2)</f>
        <v>0</v>
      </c>
      <c r="AI248" s="38"/>
      <c r="AJ248" s="38">
        <f t="shared" ref="AJ248" si="3136">TRUNC($M248 * AI248,2)</f>
        <v>0</v>
      </c>
      <c r="AK248" s="38"/>
      <c r="AL248" s="38">
        <f t="shared" ref="AL248" si="3137">TRUNC($M248 * AK248,2)</f>
        <v>0</v>
      </c>
      <c r="AM248" s="38"/>
      <c r="AN248" s="38">
        <f t="shared" ref="AN248" si="3138">TRUNC($M248 * AM248,2)</f>
        <v>0</v>
      </c>
      <c r="AO248" s="38"/>
      <c r="AP248" s="38">
        <f t="shared" ref="AP248" si="3139">TRUNC($M248 * AO248,2)</f>
        <v>0</v>
      </c>
      <c r="AQ248" s="38"/>
      <c r="AR248" s="38">
        <f t="shared" ref="AR248" si="3140">TRUNC($M248 * AQ248,2)</f>
        <v>0</v>
      </c>
      <c r="AS248" s="38"/>
      <c r="AT248" s="38">
        <f t="shared" ref="AT248" si="3141">TRUNC($M248 * AS248,2)</f>
        <v>0</v>
      </c>
      <c r="AU248" s="38"/>
      <c r="AV248" s="38">
        <f t="shared" ref="AV248" si="3142">TRUNC($M248 * AU248,2)</f>
        <v>0</v>
      </c>
      <c r="AW248" s="38"/>
      <c r="AX248" s="37">
        <f t="shared" ref="AX248" si="3143">TRUNC($M248 * AW248,2)</f>
        <v>0</v>
      </c>
      <c r="AY248" s="36">
        <f t="shared" si="2700"/>
        <v>0</v>
      </c>
      <c r="AZ248" s="38">
        <f t="shared" ref="AZ248" si="3144">TRUNC($M248 * AY248,2)</f>
        <v>0</v>
      </c>
      <c r="BA248" s="38">
        <f t="shared" si="2702"/>
        <v>10</v>
      </c>
      <c r="BB248" s="37">
        <f t="shared" ref="BB248" si="3145">TRUNC($M248 * BA248,2)</f>
        <v>153.9</v>
      </c>
    </row>
    <row r="249" spans="1:54" ht="39" customHeight="1" x14ac:dyDescent="0.25">
      <c r="A249" s="31" t="s">
        <v>1062</v>
      </c>
      <c r="B249" s="31" t="s">
        <v>539</v>
      </c>
      <c r="C249" s="31" t="s">
        <v>34</v>
      </c>
      <c r="D249" s="31" t="s">
        <v>540</v>
      </c>
      <c r="E249" s="32" t="s">
        <v>36</v>
      </c>
      <c r="F249" s="33">
        <v>55</v>
      </c>
      <c r="G249" s="34">
        <v>13.99</v>
      </c>
      <c r="H249" s="34">
        <f t="shared" si="2679"/>
        <v>12.88</v>
      </c>
      <c r="I249" s="34">
        <f t="shared" si="2680"/>
        <v>708.4</v>
      </c>
      <c r="J249" s="34">
        <f>(TRUNC(H249 * L14,2) + H249)</f>
        <v>15.49</v>
      </c>
      <c r="K249" s="34">
        <f t="shared" si="2681"/>
        <v>851.95</v>
      </c>
      <c r="L249" s="35">
        <f>K249 / L13</f>
        <v>2.937758620689655E-4</v>
      </c>
      <c r="M249" s="36">
        <v>12.9</v>
      </c>
      <c r="N249" s="37">
        <f t="shared" si="2682"/>
        <v>709.5</v>
      </c>
      <c r="O249" s="36"/>
      <c r="P249" s="38">
        <f t="shared" si="2683"/>
        <v>0</v>
      </c>
      <c r="Q249" s="38"/>
      <c r="R249" s="38">
        <f t="shared" si="2683"/>
        <v>0</v>
      </c>
      <c r="S249" s="38">
        <f t="shared" si="2684"/>
        <v>55</v>
      </c>
      <c r="T249" s="37">
        <f t="shared" ref="T249:V249" si="3146">TRUNC($M249 * S249,2)</f>
        <v>709.5</v>
      </c>
      <c r="U249" s="36"/>
      <c r="V249" s="38">
        <f t="shared" si="3146"/>
        <v>0</v>
      </c>
      <c r="W249" s="38"/>
      <c r="X249" s="38">
        <f t="shared" ref="X249" si="3147">TRUNC($M249 * W249,2)</f>
        <v>0</v>
      </c>
      <c r="Y249" s="38"/>
      <c r="Z249" s="38">
        <f t="shared" ref="Z249" si="3148">TRUNC($M249 * Y249,2)</f>
        <v>0</v>
      </c>
      <c r="AA249" s="38"/>
      <c r="AB249" s="38">
        <f t="shared" ref="AB249" si="3149">TRUNC($M249 * AA249,2)</f>
        <v>0</v>
      </c>
      <c r="AC249" s="38"/>
      <c r="AD249" s="38">
        <f t="shared" ref="AD249" si="3150">TRUNC($M249 * AC249,2)</f>
        <v>0</v>
      </c>
      <c r="AE249" s="38"/>
      <c r="AF249" s="38">
        <f t="shared" ref="AF249" si="3151">TRUNC($M249 * AE249,2)</f>
        <v>0</v>
      </c>
      <c r="AG249" s="38"/>
      <c r="AH249" s="38">
        <f t="shared" ref="AH249" si="3152">TRUNC($M249 * AG249,2)</f>
        <v>0</v>
      </c>
      <c r="AI249" s="38"/>
      <c r="AJ249" s="38">
        <f t="shared" ref="AJ249" si="3153">TRUNC($M249 * AI249,2)</f>
        <v>0</v>
      </c>
      <c r="AK249" s="38"/>
      <c r="AL249" s="38">
        <f t="shared" ref="AL249" si="3154">TRUNC($M249 * AK249,2)</f>
        <v>0</v>
      </c>
      <c r="AM249" s="38"/>
      <c r="AN249" s="38">
        <f t="shared" ref="AN249" si="3155">TRUNC($M249 * AM249,2)</f>
        <v>0</v>
      </c>
      <c r="AO249" s="38"/>
      <c r="AP249" s="38">
        <f t="shared" ref="AP249" si="3156">TRUNC($M249 * AO249,2)</f>
        <v>0</v>
      </c>
      <c r="AQ249" s="38"/>
      <c r="AR249" s="38">
        <f t="shared" ref="AR249" si="3157">TRUNC($M249 * AQ249,2)</f>
        <v>0</v>
      </c>
      <c r="AS249" s="38"/>
      <c r="AT249" s="38">
        <f t="shared" ref="AT249" si="3158">TRUNC($M249 * AS249,2)</f>
        <v>0</v>
      </c>
      <c r="AU249" s="38"/>
      <c r="AV249" s="38">
        <f t="shared" ref="AV249" si="3159">TRUNC($M249 * AU249,2)</f>
        <v>0</v>
      </c>
      <c r="AW249" s="38"/>
      <c r="AX249" s="37">
        <f t="shared" ref="AX249" si="3160">TRUNC($M249 * AW249,2)</f>
        <v>0</v>
      </c>
      <c r="AY249" s="36">
        <f t="shared" si="2700"/>
        <v>0</v>
      </c>
      <c r="AZ249" s="38">
        <f t="shared" ref="AZ249" si="3161">TRUNC($M249 * AY249,2)</f>
        <v>0</v>
      </c>
      <c r="BA249" s="38">
        <f t="shared" si="2702"/>
        <v>55</v>
      </c>
      <c r="BB249" s="37">
        <f t="shared" ref="BB249" si="3162">TRUNC($M249 * BA249,2)</f>
        <v>709.5</v>
      </c>
    </row>
    <row r="250" spans="1:54" ht="51.9" customHeight="1" x14ac:dyDescent="0.25">
      <c r="A250" s="31" t="s">
        <v>1063</v>
      </c>
      <c r="B250" s="31" t="s">
        <v>541</v>
      </c>
      <c r="C250" s="31" t="s">
        <v>34</v>
      </c>
      <c r="D250" s="31" t="s">
        <v>542</v>
      </c>
      <c r="E250" s="32" t="s">
        <v>36</v>
      </c>
      <c r="F250" s="33">
        <v>1</v>
      </c>
      <c r="G250" s="34">
        <v>21.54</v>
      </c>
      <c r="H250" s="34">
        <f t="shared" si="2679"/>
        <v>19.829999999999998</v>
      </c>
      <c r="I250" s="34">
        <f t="shared" si="2680"/>
        <v>19.829999999999998</v>
      </c>
      <c r="J250" s="34">
        <f>(TRUNC(H250 * L14,2) + H250)</f>
        <v>23.86</v>
      </c>
      <c r="K250" s="34">
        <f t="shared" si="2681"/>
        <v>23.86</v>
      </c>
      <c r="L250" s="35">
        <f>K250 / L13</f>
        <v>8.2275862068965496E-6</v>
      </c>
      <c r="M250" s="36">
        <v>19.239999999999998</v>
      </c>
      <c r="N250" s="37">
        <f t="shared" si="2682"/>
        <v>19.239999999999998</v>
      </c>
      <c r="O250" s="36"/>
      <c r="P250" s="38">
        <f t="shared" si="2683"/>
        <v>0</v>
      </c>
      <c r="Q250" s="38"/>
      <c r="R250" s="38">
        <f t="shared" si="2683"/>
        <v>0</v>
      </c>
      <c r="S250" s="38">
        <f t="shared" si="2684"/>
        <v>1</v>
      </c>
      <c r="T250" s="37">
        <f t="shared" ref="T250:V250" si="3163">TRUNC($M250 * S250,2)</f>
        <v>19.239999999999998</v>
      </c>
      <c r="U250" s="36"/>
      <c r="V250" s="38">
        <f t="shared" si="3163"/>
        <v>0</v>
      </c>
      <c r="W250" s="38"/>
      <c r="X250" s="38">
        <f t="shared" ref="X250" si="3164">TRUNC($M250 * W250,2)</f>
        <v>0</v>
      </c>
      <c r="Y250" s="38"/>
      <c r="Z250" s="38">
        <f t="shared" ref="Z250" si="3165">TRUNC($M250 * Y250,2)</f>
        <v>0</v>
      </c>
      <c r="AA250" s="38"/>
      <c r="AB250" s="38">
        <f t="shared" ref="AB250" si="3166">TRUNC($M250 * AA250,2)</f>
        <v>0</v>
      </c>
      <c r="AC250" s="38"/>
      <c r="AD250" s="38">
        <f t="shared" ref="AD250" si="3167">TRUNC($M250 * AC250,2)</f>
        <v>0</v>
      </c>
      <c r="AE250" s="38"/>
      <c r="AF250" s="38">
        <f t="shared" ref="AF250" si="3168">TRUNC($M250 * AE250,2)</f>
        <v>0</v>
      </c>
      <c r="AG250" s="38"/>
      <c r="AH250" s="38">
        <f t="shared" ref="AH250" si="3169">TRUNC($M250 * AG250,2)</f>
        <v>0</v>
      </c>
      <c r="AI250" s="38"/>
      <c r="AJ250" s="38">
        <f t="shared" ref="AJ250" si="3170">TRUNC($M250 * AI250,2)</f>
        <v>0</v>
      </c>
      <c r="AK250" s="38"/>
      <c r="AL250" s="38">
        <f t="shared" ref="AL250" si="3171">TRUNC($M250 * AK250,2)</f>
        <v>0</v>
      </c>
      <c r="AM250" s="38"/>
      <c r="AN250" s="38">
        <f t="shared" ref="AN250" si="3172">TRUNC($M250 * AM250,2)</f>
        <v>0</v>
      </c>
      <c r="AO250" s="38"/>
      <c r="AP250" s="38">
        <f t="shared" ref="AP250" si="3173">TRUNC($M250 * AO250,2)</f>
        <v>0</v>
      </c>
      <c r="AQ250" s="38"/>
      <c r="AR250" s="38">
        <f t="shared" ref="AR250" si="3174">TRUNC($M250 * AQ250,2)</f>
        <v>0</v>
      </c>
      <c r="AS250" s="38"/>
      <c r="AT250" s="38">
        <f t="shared" ref="AT250" si="3175">TRUNC($M250 * AS250,2)</f>
        <v>0</v>
      </c>
      <c r="AU250" s="38"/>
      <c r="AV250" s="38">
        <f t="shared" ref="AV250" si="3176">TRUNC($M250 * AU250,2)</f>
        <v>0</v>
      </c>
      <c r="AW250" s="38"/>
      <c r="AX250" s="37">
        <f t="shared" ref="AX250" si="3177">TRUNC($M250 * AW250,2)</f>
        <v>0</v>
      </c>
      <c r="AY250" s="36">
        <f t="shared" si="2700"/>
        <v>0</v>
      </c>
      <c r="AZ250" s="38">
        <f t="shared" ref="AZ250" si="3178">TRUNC($M250 * AY250,2)</f>
        <v>0</v>
      </c>
      <c r="BA250" s="38">
        <f t="shared" si="2702"/>
        <v>1</v>
      </c>
      <c r="BB250" s="37">
        <f t="shared" ref="BB250" si="3179">TRUNC($M250 * BA250,2)</f>
        <v>19.239999999999998</v>
      </c>
    </row>
    <row r="251" spans="1:54" ht="65.099999999999994" customHeight="1" x14ac:dyDescent="0.25">
      <c r="A251" s="31" t="s">
        <v>1064</v>
      </c>
      <c r="B251" s="31" t="s">
        <v>543</v>
      </c>
      <c r="C251" s="31" t="s">
        <v>34</v>
      </c>
      <c r="D251" s="31" t="s">
        <v>544</v>
      </c>
      <c r="E251" s="32" t="s">
        <v>36</v>
      </c>
      <c r="F251" s="33">
        <v>1</v>
      </c>
      <c r="G251" s="34">
        <v>9.67</v>
      </c>
      <c r="H251" s="34">
        <f t="shared" si="2679"/>
        <v>8.9</v>
      </c>
      <c r="I251" s="34">
        <f t="shared" si="2680"/>
        <v>8.9</v>
      </c>
      <c r="J251" s="34">
        <f>(TRUNC(H251 * L14,2) + H251)</f>
        <v>10.71</v>
      </c>
      <c r="K251" s="34">
        <f t="shared" si="2681"/>
        <v>10.71</v>
      </c>
      <c r="L251" s="35">
        <f>K251 / L13</f>
        <v>3.6931034482758618E-6</v>
      </c>
      <c r="M251" s="36">
        <v>8.61</v>
      </c>
      <c r="N251" s="37">
        <f t="shared" si="2682"/>
        <v>8.61</v>
      </c>
      <c r="O251" s="36"/>
      <c r="P251" s="38">
        <f t="shared" si="2683"/>
        <v>0</v>
      </c>
      <c r="Q251" s="38"/>
      <c r="R251" s="38">
        <f t="shared" si="2683"/>
        <v>0</v>
      </c>
      <c r="S251" s="38">
        <f t="shared" si="2684"/>
        <v>1</v>
      </c>
      <c r="T251" s="37">
        <f t="shared" ref="T251:V251" si="3180">TRUNC($M251 * S251,2)</f>
        <v>8.61</v>
      </c>
      <c r="U251" s="36"/>
      <c r="V251" s="38">
        <f t="shared" si="3180"/>
        <v>0</v>
      </c>
      <c r="W251" s="38"/>
      <c r="X251" s="38">
        <f t="shared" ref="X251" si="3181">TRUNC($M251 * W251,2)</f>
        <v>0</v>
      </c>
      <c r="Y251" s="38"/>
      <c r="Z251" s="38">
        <f t="shared" ref="Z251" si="3182">TRUNC($M251 * Y251,2)</f>
        <v>0</v>
      </c>
      <c r="AA251" s="38"/>
      <c r="AB251" s="38">
        <f t="shared" ref="AB251" si="3183">TRUNC($M251 * AA251,2)</f>
        <v>0</v>
      </c>
      <c r="AC251" s="38"/>
      <c r="AD251" s="38">
        <f t="shared" ref="AD251" si="3184">TRUNC($M251 * AC251,2)</f>
        <v>0</v>
      </c>
      <c r="AE251" s="38"/>
      <c r="AF251" s="38">
        <f t="shared" ref="AF251" si="3185">TRUNC($M251 * AE251,2)</f>
        <v>0</v>
      </c>
      <c r="AG251" s="38"/>
      <c r="AH251" s="38">
        <f t="shared" ref="AH251" si="3186">TRUNC($M251 * AG251,2)</f>
        <v>0</v>
      </c>
      <c r="AI251" s="38"/>
      <c r="AJ251" s="38">
        <f t="shared" ref="AJ251" si="3187">TRUNC($M251 * AI251,2)</f>
        <v>0</v>
      </c>
      <c r="AK251" s="38"/>
      <c r="AL251" s="38">
        <f t="shared" ref="AL251" si="3188">TRUNC($M251 * AK251,2)</f>
        <v>0</v>
      </c>
      <c r="AM251" s="38"/>
      <c r="AN251" s="38">
        <f t="shared" ref="AN251" si="3189">TRUNC($M251 * AM251,2)</f>
        <v>0</v>
      </c>
      <c r="AO251" s="38"/>
      <c r="AP251" s="38">
        <f t="shared" ref="AP251" si="3190">TRUNC($M251 * AO251,2)</f>
        <v>0</v>
      </c>
      <c r="AQ251" s="38"/>
      <c r="AR251" s="38">
        <f t="shared" ref="AR251" si="3191">TRUNC($M251 * AQ251,2)</f>
        <v>0</v>
      </c>
      <c r="AS251" s="38"/>
      <c r="AT251" s="38">
        <f t="shared" ref="AT251" si="3192">TRUNC($M251 * AS251,2)</f>
        <v>0</v>
      </c>
      <c r="AU251" s="38"/>
      <c r="AV251" s="38">
        <f t="shared" ref="AV251" si="3193">TRUNC($M251 * AU251,2)</f>
        <v>0</v>
      </c>
      <c r="AW251" s="38"/>
      <c r="AX251" s="37">
        <f t="shared" ref="AX251" si="3194">TRUNC($M251 * AW251,2)</f>
        <v>0</v>
      </c>
      <c r="AY251" s="36">
        <f t="shared" si="2700"/>
        <v>0</v>
      </c>
      <c r="AZ251" s="38">
        <f t="shared" ref="AZ251" si="3195">TRUNC($M251 * AY251,2)</f>
        <v>0</v>
      </c>
      <c r="BA251" s="38">
        <f t="shared" si="2702"/>
        <v>1</v>
      </c>
      <c r="BB251" s="37">
        <f t="shared" ref="BB251" si="3196">TRUNC($M251 * BA251,2)</f>
        <v>8.61</v>
      </c>
    </row>
    <row r="252" spans="1:54" ht="51.9" customHeight="1" x14ac:dyDescent="0.25">
      <c r="A252" s="39" t="s">
        <v>1065</v>
      </c>
      <c r="B252" s="39" t="s">
        <v>545</v>
      </c>
      <c r="C252" s="39" t="s">
        <v>42</v>
      </c>
      <c r="D252" s="39" t="s">
        <v>546</v>
      </c>
      <c r="E252" s="40" t="s">
        <v>44</v>
      </c>
      <c r="F252" s="41">
        <v>1</v>
      </c>
      <c r="G252" s="42">
        <v>22608.33</v>
      </c>
      <c r="H252" s="42">
        <f t="shared" si="2679"/>
        <v>20816.41</v>
      </c>
      <c r="I252" s="42">
        <f t="shared" si="2680"/>
        <v>20816.41</v>
      </c>
      <c r="J252" s="42">
        <f>(TRUNC(H252 * L14,2) + H252)</f>
        <v>25050.46</v>
      </c>
      <c r="K252" s="42">
        <f t="shared" si="2681"/>
        <v>25050.46</v>
      </c>
      <c r="L252" s="44">
        <f>K252 / L13</f>
        <v>8.6380896551724127E-3</v>
      </c>
      <c r="M252" s="45">
        <v>4723.03</v>
      </c>
      <c r="N252" s="46">
        <f t="shared" si="2682"/>
        <v>4723.03</v>
      </c>
      <c r="O252" s="45"/>
      <c r="P252" s="47">
        <f t="shared" si="2683"/>
        <v>0</v>
      </c>
      <c r="Q252" s="47"/>
      <c r="R252" s="47">
        <f t="shared" si="2683"/>
        <v>0</v>
      </c>
      <c r="S252" s="47">
        <f t="shared" si="2684"/>
        <v>1</v>
      </c>
      <c r="T252" s="46">
        <f t="shared" ref="T252:V252" si="3197">TRUNC($M252 * S252,2)</f>
        <v>4723.03</v>
      </c>
      <c r="U252" s="45"/>
      <c r="V252" s="47">
        <f t="shared" si="3197"/>
        <v>0</v>
      </c>
      <c r="W252" s="47"/>
      <c r="X252" s="47">
        <f t="shared" ref="X252" si="3198">TRUNC($M252 * W252,2)</f>
        <v>0</v>
      </c>
      <c r="Y252" s="47"/>
      <c r="Z252" s="47">
        <f t="shared" ref="Z252" si="3199">TRUNC($M252 * Y252,2)</f>
        <v>0</v>
      </c>
      <c r="AA252" s="47"/>
      <c r="AB252" s="47">
        <f t="shared" ref="AB252" si="3200">TRUNC($M252 * AA252,2)</f>
        <v>0</v>
      </c>
      <c r="AC252" s="47"/>
      <c r="AD252" s="47">
        <f t="shared" ref="AD252" si="3201">TRUNC($M252 * AC252,2)</f>
        <v>0</v>
      </c>
      <c r="AE252" s="47"/>
      <c r="AF252" s="47">
        <f t="shared" ref="AF252" si="3202">TRUNC($M252 * AE252,2)</f>
        <v>0</v>
      </c>
      <c r="AG252" s="47"/>
      <c r="AH252" s="47">
        <f t="shared" ref="AH252" si="3203">TRUNC($M252 * AG252,2)</f>
        <v>0</v>
      </c>
      <c r="AI252" s="47"/>
      <c r="AJ252" s="47">
        <f t="shared" ref="AJ252" si="3204">TRUNC($M252 * AI252,2)</f>
        <v>0</v>
      </c>
      <c r="AK252" s="47"/>
      <c r="AL252" s="47">
        <f t="shared" ref="AL252" si="3205">TRUNC($M252 * AK252,2)</f>
        <v>0</v>
      </c>
      <c r="AM252" s="47"/>
      <c r="AN252" s="47">
        <f t="shared" ref="AN252" si="3206">TRUNC($M252 * AM252,2)</f>
        <v>0</v>
      </c>
      <c r="AO252" s="47"/>
      <c r="AP252" s="47">
        <f t="shared" ref="AP252" si="3207">TRUNC($M252 * AO252,2)</f>
        <v>0</v>
      </c>
      <c r="AQ252" s="47"/>
      <c r="AR252" s="47">
        <f t="shared" ref="AR252" si="3208">TRUNC($M252 * AQ252,2)</f>
        <v>0</v>
      </c>
      <c r="AS252" s="47"/>
      <c r="AT252" s="47">
        <f t="shared" ref="AT252" si="3209">TRUNC($M252 * AS252,2)</f>
        <v>0</v>
      </c>
      <c r="AU252" s="47"/>
      <c r="AV252" s="47">
        <f t="shared" ref="AV252" si="3210">TRUNC($M252 * AU252,2)</f>
        <v>0</v>
      </c>
      <c r="AW252" s="47"/>
      <c r="AX252" s="46">
        <f t="shared" ref="AX252" si="3211">TRUNC($M252 * AW252,2)</f>
        <v>0</v>
      </c>
      <c r="AY252" s="45">
        <f t="shared" si="2700"/>
        <v>0</v>
      </c>
      <c r="AZ252" s="47">
        <f t="shared" ref="AZ252" si="3212">TRUNC($M252 * AY252,2)</f>
        <v>0</v>
      </c>
      <c r="BA252" s="47">
        <f t="shared" si="2702"/>
        <v>1</v>
      </c>
      <c r="BB252" s="46">
        <f t="shared" ref="BB252" si="3213">TRUNC($M252 * BA252,2)</f>
        <v>4723.03</v>
      </c>
    </row>
    <row r="253" spans="1:54" ht="26.1" customHeight="1" x14ac:dyDescent="0.25">
      <c r="A253" s="31" t="s">
        <v>1066</v>
      </c>
      <c r="B253" s="31" t="s">
        <v>547</v>
      </c>
      <c r="C253" s="31" t="s">
        <v>34</v>
      </c>
      <c r="D253" s="31" t="s">
        <v>548</v>
      </c>
      <c r="E253" s="32" t="s">
        <v>36</v>
      </c>
      <c r="F253" s="33">
        <v>2</v>
      </c>
      <c r="G253" s="34">
        <v>50.65</v>
      </c>
      <c r="H253" s="34">
        <f t="shared" si="2679"/>
        <v>46.63</v>
      </c>
      <c r="I253" s="34">
        <f t="shared" si="2680"/>
        <v>93.26</v>
      </c>
      <c r="J253" s="34">
        <f>(TRUNC(H253 * L14,2) + H253)</f>
        <v>56.11</v>
      </c>
      <c r="K253" s="34">
        <f t="shared" si="2681"/>
        <v>112.22</v>
      </c>
      <c r="L253" s="35">
        <f>K253 / L13</f>
        <v>3.8696551724137924E-5</v>
      </c>
      <c r="M253" s="36">
        <v>37.71</v>
      </c>
      <c r="N253" s="37">
        <f t="shared" si="2682"/>
        <v>75.42</v>
      </c>
      <c r="O253" s="36"/>
      <c r="P253" s="38">
        <f t="shared" si="2683"/>
        <v>0</v>
      </c>
      <c r="Q253" s="38"/>
      <c r="R253" s="38">
        <f t="shared" si="2683"/>
        <v>0</v>
      </c>
      <c r="S253" s="38">
        <f t="shared" si="2684"/>
        <v>2</v>
      </c>
      <c r="T253" s="37">
        <f t="shared" ref="T253:V253" si="3214">TRUNC($M253 * S253,2)</f>
        <v>75.42</v>
      </c>
      <c r="U253" s="36"/>
      <c r="V253" s="38">
        <f t="shared" si="3214"/>
        <v>0</v>
      </c>
      <c r="W253" s="38"/>
      <c r="X253" s="38">
        <f t="shared" ref="X253" si="3215">TRUNC($M253 * W253,2)</f>
        <v>0</v>
      </c>
      <c r="Y253" s="38"/>
      <c r="Z253" s="38">
        <f t="shared" ref="Z253" si="3216">TRUNC($M253 * Y253,2)</f>
        <v>0</v>
      </c>
      <c r="AA253" s="38"/>
      <c r="AB253" s="38">
        <f t="shared" ref="AB253" si="3217">TRUNC($M253 * AA253,2)</f>
        <v>0</v>
      </c>
      <c r="AC253" s="38"/>
      <c r="AD253" s="38">
        <f t="shared" ref="AD253" si="3218">TRUNC($M253 * AC253,2)</f>
        <v>0</v>
      </c>
      <c r="AE253" s="38"/>
      <c r="AF253" s="38">
        <f t="shared" ref="AF253" si="3219">TRUNC($M253 * AE253,2)</f>
        <v>0</v>
      </c>
      <c r="AG253" s="38"/>
      <c r="AH253" s="38">
        <f t="shared" ref="AH253" si="3220">TRUNC($M253 * AG253,2)</f>
        <v>0</v>
      </c>
      <c r="AI253" s="38"/>
      <c r="AJ253" s="38">
        <f t="shared" ref="AJ253" si="3221">TRUNC($M253 * AI253,2)</f>
        <v>0</v>
      </c>
      <c r="AK253" s="38"/>
      <c r="AL253" s="38">
        <f t="shared" ref="AL253" si="3222">TRUNC($M253 * AK253,2)</f>
        <v>0</v>
      </c>
      <c r="AM253" s="38"/>
      <c r="AN253" s="38">
        <f t="shared" ref="AN253" si="3223">TRUNC($M253 * AM253,2)</f>
        <v>0</v>
      </c>
      <c r="AO253" s="38"/>
      <c r="AP253" s="38">
        <f t="shared" ref="AP253" si="3224">TRUNC($M253 * AO253,2)</f>
        <v>0</v>
      </c>
      <c r="AQ253" s="38"/>
      <c r="AR253" s="38">
        <f t="shared" ref="AR253" si="3225">TRUNC($M253 * AQ253,2)</f>
        <v>0</v>
      </c>
      <c r="AS253" s="38"/>
      <c r="AT253" s="38">
        <f t="shared" ref="AT253" si="3226">TRUNC($M253 * AS253,2)</f>
        <v>0</v>
      </c>
      <c r="AU253" s="38"/>
      <c r="AV253" s="38">
        <f t="shared" ref="AV253" si="3227">TRUNC($M253 * AU253,2)</f>
        <v>0</v>
      </c>
      <c r="AW253" s="38"/>
      <c r="AX253" s="37">
        <f t="shared" ref="AX253" si="3228">TRUNC($M253 * AW253,2)</f>
        <v>0</v>
      </c>
      <c r="AY253" s="36">
        <f t="shared" si="2700"/>
        <v>0</v>
      </c>
      <c r="AZ253" s="38">
        <f t="shared" ref="AZ253" si="3229">TRUNC($M253 * AY253,2)</f>
        <v>0</v>
      </c>
      <c r="BA253" s="38">
        <f t="shared" si="2702"/>
        <v>2</v>
      </c>
      <c r="BB253" s="37">
        <f t="shared" ref="BB253" si="3230">TRUNC($M253 * BA253,2)</f>
        <v>75.42</v>
      </c>
    </row>
    <row r="254" spans="1:54" ht="24" customHeight="1" x14ac:dyDescent="0.25">
      <c r="A254" s="31" t="s">
        <v>1067</v>
      </c>
      <c r="B254" s="31" t="s">
        <v>549</v>
      </c>
      <c r="C254" s="31" t="s">
        <v>19</v>
      </c>
      <c r="D254" s="31" t="s">
        <v>550</v>
      </c>
      <c r="E254" s="32" t="s">
        <v>171</v>
      </c>
      <c r="F254" s="33">
        <v>1</v>
      </c>
      <c r="G254" s="34">
        <v>156.32</v>
      </c>
      <c r="H254" s="34">
        <f t="shared" si="2679"/>
        <v>143.93</v>
      </c>
      <c r="I254" s="34">
        <f t="shared" si="2680"/>
        <v>143.93</v>
      </c>
      <c r="J254" s="34">
        <f>(TRUNC(H254 * L14,2) + H254)</f>
        <v>173.20000000000002</v>
      </c>
      <c r="K254" s="34">
        <f t="shared" si="2681"/>
        <v>173.2</v>
      </c>
      <c r="L254" s="35">
        <f>K254 / L13</f>
        <v>5.9724137931034466E-5</v>
      </c>
      <c r="M254" s="36">
        <v>121.09</v>
      </c>
      <c r="N254" s="37">
        <f t="shared" si="2682"/>
        <v>121.09</v>
      </c>
      <c r="O254" s="36"/>
      <c r="P254" s="38">
        <f t="shared" si="2683"/>
        <v>0</v>
      </c>
      <c r="Q254" s="38"/>
      <c r="R254" s="38">
        <f t="shared" si="2683"/>
        <v>0</v>
      </c>
      <c r="S254" s="38">
        <f t="shared" si="2684"/>
        <v>1</v>
      </c>
      <c r="T254" s="37">
        <f t="shared" ref="T254:V254" si="3231">TRUNC($M254 * S254,2)</f>
        <v>121.09</v>
      </c>
      <c r="U254" s="36"/>
      <c r="V254" s="38">
        <f t="shared" si="3231"/>
        <v>0</v>
      </c>
      <c r="W254" s="38"/>
      <c r="X254" s="38">
        <f t="shared" ref="X254" si="3232">TRUNC($M254 * W254,2)</f>
        <v>0</v>
      </c>
      <c r="Y254" s="38"/>
      <c r="Z254" s="38">
        <f t="shared" ref="Z254" si="3233">TRUNC($M254 * Y254,2)</f>
        <v>0</v>
      </c>
      <c r="AA254" s="38"/>
      <c r="AB254" s="38">
        <f t="shared" ref="AB254" si="3234">TRUNC($M254 * AA254,2)</f>
        <v>0</v>
      </c>
      <c r="AC254" s="38"/>
      <c r="AD254" s="38">
        <f t="shared" ref="AD254" si="3235">TRUNC($M254 * AC254,2)</f>
        <v>0</v>
      </c>
      <c r="AE254" s="38"/>
      <c r="AF254" s="38">
        <f t="shared" ref="AF254" si="3236">TRUNC($M254 * AE254,2)</f>
        <v>0</v>
      </c>
      <c r="AG254" s="38"/>
      <c r="AH254" s="38">
        <f t="shared" ref="AH254" si="3237">TRUNC($M254 * AG254,2)</f>
        <v>0</v>
      </c>
      <c r="AI254" s="38"/>
      <c r="AJ254" s="38">
        <f t="shared" ref="AJ254" si="3238">TRUNC($M254 * AI254,2)</f>
        <v>0</v>
      </c>
      <c r="AK254" s="38"/>
      <c r="AL254" s="38">
        <f t="shared" ref="AL254" si="3239">TRUNC($M254 * AK254,2)</f>
        <v>0</v>
      </c>
      <c r="AM254" s="38"/>
      <c r="AN254" s="38">
        <f t="shared" ref="AN254" si="3240">TRUNC($M254 * AM254,2)</f>
        <v>0</v>
      </c>
      <c r="AO254" s="38"/>
      <c r="AP254" s="38">
        <f t="shared" ref="AP254" si="3241">TRUNC($M254 * AO254,2)</f>
        <v>0</v>
      </c>
      <c r="AQ254" s="38"/>
      <c r="AR254" s="38">
        <f t="shared" ref="AR254" si="3242">TRUNC($M254 * AQ254,2)</f>
        <v>0</v>
      </c>
      <c r="AS254" s="38"/>
      <c r="AT254" s="38">
        <f t="shared" ref="AT254" si="3243">TRUNC($M254 * AS254,2)</f>
        <v>0</v>
      </c>
      <c r="AU254" s="38"/>
      <c r="AV254" s="38">
        <f t="shared" ref="AV254" si="3244">TRUNC($M254 * AU254,2)</f>
        <v>0</v>
      </c>
      <c r="AW254" s="38"/>
      <c r="AX254" s="37">
        <f t="shared" ref="AX254" si="3245">TRUNC($M254 * AW254,2)</f>
        <v>0</v>
      </c>
      <c r="AY254" s="36">
        <f t="shared" si="2700"/>
        <v>0</v>
      </c>
      <c r="AZ254" s="38">
        <f t="shared" ref="AZ254" si="3246">TRUNC($M254 * AY254,2)</f>
        <v>0</v>
      </c>
      <c r="BA254" s="38">
        <f t="shared" si="2702"/>
        <v>1</v>
      </c>
      <c r="BB254" s="37">
        <f t="shared" ref="BB254" si="3247">TRUNC($M254 * BA254,2)</f>
        <v>121.09</v>
      </c>
    </row>
    <row r="255" spans="1:54" ht="51.9" customHeight="1" x14ac:dyDescent="0.25">
      <c r="A255" s="31" t="s">
        <v>1068</v>
      </c>
      <c r="B255" s="31" t="s">
        <v>551</v>
      </c>
      <c r="C255" s="31" t="s">
        <v>34</v>
      </c>
      <c r="D255" s="31" t="s">
        <v>552</v>
      </c>
      <c r="E255" s="32" t="s">
        <v>36</v>
      </c>
      <c r="F255" s="33">
        <v>4</v>
      </c>
      <c r="G255" s="34">
        <v>8.92</v>
      </c>
      <c r="H255" s="34">
        <f t="shared" si="2679"/>
        <v>8.2100000000000009</v>
      </c>
      <c r="I255" s="34">
        <f t="shared" si="2680"/>
        <v>32.840000000000003</v>
      </c>
      <c r="J255" s="34">
        <f>(TRUNC(H255 * L14,2) + H255)</f>
        <v>9.870000000000001</v>
      </c>
      <c r="K255" s="34">
        <f t="shared" si="2681"/>
        <v>39.479999999999997</v>
      </c>
      <c r="L255" s="35">
        <f>K255 / L13</f>
        <v>1.3613793103448272E-5</v>
      </c>
      <c r="M255" s="36">
        <v>8.5500000000000007</v>
      </c>
      <c r="N255" s="37">
        <f t="shared" si="2682"/>
        <v>34.200000000000003</v>
      </c>
      <c r="O255" s="36"/>
      <c r="P255" s="38">
        <f t="shared" si="2683"/>
        <v>0</v>
      </c>
      <c r="Q255" s="38"/>
      <c r="R255" s="38">
        <f t="shared" si="2683"/>
        <v>0</v>
      </c>
      <c r="S255" s="38">
        <f t="shared" si="2684"/>
        <v>4</v>
      </c>
      <c r="T255" s="37">
        <f t="shared" ref="T255:V255" si="3248">TRUNC($M255 * S255,2)</f>
        <v>34.200000000000003</v>
      </c>
      <c r="U255" s="36"/>
      <c r="V255" s="38">
        <f t="shared" si="3248"/>
        <v>0</v>
      </c>
      <c r="W255" s="38"/>
      <c r="X255" s="38">
        <f t="shared" ref="X255" si="3249">TRUNC($M255 * W255,2)</f>
        <v>0</v>
      </c>
      <c r="Y255" s="38"/>
      <c r="Z255" s="38">
        <f t="shared" ref="Z255" si="3250">TRUNC($M255 * Y255,2)</f>
        <v>0</v>
      </c>
      <c r="AA255" s="38"/>
      <c r="AB255" s="38">
        <f t="shared" ref="AB255" si="3251">TRUNC($M255 * AA255,2)</f>
        <v>0</v>
      </c>
      <c r="AC255" s="38"/>
      <c r="AD255" s="38">
        <f t="shared" ref="AD255" si="3252">TRUNC($M255 * AC255,2)</f>
        <v>0</v>
      </c>
      <c r="AE255" s="38"/>
      <c r="AF255" s="38">
        <f t="shared" ref="AF255" si="3253">TRUNC($M255 * AE255,2)</f>
        <v>0</v>
      </c>
      <c r="AG255" s="38"/>
      <c r="AH255" s="38">
        <f t="shared" ref="AH255" si="3254">TRUNC($M255 * AG255,2)</f>
        <v>0</v>
      </c>
      <c r="AI255" s="38"/>
      <c r="AJ255" s="38">
        <f t="shared" ref="AJ255" si="3255">TRUNC($M255 * AI255,2)</f>
        <v>0</v>
      </c>
      <c r="AK255" s="38"/>
      <c r="AL255" s="38">
        <f t="shared" ref="AL255" si="3256">TRUNC($M255 * AK255,2)</f>
        <v>0</v>
      </c>
      <c r="AM255" s="38"/>
      <c r="AN255" s="38">
        <f t="shared" ref="AN255" si="3257">TRUNC($M255 * AM255,2)</f>
        <v>0</v>
      </c>
      <c r="AO255" s="38"/>
      <c r="AP255" s="38">
        <f t="shared" ref="AP255" si="3258">TRUNC($M255 * AO255,2)</f>
        <v>0</v>
      </c>
      <c r="AQ255" s="38"/>
      <c r="AR255" s="38">
        <f t="shared" ref="AR255" si="3259">TRUNC($M255 * AQ255,2)</f>
        <v>0</v>
      </c>
      <c r="AS255" s="38"/>
      <c r="AT255" s="38">
        <f t="shared" ref="AT255" si="3260">TRUNC($M255 * AS255,2)</f>
        <v>0</v>
      </c>
      <c r="AU255" s="38"/>
      <c r="AV255" s="38">
        <f t="shared" ref="AV255" si="3261">TRUNC($M255 * AU255,2)</f>
        <v>0</v>
      </c>
      <c r="AW255" s="38"/>
      <c r="AX255" s="37">
        <f t="shared" ref="AX255" si="3262">TRUNC($M255 * AW255,2)</f>
        <v>0</v>
      </c>
      <c r="AY255" s="36">
        <f t="shared" si="2700"/>
        <v>0</v>
      </c>
      <c r="AZ255" s="38">
        <f t="shared" ref="AZ255" si="3263">TRUNC($M255 * AY255,2)</f>
        <v>0</v>
      </c>
      <c r="BA255" s="38">
        <f t="shared" si="2702"/>
        <v>4</v>
      </c>
      <c r="BB255" s="37">
        <f t="shared" ref="BB255" si="3264">TRUNC($M255 * BA255,2)</f>
        <v>34.200000000000003</v>
      </c>
    </row>
    <row r="256" spans="1:54" ht="39" customHeight="1" x14ac:dyDescent="0.25">
      <c r="A256" s="31" t="s">
        <v>1069</v>
      </c>
      <c r="B256" s="31" t="s">
        <v>553</v>
      </c>
      <c r="C256" s="31" t="s">
        <v>34</v>
      </c>
      <c r="D256" s="31" t="s">
        <v>554</v>
      </c>
      <c r="E256" s="32" t="s">
        <v>36</v>
      </c>
      <c r="F256" s="33">
        <v>1</v>
      </c>
      <c r="G256" s="34">
        <v>8.84</v>
      </c>
      <c r="H256" s="34">
        <f t="shared" si="2679"/>
        <v>8.1300000000000008</v>
      </c>
      <c r="I256" s="34">
        <f t="shared" si="2680"/>
        <v>8.1300000000000008</v>
      </c>
      <c r="J256" s="34">
        <f>(TRUNC(H256 * L14,2) + H256)</f>
        <v>9.7800000000000011</v>
      </c>
      <c r="K256" s="34">
        <f t="shared" si="2681"/>
        <v>9.7799999999999994</v>
      </c>
      <c r="L256" s="35">
        <f>K256 / L13</f>
        <v>3.3724137931034473E-6</v>
      </c>
      <c r="M256" s="36">
        <v>8.7799999999999994</v>
      </c>
      <c r="N256" s="37">
        <f t="shared" si="2682"/>
        <v>8.7799999999999994</v>
      </c>
      <c r="O256" s="36"/>
      <c r="P256" s="38">
        <f t="shared" si="2683"/>
        <v>0</v>
      </c>
      <c r="Q256" s="38"/>
      <c r="R256" s="38">
        <f t="shared" si="2683"/>
        <v>0</v>
      </c>
      <c r="S256" s="38">
        <f t="shared" si="2684"/>
        <v>1</v>
      </c>
      <c r="T256" s="37">
        <f t="shared" ref="T256:V256" si="3265">TRUNC($M256 * S256,2)</f>
        <v>8.7799999999999994</v>
      </c>
      <c r="U256" s="36"/>
      <c r="V256" s="38">
        <f t="shared" si="3265"/>
        <v>0</v>
      </c>
      <c r="W256" s="38"/>
      <c r="X256" s="38">
        <f t="shared" ref="X256" si="3266">TRUNC($M256 * W256,2)</f>
        <v>0</v>
      </c>
      <c r="Y256" s="38"/>
      <c r="Z256" s="38">
        <f t="shared" ref="Z256" si="3267">TRUNC($M256 * Y256,2)</f>
        <v>0</v>
      </c>
      <c r="AA256" s="38"/>
      <c r="AB256" s="38">
        <f t="shared" ref="AB256" si="3268">TRUNC($M256 * AA256,2)</f>
        <v>0</v>
      </c>
      <c r="AC256" s="38"/>
      <c r="AD256" s="38">
        <f t="shared" ref="AD256" si="3269">TRUNC($M256 * AC256,2)</f>
        <v>0</v>
      </c>
      <c r="AE256" s="38"/>
      <c r="AF256" s="38">
        <f t="shared" ref="AF256" si="3270">TRUNC($M256 * AE256,2)</f>
        <v>0</v>
      </c>
      <c r="AG256" s="38"/>
      <c r="AH256" s="38">
        <f t="shared" ref="AH256" si="3271">TRUNC($M256 * AG256,2)</f>
        <v>0</v>
      </c>
      <c r="AI256" s="38"/>
      <c r="AJ256" s="38">
        <f t="shared" ref="AJ256" si="3272">TRUNC($M256 * AI256,2)</f>
        <v>0</v>
      </c>
      <c r="AK256" s="38"/>
      <c r="AL256" s="38">
        <f t="shared" ref="AL256" si="3273">TRUNC($M256 * AK256,2)</f>
        <v>0</v>
      </c>
      <c r="AM256" s="38"/>
      <c r="AN256" s="38">
        <f t="shared" ref="AN256" si="3274">TRUNC($M256 * AM256,2)</f>
        <v>0</v>
      </c>
      <c r="AO256" s="38"/>
      <c r="AP256" s="38">
        <f t="shared" ref="AP256" si="3275">TRUNC($M256 * AO256,2)</f>
        <v>0</v>
      </c>
      <c r="AQ256" s="38"/>
      <c r="AR256" s="38">
        <f t="shared" ref="AR256" si="3276">TRUNC($M256 * AQ256,2)</f>
        <v>0</v>
      </c>
      <c r="AS256" s="38"/>
      <c r="AT256" s="38">
        <f t="shared" ref="AT256" si="3277">TRUNC($M256 * AS256,2)</f>
        <v>0</v>
      </c>
      <c r="AU256" s="38"/>
      <c r="AV256" s="38">
        <f t="shared" ref="AV256" si="3278">TRUNC($M256 * AU256,2)</f>
        <v>0</v>
      </c>
      <c r="AW256" s="38"/>
      <c r="AX256" s="37">
        <f t="shared" ref="AX256" si="3279">TRUNC($M256 * AW256,2)</f>
        <v>0</v>
      </c>
      <c r="AY256" s="36">
        <f t="shared" si="2700"/>
        <v>0</v>
      </c>
      <c r="AZ256" s="38">
        <f t="shared" ref="AZ256" si="3280">TRUNC($M256 * AY256,2)</f>
        <v>0</v>
      </c>
      <c r="BA256" s="38">
        <f t="shared" si="2702"/>
        <v>1</v>
      </c>
      <c r="BB256" s="37">
        <f t="shared" ref="BB256" si="3281">TRUNC($M256 * BA256,2)</f>
        <v>8.7799999999999994</v>
      </c>
    </row>
    <row r="257" spans="1:54" ht="39" customHeight="1" x14ac:dyDescent="0.25">
      <c r="A257" s="31" t="s">
        <v>1070</v>
      </c>
      <c r="B257" s="31" t="s">
        <v>555</v>
      </c>
      <c r="C257" s="31" t="s">
        <v>34</v>
      </c>
      <c r="D257" s="31" t="s">
        <v>556</v>
      </c>
      <c r="E257" s="32" t="s">
        <v>36</v>
      </c>
      <c r="F257" s="33">
        <v>6</v>
      </c>
      <c r="G257" s="34">
        <v>17.399999999999999</v>
      </c>
      <c r="H257" s="34">
        <f t="shared" si="2679"/>
        <v>16.02</v>
      </c>
      <c r="I257" s="34">
        <f t="shared" si="2680"/>
        <v>96.12</v>
      </c>
      <c r="J257" s="34">
        <f>(TRUNC(H257 * L14,2) + H257)</f>
        <v>19.27</v>
      </c>
      <c r="K257" s="34">
        <f t="shared" si="2681"/>
        <v>115.62</v>
      </c>
      <c r="L257" s="35">
        <f>K257 / L13</f>
        <v>3.9868965517241372E-5</v>
      </c>
      <c r="M257" s="36">
        <v>16</v>
      </c>
      <c r="N257" s="37">
        <f t="shared" si="2682"/>
        <v>96</v>
      </c>
      <c r="O257" s="36"/>
      <c r="P257" s="38">
        <f t="shared" si="2683"/>
        <v>0</v>
      </c>
      <c r="Q257" s="38"/>
      <c r="R257" s="38">
        <f t="shared" si="2683"/>
        <v>0</v>
      </c>
      <c r="S257" s="38">
        <f t="shared" si="2684"/>
        <v>6</v>
      </c>
      <c r="T257" s="37">
        <f t="shared" ref="T257:V257" si="3282">TRUNC($M257 * S257,2)</f>
        <v>96</v>
      </c>
      <c r="U257" s="36"/>
      <c r="V257" s="38">
        <f t="shared" si="3282"/>
        <v>0</v>
      </c>
      <c r="W257" s="38"/>
      <c r="X257" s="38">
        <f t="shared" ref="X257" si="3283">TRUNC($M257 * W257,2)</f>
        <v>0</v>
      </c>
      <c r="Y257" s="38"/>
      <c r="Z257" s="38">
        <f t="shared" ref="Z257" si="3284">TRUNC($M257 * Y257,2)</f>
        <v>0</v>
      </c>
      <c r="AA257" s="38"/>
      <c r="AB257" s="38">
        <f t="shared" ref="AB257" si="3285">TRUNC($M257 * AA257,2)</f>
        <v>0</v>
      </c>
      <c r="AC257" s="38"/>
      <c r="AD257" s="38">
        <f t="shared" ref="AD257" si="3286">TRUNC($M257 * AC257,2)</f>
        <v>0</v>
      </c>
      <c r="AE257" s="38"/>
      <c r="AF257" s="38">
        <f t="shared" ref="AF257" si="3287">TRUNC($M257 * AE257,2)</f>
        <v>0</v>
      </c>
      <c r="AG257" s="38"/>
      <c r="AH257" s="38">
        <f t="shared" ref="AH257" si="3288">TRUNC($M257 * AG257,2)</f>
        <v>0</v>
      </c>
      <c r="AI257" s="38"/>
      <c r="AJ257" s="38">
        <f t="shared" ref="AJ257" si="3289">TRUNC($M257 * AI257,2)</f>
        <v>0</v>
      </c>
      <c r="AK257" s="38"/>
      <c r="AL257" s="38">
        <f t="shared" ref="AL257" si="3290">TRUNC($M257 * AK257,2)</f>
        <v>0</v>
      </c>
      <c r="AM257" s="38"/>
      <c r="AN257" s="38">
        <f t="shared" ref="AN257" si="3291">TRUNC($M257 * AM257,2)</f>
        <v>0</v>
      </c>
      <c r="AO257" s="38"/>
      <c r="AP257" s="38">
        <f t="shared" ref="AP257" si="3292">TRUNC($M257 * AO257,2)</f>
        <v>0</v>
      </c>
      <c r="AQ257" s="38"/>
      <c r="AR257" s="38">
        <f t="shared" ref="AR257" si="3293">TRUNC($M257 * AQ257,2)</f>
        <v>0</v>
      </c>
      <c r="AS257" s="38"/>
      <c r="AT257" s="38">
        <f t="shared" ref="AT257" si="3294">TRUNC($M257 * AS257,2)</f>
        <v>0</v>
      </c>
      <c r="AU257" s="38"/>
      <c r="AV257" s="38">
        <f t="shared" ref="AV257" si="3295">TRUNC($M257 * AU257,2)</f>
        <v>0</v>
      </c>
      <c r="AW257" s="38"/>
      <c r="AX257" s="37">
        <f t="shared" ref="AX257" si="3296">TRUNC($M257 * AW257,2)</f>
        <v>0</v>
      </c>
      <c r="AY257" s="36">
        <f t="shared" si="2700"/>
        <v>0</v>
      </c>
      <c r="AZ257" s="38">
        <f t="shared" ref="AZ257" si="3297">TRUNC($M257 * AY257,2)</f>
        <v>0</v>
      </c>
      <c r="BA257" s="38">
        <f t="shared" si="2702"/>
        <v>6</v>
      </c>
      <c r="BB257" s="37">
        <f t="shared" ref="BB257" si="3298">TRUNC($M257 * BA257,2)</f>
        <v>96</v>
      </c>
    </row>
    <row r="258" spans="1:54" ht="26.1" customHeight="1" x14ac:dyDescent="0.25">
      <c r="A258" s="31" t="s">
        <v>1071</v>
      </c>
      <c r="B258" s="31" t="s">
        <v>557</v>
      </c>
      <c r="C258" s="31" t="s">
        <v>19</v>
      </c>
      <c r="D258" s="31" t="s">
        <v>558</v>
      </c>
      <c r="E258" s="32" t="s">
        <v>171</v>
      </c>
      <c r="F258" s="33">
        <v>1</v>
      </c>
      <c r="G258" s="34">
        <v>403.98</v>
      </c>
      <c r="H258" s="34">
        <f t="shared" si="2679"/>
        <v>371.96</v>
      </c>
      <c r="I258" s="34">
        <f t="shared" si="2680"/>
        <v>371.96</v>
      </c>
      <c r="J258" s="34">
        <f>(TRUNC(H258 * L14,2) + H258)</f>
        <v>447.61</v>
      </c>
      <c r="K258" s="34">
        <f t="shared" si="2681"/>
        <v>447.61</v>
      </c>
      <c r="L258" s="35">
        <f>K258 / L13</f>
        <v>1.5434827586206895E-4</v>
      </c>
      <c r="M258" s="36">
        <v>314.98</v>
      </c>
      <c r="N258" s="37">
        <f t="shared" si="2682"/>
        <v>314.98</v>
      </c>
      <c r="O258" s="36"/>
      <c r="P258" s="38">
        <f t="shared" si="2683"/>
        <v>0</v>
      </c>
      <c r="Q258" s="38"/>
      <c r="R258" s="38">
        <f t="shared" si="2683"/>
        <v>0</v>
      </c>
      <c r="S258" s="38">
        <f t="shared" si="2684"/>
        <v>1</v>
      </c>
      <c r="T258" s="37">
        <f t="shared" ref="T258:V258" si="3299">TRUNC($M258 * S258,2)</f>
        <v>314.98</v>
      </c>
      <c r="U258" s="36"/>
      <c r="V258" s="38">
        <f t="shared" si="3299"/>
        <v>0</v>
      </c>
      <c r="W258" s="38"/>
      <c r="X258" s="38">
        <f t="shared" ref="X258" si="3300">TRUNC($M258 * W258,2)</f>
        <v>0</v>
      </c>
      <c r="Y258" s="38"/>
      <c r="Z258" s="38">
        <f t="shared" ref="Z258" si="3301">TRUNC($M258 * Y258,2)</f>
        <v>0</v>
      </c>
      <c r="AA258" s="38"/>
      <c r="AB258" s="38">
        <f t="shared" ref="AB258" si="3302">TRUNC($M258 * AA258,2)</f>
        <v>0</v>
      </c>
      <c r="AC258" s="38"/>
      <c r="AD258" s="38">
        <f t="shared" ref="AD258" si="3303">TRUNC($M258 * AC258,2)</f>
        <v>0</v>
      </c>
      <c r="AE258" s="38"/>
      <c r="AF258" s="38">
        <f t="shared" ref="AF258" si="3304">TRUNC($M258 * AE258,2)</f>
        <v>0</v>
      </c>
      <c r="AG258" s="38"/>
      <c r="AH258" s="38">
        <f t="shared" ref="AH258" si="3305">TRUNC($M258 * AG258,2)</f>
        <v>0</v>
      </c>
      <c r="AI258" s="38"/>
      <c r="AJ258" s="38">
        <f t="shared" ref="AJ258" si="3306">TRUNC($M258 * AI258,2)</f>
        <v>0</v>
      </c>
      <c r="AK258" s="38"/>
      <c r="AL258" s="38">
        <f t="shared" ref="AL258" si="3307">TRUNC($M258 * AK258,2)</f>
        <v>0</v>
      </c>
      <c r="AM258" s="38"/>
      <c r="AN258" s="38">
        <f t="shared" ref="AN258" si="3308">TRUNC($M258 * AM258,2)</f>
        <v>0</v>
      </c>
      <c r="AO258" s="38"/>
      <c r="AP258" s="38">
        <f t="shared" ref="AP258" si="3309">TRUNC($M258 * AO258,2)</f>
        <v>0</v>
      </c>
      <c r="AQ258" s="38"/>
      <c r="AR258" s="38">
        <f t="shared" ref="AR258" si="3310">TRUNC($M258 * AQ258,2)</f>
        <v>0</v>
      </c>
      <c r="AS258" s="38"/>
      <c r="AT258" s="38">
        <f t="shared" ref="AT258" si="3311">TRUNC($M258 * AS258,2)</f>
        <v>0</v>
      </c>
      <c r="AU258" s="38"/>
      <c r="AV258" s="38">
        <f t="shared" ref="AV258" si="3312">TRUNC($M258 * AU258,2)</f>
        <v>0</v>
      </c>
      <c r="AW258" s="38"/>
      <c r="AX258" s="37">
        <f t="shared" ref="AX258" si="3313">TRUNC($M258 * AW258,2)</f>
        <v>0</v>
      </c>
      <c r="AY258" s="36">
        <f t="shared" si="2700"/>
        <v>0</v>
      </c>
      <c r="AZ258" s="38">
        <f t="shared" ref="AZ258" si="3314">TRUNC($M258 * AY258,2)</f>
        <v>0</v>
      </c>
      <c r="BA258" s="38">
        <f t="shared" si="2702"/>
        <v>1</v>
      </c>
      <c r="BB258" s="37">
        <f t="shared" ref="BB258" si="3315">TRUNC($M258 * BA258,2)</f>
        <v>314.98</v>
      </c>
    </row>
    <row r="259" spans="1:54" ht="39" customHeight="1" x14ac:dyDescent="0.25">
      <c r="A259" s="31" t="s">
        <v>1072</v>
      </c>
      <c r="B259" s="31" t="s">
        <v>559</v>
      </c>
      <c r="C259" s="31" t="s">
        <v>34</v>
      </c>
      <c r="D259" s="31" t="s">
        <v>560</v>
      </c>
      <c r="E259" s="32" t="s">
        <v>218</v>
      </c>
      <c r="F259" s="33">
        <v>12.4</v>
      </c>
      <c r="G259" s="34">
        <v>36.97</v>
      </c>
      <c r="H259" s="34">
        <f t="shared" si="2679"/>
        <v>34.03</v>
      </c>
      <c r="I259" s="34">
        <f t="shared" si="2680"/>
        <v>421.97</v>
      </c>
      <c r="J259" s="34">
        <f>(TRUNC(H259 * L14,2) + H259)</f>
        <v>40.950000000000003</v>
      </c>
      <c r="K259" s="34">
        <f t="shared" si="2681"/>
        <v>507.78</v>
      </c>
      <c r="L259" s="35">
        <f>K259 / L13</f>
        <v>1.7509655172413788E-4</v>
      </c>
      <c r="M259" s="36">
        <v>36.520000000000003</v>
      </c>
      <c r="N259" s="37">
        <f t="shared" si="2682"/>
        <v>452.84</v>
      </c>
      <c r="O259" s="36"/>
      <c r="P259" s="38">
        <f t="shared" si="2683"/>
        <v>0</v>
      </c>
      <c r="Q259" s="38"/>
      <c r="R259" s="38">
        <f t="shared" si="2683"/>
        <v>0</v>
      </c>
      <c r="S259" s="38">
        <f t="shared" si="2684"/>
        <v>12.4</v>
      </c>
      <c r="T259" s="37">
        <f t="shared" ref="T259:V259" si="3316">TRUNC($M259 * S259,2)</f>
        <v>452.84</v>
      </c>
      <c r="U259" s="36"/>
      <c r="V259" s="38">
        <f t="shared" si="3316"/>
        <v>0</v>
      </c>
      <c r="W259" s="38"/>
      <c r="X259" s="38">
        <f t="shared" ref="X259" si="3317">TRUNC($M259 * W259,2)</f>
        <v>0</v>
      </c>
      <c r="Y259" s="38"/>
      <c r="Z259" s="38">
        <f t="shared" ref="Z259" si="3318">TRUNC($M259 * Y259,2)</f>
        <v>0</v>
      </c>
      <c r="AA259" s="38"/>
      <c r="AB259" s="38">
        <f t="shared" ref="AB259" si="3319">TRUNC($M259 * AA259,2)</f>
        <v>0</v>
      </c>
      <c r="AC259" s="38"/>
      <c r="AD259" s="38">
        <f t="shared" ref="AD259" si="3320">TRUNC($M259 * AC259,2)</f>
        <v>0</v>
      </c>
      <c r="AE259" s="38"/>
      <c r="AF259" s="38">
        <f t="shared" ref="AF259" si="3321">TRUNC($M259 * AE259,2)</f>
        <v>0</v>
      </c>
      <c r="AG259" s="38"/>
      <c r="AH259" s="38">
        <f t="shared" ref="AH259" si="3322">TRUNC($M259 * AG259,2)</f>
        <v>0</v>
      </c>
      <c r="AI259" s="38"/>
      <c r="AJ259" s="38">
        <f t="shared" ref="AJ259" si="3323">TRUNC($M259 * AI259,2)</f>
        <v>0</v>
      </c>
      <c r="AK259" s="38"/>
      <c r="AL259" s="38">
        <f t="shared" ref="AL259" si="3324">TRUNC($M259 * AK259,2)</f>
        <v>0</v>
      </c>
      <c r="AM259" s="38"/>
      <c r="AN259" s="38">
        <f t="shared" ref="AN259" si="3325">TRUNC($M259 * AM259,2)</f>
        <v>0</v>
      </c>
      <c r="AO259" s="38"/>
      <c r="AP259" s="38">
        <f t="shared" ref="AP259" si="3326">TRUNC($M259 * AO259,2)</f>
        <v>0</v>
      </c>
      <c r="AQ259" s="38"/>
      <c r="AR259" s="38">
        <f t="shared" ref="AR259" si="3327">TRUNC($M259 * AQ259,2)</f>
        <v>0</v>
      </c>
      <c r="AS259" s="38"/>
      <c r="AT259" s="38">
        <f t="shared" ref="AT259" si="3328">TRUNC($M259 * AS259,2)</f>
        <v>0</v>
      </c>
      <c r="AU259" s="38"/>
      <c r="AV259" s="38">
        <f t="shared" ref="AV259" si="3329">TRUNC($M259 * AU259,2)</f>
        <v>0</v>
      </c>
      <c r="AW259" s="38"/>
      <c r="AX259" s="37">
        <f t="shared" ref="AX259" si="3330">TRUNC($M259 * AW259,2)</f>
        <v>0</v>
      </c>
      <c r="AY259" s="36">
        <f t="shared" si="2700"/>
        <v>0</v>
      </c>
      <c r="AZ259" s="38">
        <f t="shared" ref="AZ259" si="3331">TRUNC($M259 * AY259,2)</f>
        <v>0</v>
      </c>
      <c r="BA259" s="38">
        <f t="shared" si="2702"/>
        <v>12.4</v>
      </c>
      <c r="BB259" s="37">
        <f t="shared" ref="BB259" si="3332">TRUNC($M259 * BA259,2)</f>
        <v>452.84</v>
      </c>
    </row>
    <row r="260" spans="1:54" ht="39" customHeight="1" x14ac:dyDescent="0.25">
      <c r="A260" s="31" t="s">
        <v>1073</v>
      </c>
      <c r="B260" s="31" t="s">
        <v>561</v>
      </c>
      <c r="C260" s="31" t="s">
        <v>34</v>
      </c>
      <c r="D260" s="31" t="s">
        <v>562</v>
      </c>
      <c r="E260" s="32" t="s">
        <v>36</v>
      </c>
      <c r="F260" s="33">
        <v>1</v>
      </c>
      <c r="G260" s="34">
        <v>21.71</v>
      </c>
      <c r="H260" s="34">
        <f t="shared" si="2679"/>
        <v>19.98</v>
      </c>
      <c r="I260" s="34">
        <f t="shared" si="2680"/>
        <v>19.98</v>
      </c>
      <c r="J260" s="34">
        <f>(TRUNC(H260 * L14,2) + H260)</f>
        <v>24.04</v>
      </c>
      <c r="K260" s="34">
        <f t="shared" si="2681"/>
        <v>24.04</v>
      </c>
      <c r="L260" s="35">
        <f>K260 / L13</f>
        <v>8.2896551724137917E-6</v>
      </c>
      <c r="M260" s="36">
        <v>20.440000000000001</v>
      </c>
      <c r="N260" s="37">
        <f t="shared" si="2682"/>
        <v>20.440000000000001</v>
      </c>
      <c r="O260" s="36"/>
      <c r="P260" s="38">
        <f t="shared" si="2683"/>
        <v>0</v>
      </c>
      <c r="Q260" s="38"/>
      <c r="R260" s="38">
        <f t="shared" si="2683"/>
        <v>0</v>
      </c>
      <c r="S260" s="38">
        <f t="shared" si="2684"/>
        <v>1</v>
      </c>
      <c r="T260" s="37">
        <f t="shared" ref="T260:V260" si="3333">TRUNC($M260 * S260,2)</f>
        <v>20.440000000000001</v>
      </c>
      <c r="U260" s="36"/>
      <c r="V260" s="38">
        <f t="shared" si="3333"/>
        <v>0</v>
      </c>
      <c r="W260" s="38"/>
      <c r="X260" s="38">
        <f t="shared" ref="X260" si="3334">TRUNC($M260 * W260,2)</f>
        <v>0</v>
      </c>
      <c r="Y260" s="38"/>
      <c r="Z260" s="38">
        <f t="shared" ref="Z260" si="3335">TRUNC($M260 * Y260,2)</f>
        <v>0</v>
      </c>
      <c r="AA260" s="38"/>
      <c r="AB260" s="38">
        <f t="shared" ref="AB260" si="3336">TRUNC($M260 * AA260,2)</f>
        <v>0</v>
      </c>
      <c r="AC260" s="38"/>
      <c r="AD260" s="38">
        <f t="shared" ref="AD260" si="3337">TRUNC($M260 * AC260,2)</f>
        <v>0</v>
      </c>
      <c r="AE260" s="38"/>
      <c r="AF260" s="38">
        <f t="shared" ref="AF260" si="3338">TRUNC($M260 * AE260,2)</f>
        <v>0</v>
      </c>
      <c r="AG260" s="38"/>
      <c r="AH260" s="38">
        <f t="shared" ref="AH260" si="3339">TRUNC($M260 * AG260,2)</f>
        <v>0</v>
      </c>
      <c r="AI260" s="38"/>
      <c r="AJ260" s="38">
        <f t="shared" ref="AJ260" si="3340">TRUNC($M260 * AI260,2)</f>
        <v>0</v>
      </c>
      <c r="AK260" s="38"/>
      <c r="AL260" s="38">
        <f t="shared" ref="AL260" si="3341">TRUNC($M260 * AK260,2)</f>
        <v>0</v>
      </c>
      <c r="AM260" s="38"/>
      <c r="AN260" s="38">
        <f t="shared" ref="AN260" si="3342">TRUNC($M260 * AM260,2)</f>
        <v>0</v>
      </c>
      <c r="AO260" s="38"/>
      <c r="AP260" s="38">
        <f t="shared" ref="AP260" si="3343">TRUNC($M260 * AO260,2)</f>
        <v>0</v>
      </c>
      <c r="AQ260" s="38"/>
      <c r="AR260" s="38">
        <f t="shared" ref="AR260" si="3344">TRUNC($M260 * AQ260,2)</f>
        <v>0</v>
      </c>
      <c r="AS260" s="38"/>
      <c r="AT260" s="38">
        <f t="shared" ref="AT260" si="3345">TRUNC($M260 * AS260,2)</f>
        <v>0</v>
      </c>
      <c r="AU260" s="38"/>
      <c r="AV260" s="38">
        <f t="shared" ref="AV260" si="3346">TRUNC($M260 * AU260,2)</f>
        <v>0</v>
      </c>
      <c r="AW260" s="38"/>
      <c r="AX260" s="37">
        <f t="shared" ref="AX260" si="3347">TRUNC($M260 * AW260,2)</f>
        <v>0</v>
      </c>
      <c r="AY260" s="36">
        <f t="shared" si="2700"/>
        <v>0</v>
      </c>
      <c r="AZ260" s="38">
        <f t="shared" ref="AZ260" si="3348">TRUNC($M260 * AY260,2)</f>
        <v>0</v>
      </c>
      <c r="BA260" s="38">
        <f t="shared" si="2702"/>
        <v>1</v>
      </c>
      <c r="BB260" s="37">
        <f t="shared" ref="BB260" si="3349">TRUNC($M260 * BA260,2)</f>
        <v>20.440000000000001</v>
      </c>
    </row>
    <row r="261" spans="1:54" ht="24" customHeight="1" x14ac:dyDescent="0.25">
      <c r="A261" s="4" t="s">
        <v>1074</v>
      </c>
      <c r="B261" s="4" t="s">
        <v>12</v>
      </c>
      <c r="C261" s="4"/>
      <c r="D261" s="4" t="s">
        <v>563</v>
      </c>
      <c r="E261" s="5"/>
      <c r="F261" s="14"/>
      <c r="G261" s="6"/>
      <c r="H261" s="6"/>
      <c r="I261" s="7">
        <f>SUM(I262:I295)</f>
        <v>39915.159999999982</v>
      </c>
      <c r="J261" s="7"/>
      <c r="K261" s="7">
        <f>SUM(K262:K295)</f>
        <v>48028.41</v>
      </c>
      <c r="L261" s="22">
        <f>K261 / L13</f>
        <v>1.6561520689655169E-2</v>
      </c>
      <c r="M261" s="25"/>
      <c r="N261" s="26">
        <f>SUM(N262:N295)</f>
        <v>41429.889999999985</v>
      </c>
      <c r="O261" s="25"/>
      <c r="P261" s="30">
        <f>SUM(P262:P295)</f>
        <v>0</v>
      </c>
      <c r="Q261" s="30"/>
      <c r="R261" s="30">
        <f>SUM(R262:R295)</f>
        <v>0</v>
      </c>
      <c r="S261" s="30"/>
      <c r="T261" s="26">
        <f>SUM(T262:T295)</f>
        <v>41429.889999999985</v>
      </c>
      <c r="U261" s="25"/>
      <c r="V261" s="30">
        <f>SUM(V262:V295)</f>
        <v>0</v>
      </c>
      <c r="W261" s="30"/>
      <c r="X261" s="30">
        <f>SUM(X262:X295)</f>
        <v>0</v>
      </c>
      <c r="Y261" s="30"/>
      <c r="Z261" s="30">
        <f>SUM(Z262:Z295)</f>
        <v>0</v>
      </c>
      <c r="AA261" s="30"/>
      <c r="AB261" s="30">
        <f>SUM(AB262:AB295)</f>
        <v>0</v>
      </c>
      <c r="AC261" s="30"/>
      <c r="AD261" s="30">
        <f>SUM(AD262:AD295)</f>
        <v>0</v>
      </c>
      <c r="AE261" s="30"/>
      <c r="AF261" s="30">
        <f>SUM(AF262:AF295)</f>
        <v>0</v>
      </c>
      <c r="AG261" s="30"/>
      <c r="AH261" s="30">
        <f>SUM(AH262:AH295)</f>
        <v>0</v>
      </c>
      <c r="AI261" s="30"/>
      <c r="AJ261" s="30">
        <f>SUM(AJ262:AJ295)</f>
        <v>0</v>
      </c>
      <c r="AK261" s="30"/>
      <c r="AL261" s="30">
        <f>SUM(AL262:AL295)</f>
        <v>0</v>
      </c>
      <c r="AM261" s="30"/>
      <c r="AN261" s="30">
        <f>SUM(AN262:AN295)</f>
        <v>0</v>
      </c>
      <c r="AO261" s="30"/>
      <c r="AP261" s="30">
        <f>SUM(AP262:AP295)</f>
        <v>0</v>
      </c>
      <c r="AQ261" s="30"/>
      <c r="AR261" s="30">
        <f>SUM(AR262:AR295)</f>
        <v>0</v>
      </c>
      <c r="AS261" s="30"/>
      <c r="AT261" s="30">
        <f>SUM(AT262:AT295)</f>
        <v>0</v>
      </c>
      <c r="AU261" s="30"/>
      <c r="AV261" s="30">
        <f>SUM(AV262:AV295)</f>
        <v>0</v>
      </c>
      <c r="AW261" s="30"/>
      <c r="AX261" s="26">
        <f>SUM(AX262:AX295)</f>
        <v>0</v>
      </c>
      <c r="AY261" s="25"/>
      <c r="AZ261" s="30">
        <f>SUM(AZ262:AZ295)</f>
        <v>0</v>
      </c>
      <c r="BA261" s="30"/>
      <c r="BB261" s="26">
        <f>SUM(BB262:BB295)</f>
        <v>41429.889999999985</v>
      </c>
    </row>
    <row r="262" spans="1:54" ht="24" customHeight="1" x14ac:dyDescent="0.25">
      <c r="A262" s="31" t="s">
        <v>1075</v>
      </c>
      <c r="B262" s="31" t="s">
        <v>564</v>
      </c>
      <c r="C262" s="31" t="s">
        <v>24</v>
      </c>
      <c r="D262" s="31" t="s">
        <v>565</v>
      </c>
      <c r="E262" s="32" t="s">
        <v>171</v>
      </c>
      <c r="F262" s="33">
        <v>7</v>
      </c>
      <c r="G262" s="34">
        <v>641.99</v>
      </c>
      <c r="H262" s="34">
        <f t="shared" si="2679"/>
        <v>591.1</v>
      </c>
      <c r="I262" s="34">
        <f t="shared" si="2680"/>
        <v>4137.7</v>
      </c>
      <c r="J262" s="34">
        <f>(TRUNC(H262 * L14,2) + H262)</f>
        <v>711.32</v>
      </c>
      <c r="K262" s="34">
        <f t="shared" ref="K262:K295" si="3350">TRUNC(F262 * J262,2)</f>
        <v>4979.24</v>
      </c>
      <c r="L262" s="35">
        <f>K262 / L13</f>
        <v>1.7169793103448273E-3</v>
      </c>
      <c r="M262" s="36">
        <v>605.94000000000005</v>
      </c>
      <c r="N262" s="37">
        <f t="shared" si="2682"/>
        <v>4241.58</v>
      </c>
      <c r="O262" s="36"/>
      <c r="P262" s="38">
        <f t="shared" si="2683"/>
        <v>0</v>
      </c>
      <c r="Q262" s="38"/>
      <c r="R262" s="38">
        <f t="shared" si="2683"/>
        <v>0</v>
      </c>
      <c r="S262" s="38">
        <f t="shared" si="2684"/>
        <v>7</v>
      </c>
      <c r="T262" s="37">
        <f t="shared" ref="T262:V262" si="3351">TRUNC($M262 * S262,2)</f>
        <v>4241.58</v>
      </c>
      <c r="U262" s="36"/>
      <c r="V262" s="38">
        <f t="shared" si="3351"/>
        <v>0</v>
      </c>
      <c r="W262" s="38"/>
      <c r="X262" s="38">
        <f t="shared" ref="X262" si="3352">TRUNC($M262 * W262,2)</f>
        <v>0</v>
      </c>
      <c r="Y262" s="38"/>
      <c r="Z262" s="38">
        <f t="shared" ref="Z262" si="3353">TRUNC($M262 * Y262,2)</f>
        <v>0</v>
      </c>
      <c r="AA262" s="38"/>
      <c r="AB262" s="38">
        <f t="shared" ref="AB262" si="3354">TRUNC($M262 * AA262,2)</f>
        <v>0</v>
      </c>
      <c r="AC262" s="38"/>
      <c r="AD262" s="38">
        <f t="shared" ref="AD262" si="3355">TRUNC($M262 * AC262,2)</f>
        <v>0</v>
      </c>
      <c r="AE262" s="38"/>
      <c r="AF262" s="38">
        <f t="shared" ref="AF262" si="3356">TRUNC($M262 * AE262,2)</f>
        <v>0</v>
      </c>
      <c r="AG262" s="38"/>
      <c r="AH262" s="38">
        <f t="shared" ref="AH262" si="3357">TRUNC($M262 * AG262,2)</f>
        <v>0</v>
      </c>
      <c r="AI262" s="38"/>
      <c r="AJ262" s="38">
        <f t="shared" ref="AJ262" si="3358">TRUNC($M262 * AI262,2)</f>
        <v>0</v>
      </c>
      <c r="AK262" s="38"/>
      <c r="AL262" s="38">
        <f t="shared" ref="AL262" si="3359">TRUNC($M262 * AK262,2)</f>
        <v>0</v>
      </c>
      <c r="AM262" s="38"/>
      <c r="AN262" s="38">
        <f t="shared" ref="AN262" si="3360">TRUNC($M262 * AM262,2)</f>
        <v>0</v>
      </c>
      <c r="AO262" s="38"/>
      <c r="AP262" s="38">
        <f t="shared" ref="AP262" si="3361">TRUNC($M262 * AO262,2)</f>
        <v>0</v>
      </c>
      <c r="AQ262" s="38"/>
      <c r="AR262" s="38">
        <f t="shared" ref="AR262" si="3362">TRUNC($M262 * AQ262,2)</f>
        <v>0</v>
      </c>
      <c r="AS262" s="38"/>
      <c r="AT262" s="38">
        <f t="shared" ref="AT262" si="3363">TRUNC($M262 * AS262,2)</f>
        <v>0</v>
      </c>
      <c r="AU262" s="38"/>
      <c r="AV262" s="38">
        <f t="shared" ref="AV262" si="3364">TRUNC($M262 * AU262,2)</f>
        <v>0</v>
      </c>
      <c r="AW262" s="38"/>
      <c r="AX262" s="37">
        <f t="shared" ref="AX262" si="3365">TRUNC($M262 * AW262,2)</f>
        <v>0</v>
      </c>
      <c r="AY262" s="36">
        <f t="shared" si="2700"/>
        <v>0</v>
      </c>
      <c r="AZ262" s="38">
        <f t="shared" ref="AZ262" si="3366">TRUNC($M262 * AY262,2)</f>
        <v>0</v>
      </c>
      <c r="BA262" s="38">
        <f t="shared" si="2702"/>
        <v>7</v>
      </c>
      <c r="BB262" s="37">
        <f t="shared" ref="BB262" si="3367">TRUNC($M262 * BA262,2)</f>
        <v>4241.58</v>
      </c>
    </row>
    <row r="263" spans="1:54" ht="51.9" customHeight="1" x14ac:dyDescent="0.25">
      <c r="A263" s="31" t="s">
        <v>1076</v>
      </c>
      <c r="B263" s="31" t="s">
        <v>566</v>
      </c>
      <c r="C263" s="31" t="s">
        <v>34</v>
      </c>
      <c r="D263" s="31" t="s">
        <v>567</v>
      </c>
      <c r="E263" s="32" t="s">
        <v>36</v>
      </c>
      <c r="F263" s="33">
        <v>26</v>
      </c>
      <c r="G263" s="34">
        <v>75.31</v>
      </c>
      <c r="H263" s="34">
        <f t="shared" si="2679"/>
        <v>69.34</v>
      </c>
      <c r="I263" s="34">
        <f t="shared" si="2680"/>
        <v>1802.84</v>
      </c>
      <c r="J263" s="34">
        <f>(TRUNC(H263 * L14,2) + H263)</f>
        <v>83.44</v>
      </c>
      <c r="K263" s="34">
        <f t="shared" si="3350"/>
        <v>2169.44</v>
      </c>
      <c r="L263" s="35">
        <f>K263 / L13</f>
        <v>7.4808275862068955E-4</v>
      </c>
      <c r="M263" s="36">
        <v>63.04</v>
      </c>
      <c r="N263" s="37">
        <f t="shared" si="2682"/>
        <v>1639.04</v>
      </c>
      <c r="O263" s="36"/>
      <c r="P263" s="38">
        <f t="shared" si="2683"/>
        <v>0</v>
      </c>
      <c r="Q263" s="38"/>
      <c r="R263" s="38">
        <f t="shared" si="2683"/>
        <v>0</v>
      </c>
      <c r="S263" s="38">
        <f t="shared" si="2684"/>
        <v>26</v>
      </c>
      <c r="T263" s="37">
        <f t="shared" ref="T263:V263" si="3368">TRUNC($M263 * S263,2)</f>
        <v>1639.04</v>
      </c>
      <c r="U263" s="36"/>
      <c r="V263" s="38">
        <f t="shared" si="3368"/>
        <v>0</v>
      </c>
      <c r="W263" s="38"/>
      <c r="X263" s="38">
        <f t="shared" ref="X263" si="3369">TRUNC($M263 * W263,2)</f>
        <v>0</v>
      </c>
      <c r="Y263" s="38"/>
      <c r="Z263" s="38">
        <f t="shared" ref="Z263" si="3370">TRUNC($M263 * Y263,2)</f>
        <v>0</v>
      </c>
      <c r="AA263" s="38"/>
      <c r="AB263" s="38">
        <f t="shared" ref="AB263" si="3371">TRUNC($M263 * AA263,2)</f>
        <v>0</v>
      </c>
      <c r="AC263" s="38"/>
      <c r="AD263" s="38">
        <f t="shared" ref="AD263" si="3372">TRUNC($M263 * AC263,2)</f>
        <v>0</v>
      </c>
      <c r="AE263" s="38"/>
      <c r="AF263" s="38">
        <f t="shared" ref="AF263" si="3373">TRUNC($M263 * AE263,2)</f>
        <v>0</v>
      </c>
      <c r="AG263" s="38"/>
      <c r="AH263" s="38">
        <f t="shared" ref="AH263" si="3374">TRUNC($M263 * AG263,2)</f>
        <v>0</v>
      </c>
      <c r="AI263" s="38"/>
      <c r="AJ263" s="38">
        <f t="shared" ref="AJ263" si="3375">TRUNC($M263 * AI263,2)</f>
        <v>0</v>
      </c>
      <c r="AK263" s="38"/>
      <c r="AL263" s="38">
        <f t="shared" ref="AL263" si="3376">TRUNC($M263 * AK263,2)</f>
        <v>0</v>
      </c>
      <c r="AM263" s="38"/>
      <c r="AN263" s="38">
        <f t="shared" ref="AN263" si="3377">TRUNC($M263 * AM263,2)</f>
        <v>0</v>
      </c>
      <c r="AO263" s="38"/>
      <c r="AP263" s="38">
        <f t="shared" ref="AP263" si="3378">TRUNC($M263 * AO263,2)</f>
        <v>0</v>
      </c>
      <c r="AQ263" s="38"/>
      <c r="AR263" s="38">
        <f t="shared" ref="AR263" si="3379">TRUNC($M263 * AQ263,2)</f>
        <v>0</v>
      </c>
      <c r="AS263" s="38"/>
      <c r="AT263" s="38">
        <f t="shared" ref="AT263" si="3380">TRUNC($M263 * AS263,2)</f>
        <v>0</v>
      </c>
      <c r="AU263" s="38"/>
      <c r="AV263" s="38">
        <f t="shared" ref="AV263" si="3381">TRUNC($M263 * AU263,2)</f>
        <v>0</v>
      </c>
      <c r="AW263" s="38"/>
      <c r="AX263" s="37">
        <f t="shared" ref="AX263" si="3382">TRUNC($M263 * AW263,2)</f>
        <v>0</v>
      </c>
      <c r="AY263" s="36">
        <f t="shared" si="2700"/>
        <v>0</v>
      </c>
      <c r="AZ263" s="38">
        <f t="shared" ref="AZ263" si="3383">TRUNC($M263 * AY263,2)</f>
        <v>0</v>
      </c>
      <c r="BA263" s="38">
        <f t="shared" si="2702"/>
        <v>26</v>
      </c>
      <c r="BB263" s="37">
        <f t="shared" ref="BB263" si="3384">TRUNC($M263 * BA263,2)</f>
        <v>1639.04</v>
      </c>
    </row>
    <row r="264" spans="1:54" ht="39" customHeight="1" x14ac:dyDescent="0.25">
      <c r="A264" s="31" t="s">
        <v>1077</v>
      </c>
      <c r="B264" s="31" t="s">
        <v>568</v>
      </c>
      <c r="C264" s="31" t="s">
        <v>34</v>
      </c>
      <c r="D264" s="31" t="s">
        <v>569</v>
      </c>
      <c r="E264" s="32" t="s">
        <v>36</v>
      </c>
      <c r="F264" s="33">
        <v>4</v>
      </c>
      <c r="G264" s="34">
        <v>22.98</v>
      </c>
      <c r="H264" s="34">
        <f t="shared" si="2679"/>
        <v>21.15</v>
      </c>
      <c r="I264" s="34">
        <f t="shared" si="2680"/>
        <v>84.6</v>
      </c>
      <c r="J264" s="34">
        <f>(TRUNC(H264 * L14,2) + H264)</f>
        <v>25.45</v>
      </c>
      <c r="K264" s="34">
        <f t="shared" si="3350"/>
        <v>101.8</v>
      </c>
      <c r="L264" s="35">
        <f>K264 / L13</f>
        <v>3.5103448275862061E-5</v>
      </c>
      <c r="M264" s="36">
        <v>20.03</v>
      </c>
      <c r="N264" s="37">
        <f t="shared" si="2682"/>
        <v>80.12</v>
      </c>
      <c r="O264" s="36"/>
      <c r="P264" s="38">
        <f t="shared" si="2683"/>
        <v>0</v>
      </c>
      <c r="Q264" s="38"/>
      <c r="R264" s="38">
        <f t="shared" si="2683"/>
        <v>0</v>
      </c>
      <c r="S264" s="38">
        <f t="shared" si="2684"/>
        <v>4</v>
      </c>
      <c r="T264" s="37">
        <f t="shared" ref="T264:V264" si="3385">TRUNC($M264 * S264,2)</f>
        <v>80.12</v>
      </c>
      <c r="U264" s="36"/>
      <c r="V264" s="38">
        <f t="shared" si="3385"/>
        <v>0</v>
      </c>
      <c r="W264" s="38"/>
      <c r="X264" s="38">
        <f t="shared" ref="X264" si="3386">TRUNC($M264 * W264,2)</f>
        <v>0</v>
      </c>
      <c r="Y264" s="38"/>
      <c r="Z264" s="38">
        <f t="shared" ref="Z264" si="3387">TRUNC($M264 * Y264,2)</f>
        <v>0</v>
      </c>
      <c r="AA264" s="38"/>
      <c r="AB264" s="38">
        <f t="shared" ref="AB264" si="3388">TRUNC($M264 * AA264,2)</f>
        <v>0</v>
      </c>
      <c r="AC264" s="38"/>
      <c r="AD264" s="38">
        <f t="shared" ref="AD264" si="3389">TRUNC($M264 * AC264,2)</f>
        <v>0</v>
      </c>
      <c r="AE264" s="38"/>
      <c r="AF264" s="38">
        <f t="shared" ref="AF264" si="3390">TRUNC($M264 * AE264,2)</f>
        <v>0</v>
      </c>
      <c r="AG264" s="38"/>
      <c r="AH264" s="38">
        <f t="shared" ref="AH264" si="3391">TRUNC($M264 * AG264,2)</f>
        <v>0</v>
      </c>
      <c r="AI264" s="38"/>
      <c r="AJ264" s="38">
        <f t="shared" ref="AJ264" si="3392">TRUNC($M264 * AI264,2)</f>
        <v>0</v>
      </c>
      <c r="AK264" s="38"/>
      <c r="AL264" s="38">
        <f t="shared" ref="AL264" si="3393">TRUNC($M264 * AK264,2)</f>
        <v>0</v>
      </c>
      <c r="AM264" s="38"/>
      <c r="AN264" s="38">
        <f t="shared" ref="AN264" si="3394">TRUNC($M264 * AM264,2)</f>
        <v>0</v>
      </c>
      <c r="AO264" s="38"/>
      <c r="AP264" s="38">
        <f t="shared" ref="AP264" si="3395">TRUNC($M264 * AO264,2)</f>
        <v>0</v>
      </c>
      <c r="AQ264" s="38"/>
      <c r="AR264" s="38">
        <f t="shared" ref="AR264" si="3396">TRUNC($M264 * AQ264,2)</f>
        <v>0</v>
      </c>
      <c r="AS264" s="38"/>
      <c r="AT264" s="38">
        <f t="shared" ref="AT264" si="3397">TRUNC($M264 * AS264,2)</f>
        <v>0</v>
      </c>
      <c r="AU264" s="38"/>
      <c r="AV264" s="38">
        <f t="shared" ref="AV264" si="3398">TRUNC($M264 * AU264,2)</f>
        <v>0</v>
      </c>
      <c r="AW264" s="38"/>
      <c r="AX264" s="37">
        <f t="shared" ref="AX264" si="3399">TRUNC($M264 * AW264,2)</f>
        <v>0</v>
      </c>
      <c r="AY264" s="36">
        <f t="shared" si="2700"/>
        <v>0</v>
      </c>
      <c r="AZ264" s="38">
        <f t="shared" ref="AZ264" si="3400">TRUNC($M264 * AY264,2)</f>
        <v>0</v>
      </c>
      <c r="BA264" s="38">
        <f t="shared" si="2702"/>
        <v>4</v>
      </c>
      <c r="BB264" s="37">
        <f t="shared" ref="BB264" si="3401">TRUNC($M264 * BA264,2)</f>
        <v>80.12</v>
      </c>
    </row>
    <row r="265" spans="1:54" ht="26.1" customHeight="1" x14ac:dyDescent="0.25">
      <c r="A265" s="31" t="s">
        <v>1078</v>
      </c>
      <c r="B265" s="31" t="s">
        <v>570</v>
      </c>
      <c r="C265" s="31" t="s">
        <v>34</v>
      </c>
      <c r="D265" s="31" t="s">
        <v>571</v>
      </c>
      <c r="E265" s="32" t="s">
        <v>36</v>
      </c>
      <c r="F265" s="33">
        <v>37</v>
      </c>
      <c r="G265" s="34">
        <v>14.97</v>
      </c>
      <c r="H265" s="34">
        <f t="shared" si="2679"/>
        <v>13.78</v>
      </c>
      <c r="I265" s="34">
        <f t="shared" si="2680"/>
        <v>509.86</v>
      </c>
      <c r="J265" s="34">
        <f>(TRUNC(H265 * L14,2) + H265)</f>
        <v>16.579999999999998</v>
      </c>
      <c r="K265" s="34">
        <f t="shared" si="3350"/>
        <v>613.46</v>
      </c>
      <c r="L265" s="35">
        <f>K265 / L13</f>
        <v>2.1153793103448275E-4</v>
      </c>
      <c r="M265" s="36">
        <v>11.92</v>
      </c>
      <c r="N265" s="37">
        <f t="shared" si="2682"/>
        <v>441.04</v>
      </c>
      <c r="O265" s="36"/>
      <c r="P265" s="38">
        <f t="shared" si="2683"/>
        <v>0</v>
      </c>
      <c r="Q265" s="38"/>
      <c r="R265" s="38">
        <f t="shared" si="2683"/>
        <v>0</v>
      </c>
      <c r="S265" s="38">
        <f t="shared" si="2684"/>
        <v>37</v>
      </c>
      <c r="T265" s="37">
        <f t="shared" ref="T265:V265" si="3402">TRUNC($M265 * S265,2)</f>
        <v>441.04</v>
      </c>
      <c r="U265" s="36"/>
      <c r="V265" s="38">
        <f t="shared" si="3402"/>
        <v>0</v>
      </c>
      <c r="W265" s="38"/>
      <c r="X265" s="38">
        <f t="shared" ref="X265" si="3403">TRUNC($M265 * W265,2)</f>
        <v>0</v>
      </c>
      <c r="Y265" s="38"/>
      <c r="Z265" s="38">
        <f t="shared" ref="Z265" si="3404">TRUNC($M265 * Y265,2)</f>
        <v>0</v>
      </c>
      <c r="AA265" s="38"/>
      <c r="AB265" s="38">
        <f t="shared" ref="AB265" si="3405">TRUNC($M265 * AA265,2)</f>
        <v>0</v>
      </c>
      <c r="AC265" s="38"/>
      <c r="AD265" s="38">
        <f t="shared" ref="AD265" si="3406">TRUNC($M265 * AC265,2)</f>
        <v>0</v>
      </c>
      <c r="AE265" s="38"/>
      <c r="AF265" s="38">
        <f t="shared" ref="AF265" si="3407">TRUNC($M265 * AE265,2)</f>
        <v>0</v>
      </c>
      <c r="AG265" s="38"/>
      <c r="AH265" s="38">
        <f t="shared" ref="AH265" si="3408">TRUNC($M265 * AG265,2)</f>
        <v>0</v>
      </c>
      <c r="AI265" s="38"/>
      <c r="AJ265" s="38">
        <f t="shared" ref="AJ265" si="3409">TRUNC($M265 * AI265,2)</f>
        <v>0</v>
      </c>
      <c r="AK265" s="38"/>
      <c r="AL265" s="38">
        <f t="shared" ref="AL265" si="3410">TRUNC($M265 * AK265,2)</f>
        <v>0</v>
      </c>
      <c r="AM265" s="38"/>
      <c r="AN265" s="38">
        <f t="shared" ref="AN265" si="3411">TRUNC($M265 * AM265,2)</f>
        <v>0</v>
      </c>
      <c r="AO265" s="38"/>
      <c r="AP265" s="38">
        <f t="shared" ref="AP265" si="3412">TRUNC($M265 * AO265,2)</f>
        <v>0</v>
      </c>
      <c r="AQ265" s="38"/>
      <c r="AR265" s="38">
        <f t="shared" ref="AR265" si="3413">TRUNC($M265 * AQ265,2)</f>
        <v>0</v>
      </c>
      <c r="AS265" s="38"/>
      <c r="AT265" s="38">
        <f t="shared" ref="AT265" si="3414">TRUNC($M265 * AS265,2)</f>
        <v>0</v>
      </c>
      <c r="AU265" s="38"/>
      <c r="AV265" s="38">
        <f t="shared" ref="AV265" si="3415">TRUNC($M265 * AU265,2)</f>
        <v>0</v>
      </c>
      <c r="AW265" s="38"/>
      <c r="AX265" s="37">
        <f t="shared" ref="AX265" si="3416">TRUNC($M265 * AW265,2)</f>
        <v>0</v>
      </c>
      <c r="AY265" s="36">
        <f t="shared" si="2700"/>
        <v>0</v>
      </c>
      <c r="AZ265" s="38">
        <f t="shared" ref="AZ265" si="3417">TRUNC($M265 * AY265,2)</f>
        <v>0</v>
      </c>
      <c r="BA265" s="38">
        <f t="shared" si="2702"/>
        <v>37</v>
      </c>
      <c r="BB265" s="37">
        <f t="shared" ref="BB265" si="3418">TRUNC($M265 * BA265,2)</f>
        <v>441.04</v>
      </c>
    </row>
    <row r="266" spans="1:54" ht="26.1" customHeight="1" x14ac:dyDescent="0.25">
      <c r="A266" s="31" t="s">
        <v>1079</v>
      </c>
      <c r="B266" s="31" t="s">
        <v>572</v>
      </c>
      <c r="C266" s="31" t="s">
        <v>34</v>
      </c>
      <c r="D266" s="31" t="s">
        <v>573</v>
      </c>
      <c r="E266" s="32" t="s">
        <v>36</v>
      </c>
      <c r="F266" s="33">
        <v>2</v>
      </c>
      <c r="G266" s="34">
        <v>27.62</v>
      </c>
      <c r="H266" s="34">
        <f t="shared" si="2679"/>
        <v>25.43</v>
      </c>
      <c r="I266" s="34">
        <f t="shared" si="2680"/>
        <v>50.86</v>
      </c>
      <c r="J266" s="34">
        <f>(TRUNC(H266 * L14,2) + H266)</f>
        <v>30.6</v>
      </c>
      <c r="K266" s="34">
        <f t="shared" si="3350"/>
        <v>61.2</v>
      </c>
      <c r="L266" s="35">
        <f>K266 / L13</f>
        <v>2.1103448275862066E-5</v>
      </c>
      <c r="M266" s="36">
        <v>21.69</v>
      </c>
      <c r="N266" s="37">
        <f t="shared" si="2682"/>
        <v>43.38</v>
      </c>
      <c r="O266" s="36"/>
      <c r="P266" s="38">
        <f t="shared" si="2683"/>
        <v>0</v>
      </c>
      <c r="Q266" s="38"/>
      <c r="R266" s="38">
        <f t="shared" si="2683"/>
        <v>0</v>
      </c>
      <c r="S266" s="38">
        <f t="shared" si="2684"/>
        <v>2</v>
      </c>
      <c r="T266" s="37">
        <f t="shared" ref="T266:V266" si="3419">TRUNC($M266 * S266,2)</f>
        <v>43.38</v>
      </c>
      <c r="U266" s="36"/>
      <c r="V266" s="38">
        <f t="shared" si="3419"/>
        <v>0</v>
      </c>
      <c r="W266" s="38"/>
      <c r="X266" s="38">
        <f t="shared" ref="X266" si="3420">TRUNC($M266 * W266,2)</f>
        <v>0</v>
      </c>
      <c r="Y266" s="38"/>
      <c r="Z266" s="38">
        <f t="shared" ref="Z266" si="3421">TRUNC($M266 * Y266,2)</f>
        <v>0</v>
      </c>
      <c r="AA266" s="38"/>
      <c r="AB266" s="38">
        <f t="shared" ref="AB266" si="3422">TRUNC($M266 * AA266,2)</f>
        <v>0</v>
      </c>
      <c r="AC266" s="38"/>
      <c r="AD266" s="38">
        <f t="shared" ref="AD266" si="3423">TRUNC($M266 * AC266,2)</f>
        <v>0</v>
      </c>
      <c r="AE266" s="38"/>
      <c r="AF266" s="38">
        <f t="shared" ref="AF266" si="3424">TRUNC($M266 * AE266,2)</f>
        <v>0</v>
      </c>
      <c r="AG266" s="38"/>
      <c r="AH266" s="38">
        <f t="shared" ref="AH266" si="3425">TRUNC($M266 * AG266,2)</f>
        <v>0</v>
      </c>
      <c r="AI266" s="38"/>
      <c r="AJ266" s="38">
        <f t="shared" ref="AJ266" si="3426">TRUNC($M266 * AI266,2)</f>
        <v>0</v>
      </c>
      <c r="AK266" s="38"/>
      <c r="AL266" s="38">
        <f t="shared" ref="AL266" si="3427">TRUNC($M266 * AK266,2)</f>
        <v>0</v>
      </c>
      <c r="AM266" s="38"/>
      <c r="AN266" s="38">
        <f t="shared" ref="AN266" si="3428">TRUNC($M266 * AM266,2)</f>
        <v>0</v>
      </c>
      <c r="AO266" s="38"/>
      <c r="AP266" s="38">
        <f t="shared" ref="AP266" si="3429">TRUNC($M266 * AO266,2)</f>
        <v>0</v>
      </c>
      <c r="AQ266" s="38"/>
      <c r="AR266" s="38">
        <f t="shared" ref="AR266" si="3430">TRUNC($M266 * AQ266,2)</f>
        <v>0</v>
      </c>
      <c r="AS266" s="38"/>
      <c r="AT266" s="38">
        <f t="shared" ref="AT266" si="3431">TRUNC($M266 * AS266,2)</f>
        <v>0</v>
      </c>
      <c r="AU266" s="38"/>
      <c r="AV266" s="38">
        <f t="shared" ref="AV266" si="3432">TRUNC($M266 * AU266,2)</f>
        <v>0</v>
      </c>
      <c r="AW266" s="38"/>
      <c r="AX266" s="37">
        <f t="shared" ref="AX266" si="3433">TRUNC($M266 * AW266,2)</f>
        <v>0</v>
      </c>
      <c r="AY266" s="36">
        <f t="shared" si="2700"/>
        <v>0</v>
      </c>
      <c r="AZ266" s="38">
        <f t="shared" ref="AZ266" si="3434">TRUNC($M266 * AY266,2)</f>
        <v>0</v>
      </c>
      <c r="BA266" s="38">
        <f t="shared" si="2702"/>
        <v>2</v>
      </c>
      <c r="BB266" s="37">
        <f t="shared" ref="BB266" si="3435">TRUNC($M266 * BA266,2)</f>
        <v>43.38</v>
      </c>
    </row>
    <row r="267" spans="1:54" ht="39" customHeight="1" x14ac:dyDescent="0.25">
      <c r="A267" s="31" t="s">
        <v>1080</v>
      </c>
      <c r="B267" s="31" t="s">
        <v>574</v>
      </c>
      <c r="C267" s="31" t="s">
        <v>34</v>
      </c>
      <c r="D267" s="31" t="s">
        <v>575</v>
      </c>
      <c r="E267" s="32" t="s">
        <v>36</v>
      </c>
      <c r="F267" s="33">
        <v>39</v>
      </c>
      <c r="G267" s="34">
        <v>11.89</v>
      </c>
      <c r="H267" s="34">
        <f t="shared" si="2679"/>
        <v>10.94</v>
      </c>
      <c r="I267" s="34">
        <f t="shared" si="2680"/>
        <v>426.66</v>
      </c>
      <c r="J267" s="34">
        <f>(TRUNC(H267 * L14,2) + H267)</f>
        <v>13.16</v>
      </c>
      <c r="K267" s="34">
        <f t="shared" si="3350"/>
        <v>513.24</v>
      </c>
      <c r="L267" s="35">
        <f>K267 / L13</f>
        <v>1.7697931034482757E-4</v>
      </c>
      <c r="M267" s="36">
        <v>10.36</v>
      </c>
      <c r="N267" s="37">
        <f t="shared" si="2682"/>
        <v>404.04</v>
      </c>
      <c r="O267" s="36"/>
      <c r="P267" s="38">
        <f t="shared" si="2683"/>
        <v>0</v>
      </c>
      <c r="Q267" s="38"/>
      <c r="R267" s="38">
        <f t="shared" si="2683"/>
        <v>0</v>
      </c>
      <c r="S267" s="38">
        <f t="shared" si="2684"/>
        <v>39</v>
      </c>
      <c r="T267" s="37">
        <f t="shared" ref="T267:V267" si="3436">TRUNC($M267 * S267,2)</f>
        <v>404.04</v>
      </c>
      <c r="U267" s="36"/>
      <c r="V267" s="38">
        <f t="shared" si="3436"/>
        <v>0</v>
      </c>
      <c r="W267" s="38"/>
      <c r="X267" s="38">
        <f t="shared" ref="X267" si="3437">TRUNC($M267 * W267,2)</f>
        <v>0</v>
      </c>
      <c r="Y267" s="38"/>
      <c r="Z267" s="38">
        <f t="shared" ref="Z267" si="3438">TRUNC($M267 * Y267,2)</f>
        <v>0</v>
      </c>
      <c r="AA267" s="38"/>
      <c r="AB267" s="38">
        <f t="shared" ref="AB267" si="3439">TRUNC($M267 * AA267,2)</f>
        <v>0</v>
      </c>
      <c r="AC267" s="38"/>
      <c r="AD267" s="38">
        <f t="shared" ref="AD267" si="3440">TRUNC($M267 * AC267,2)</f>
        <v>0</v>
      </c>
      <c r="AE267" s="38"/>
      <c r="AF267" s="38">
        <f t="shared" ref="AF267" si="3441">TRUNC($M267 * AE267,2)</f>
        <v>0</v>
      </c>
      <c r="AG267" s="38"/>
      <c r="AH267" s="38">
        <f t="shared" ref="AH267" si="3442">TRUNC($M267 * AG267,2)</f>
        <v>0</v>
      </c>
      <c r="AI267" s="38"/>
      <c r="AJ267" s="38">
        <f t="shared" ref="AJ267" si="3443">TRUNC($M267 * AI267,2)</f>
        <v>0</v>
      </c>
      <c r="AK267" s="38"/>
      <c r="AL267" s="38">
        <f t="shared" ref="AL267" si="3444">TRUNC($M267 * AK267,2)</f>
        <v>0</v>
      </c>
      <c r="AM267" s="38"/>
      <c r="AN267" s="38">
        <f t="shared" ref="AN267" si="3445">TRUNC($M267 * AM267,2)</f>
        <v>0</v>
      </c>
      <c r="AO267" s="38"/>
      <c r="AP267" s="38">
        <f t="shared" ref="AP267" si="3446">TRUNC($M267 * AO267,2)</f>
        <v>0</v>
      </c>
      <c r="AQ267" s="38"/>
      <c r="AR267" s="38">
        <f t="shared" ref="AR267" si="3447">TRUNC($M267 * AQ267,2)</f>
        <v>0</v>
      </c>
      <c r="AS267" s="38"/>
      <c r="AT267" s="38">
        <f t="shared" ref="AT267" si="3448">TRUNC($M267 * AS267,2)</f>
        <v>0</v>
      </c>
      <c r="AU267" s="38"/>
      <c r="AV267" s="38">
        <f t="shared" ref="AV267" si="3449">TRUNC($M267 * AU267,2)</f>
        <v>0</v>
      </c>
      <c r="AW267" s="38"/>
      <c r="AX267" s="37">
        <f t="shared" ref="AX267" si="3450">TRUNC($M267 * AW267,2)</f>
        <v>0</v>
      </c>
      <c r="AY267" s="36">
        <f t="shared" si="2700"/>
        <v>0</v>
      </c>
      <c r="AZ267" s="38">
        <f t="shared" ref="AZ267" si="3451">TRUNC($M267 * AY267,2)</f>
        <v>0</v>
      </c>
      <c r="BA267" s="38">
        <f t="shared" si="2702"/>
        <v>39</v>
      </c>
      <c r="BB267" s="37">
        <f t="shared" ref="BB267" si="3452">TRUNC($M267 * BA267,2)</f>
        <v>404.04</v>
      </c>
    </row>
    <row r="268" spans="1:54" ht="39" customHeight="1" x14ac:dyDescent="0.25">
      <c r="A268" s="31" t="s">
        <v>1081</v>
      </c>
      <c r="B268" s="31" t="s">
        <v>576</v>
      </c>
      <c r="C268" s="31" t="s">
        <v>34</v>
      </c>
      <c r="D268" s="31" t="s">
        <v>577</v>
      </c>
      <c r="E268" s="32" t="s">
        <v>36</v>
      </c>
      <c r="F268" s="33">
        <v>15</v>
      </c>
      <c r="G268" s="34">
        <v>71.64</v>
      </c>
      <c r="H268" s="34">
        <f t="shared" si="2679"/>
        <v>65.959999999999994</v>
      </c>
      <c r="I268" s="34">
        <f t="shared" si="2680"/>
        <v>989.4</v>
      </c>
      <c r="J268" s="34">
        <f>(TRUNC(H268 * L14,2) + H268)</f>
        <v>79.36999999999999</v>
      </c>
      <c r="K268" s="34">
        <f t="shared" si="3350"/>
        <v>1190.55</v>
      </c>
      <c r="L268" s="35">
        <f>K268 / L13</f>
        <v>4.1053448275862062E-4</v>
      </c>
      <c r="M268" s="36">
        <v>53.62</v>
      </c>
      <c r="N268" s="37">
        <f t="shared" si="2682"/>
        <v>804.3</v>
      </c>
      <c r="O268" s="36"/>
      <c r="P268" s="38">
        <f t="shared" si="2683"/>
        <v>0</v>
      </c>
      <c r="Q268" s="38"/>
      <c r="R268" s="38">
        <f t="shared" si="2683"/>
        <v>0</v>
      </c>
      <c r="S268" s="38">
        <f t="shared" si="2684"/>
        <v>15</v>
      </c>
      <c r="T268" s="37">
        <f t="shared" ref="T268:V268" si="3453">TRUNC($M268 * S268,2)</f>
        <v>804.3</v>
      </c>
      <c r="U268" s="36"/>
      <c r="V268" s="38">
        <f t="shared" si="3453"/>
        <v>0</v>
      </c>
      <c r="W268" s="38"/>
      <c r="X268" s="38">
        <f t="shared" ref="X268" si="3454">TRUNC($M268 * W268,2)</f>
        <v>0</v>
      </c>
      <c r="Y268" s="38"/>
      <c r="Z268" s="38">
        <f t="shared" ref="Z268" si="3455">TRUNC($M268 * Y268,2)</f>
        <v>0</v>
      </c>
      <c r="AA268" s="38"/>
      <c r="AB268" s="38">
        <f t="shared" ref="AB268" si="3456">TRUNC($M268 * AA268,2)</f>
        <v>0</v>
      </c>
      <c r="AC268" s="38"/>
      <c r="AD268" s="38">
        <f t="shared" ref="AD268" si="3457">TRUNC($M268 * AC268,2)</f>
        <v>0</v>
      </c>
      <c r="AE268" s="38"/>
      <c r="AF268" s="38">
        <f t="shared" ref="AF268" si="3458">TRUNC($M268 * AE268,2)</f>
        <v>0</v>
      </c>
      <c r="AG268" s="38"/>
      <c r="AH268" s="38">
        <f t="shared" ref="AH268" si="3459">TRUNC($M268 * AG268,2)</f>
        <v>0</v>
      </c>
      <c r="AI268" s="38"/>
      <c r="AJ268" s="38">
        <f t="shared" ref="AJ268" si="3460">TRUNC($M268 * AI268,2)</f>
        <v>0</v>
      </c>
      <c r="AK268" s="38"/>
      <c r="AL268" s="38">
        <f t="shared" ref="AL268" si="3461">TRUNC($M268 * AK268,2)</f>
        <v>0</v>
      </c>
      <c r="AM268" s="38"/>
      <c r="AN268" s="38">
        <f t="shared" ref="AN268" si="3462">TRUNC($M268 * AM268,2)</f>
        <v>0</v>
      </c>
      <c r="AO268" s="38"/>
      <c r="AP268" s="38">
        <f t="shared" ref="AP268" si="3463">TRUNC($M268 * AO268,2)</f>
        <v>0</v>
      </c>
      <c r="AQ268" s="38"/>
      <c r="AR268" s="38">
        <f t="shared" ref="AR268" si="3464">TRUNC($M268 * AQ268,2)</f>
        <v>0</v>
      </c>
      <c r="AS268" s="38"/>
      <c r="AT268" s="38">
        <f t="shared" ref="AT268" si="3465">TRUNC($M268 * AS268,2)</f>
        <v>0</v>
      </c>
      <c r="AU268" s="38"/>
      <c r="AV268" s="38">
        <f t="shared" ref="AV268" si="3466">TRUNC($M268 * AU268,2)</f>
        <v>0</v>
      </c>
      <c r="AW268" s="38"/>
      <c r="AX268" s="37">
        <f t="shared" ref="AX268" si="3467">TRUNC($M268 * AW268,2)</f>
        <v>0</v>
      </c>
      <c r="AY268" s="36">
        <f t="shared" si="2700"/>
        <v>0</v>
      </c>
      <c r="AZ268" s="38">
        <f t="shared" ref="AZ268" si="3468">TRUNC($M268 * AY268,2)</f>
        <v>0</v>
      </c>
      <c r="BA268" s="38">
        <f t="shared" si="2702"/>
        <v>15</v>
      </c>
      <c r="BB268" s="37">
        <f t="shared" ref="BB268" si="3469">TRUNC($M268 * BA268,2)</f>
        <v>804.3</v>
      </c>
    </row>
    <row r="269" spans="1:54" ht="51.9" customHeight="1" x14ac:dyDescent="0.25">
      <c r="A269" s="31" t="s">
        <v>1082</v>
      </c>
      <c r="B269" s="31" t="s">
        <v>578</v>
      </c>
      <c r="C269" s="31" t="s">
        <v>34</v>
      </c>
      <c r="D269" s="31" t="s">
        <v>579</v>
      </c>
      <c r="E269" s="32" t="s">
        <v>36</v>
      </c>
      <c r="F269" s="33">
        <v>9</v>
      </c>
      <c r="G269" s="34">
        <v>46.19</v>
      </c>
      <c r="H269" s="34">
        <f t="shared" si="2679"/>
        <v>42.52</v>
      </c>
      <c r="I269" s="34">
        <f t="shared" si="2680"/>
        <v>382.68</v>
      </c>
      <c r="J269" s="34">
        <f>(TRUNC(H269 * L14,2) + H269)</f>
        <v>51.160000000000004</v>
      </c>
      <c r="K269" s="34">
        <f t="shared" si="3350"/>
        <v>460.44</v>
      </c>
      <c r="L269" s="35">
        <f>K269 / L13</f>
        <v>1.5877241379310341E-4</v>
      </c>
      <c r="M269" s="36">
        <v>37.69</v>
      </c>
      <c r="N269" s="37">
        <f t="shared" si="2682"/>
        <v>339.21</v>
      </c>
      <c r="O269" s="36"/>
      <c r="P269" s="38">
        <f t="shared" si="2683"/>
        <v>0</v>
      </c>
      <c r="Q269" s="38"/>
      <c r="R269" s="38">
        <f t="shared" si="2683"/>
        <v>0</v>
      </c>
      <c r="S269" s="38">
        <f t="shared" si="2684"/>
        <v>9</v>
      </c>
      <c r="T269" s="37">
        <f t="shared" ref="T269:V269" si="3470">TRUNC($M269 * S269,2)</f>
        <v>339.21</v>
      </c>
      <c r="U269" s="36"/>
      <c r="V269" s="38">
        <f t="shared" si="3470"/>
        <v>0</v>
      </c>
      <c r="W269" s="38"/>
      <c r="X269" s="38">
        <f t="shared" ref="X269" si="3471">TRUNC($M269 * W269,2)</f>
        <v>0</v>
      </c>
      <c r="Y269" s="38"/>
      <c r="Z269" s="38">
        <f t="shared" ref="Z269" si="3472">TRUNC($M269 * Y269,2)</f>
        <v>0</v>
      </c>
      <c r="AA269" s="38"/>
      <c r="AB269" s="38">
        <f t="shared" ref="AB269" si="3473">TRUNC($M269 * AA269,2)</f>
        <v>0</v>
      </c>
      <c r="AC269" s="38"/>
      <c r="AD269" s="38">
        <f t="shared" ref="AD269" si="3474">TRUNC($M269 * AC269,2)</f>
        <v>0</v>
      </c>
      <c r="AE269" s="38"/>
      <c r="AF269" s="38">
        <f t="shared" ref="AF269" si="3475">TRUNC($M269 * AE269,2)</f>
        <v>0</v>
      </c>
      <c r="AG269" s="38"/>
      <c r="AH269" s="38">
        <f t="shared" ref="AH269" si="3476">TRUNC($M269 * AG269,2)</f>
        <v>0</v>
      </c>
      <c r="AI269" s="38"/>
      <c r="AJ269" s="38">
        <f t="shared" ref="AJ269" si="3477">TRUNC($M269 * AI269,2)</f>
        <v>0</v>
      </c>
      <c r="AK269" s="38"/>
      <c r="AL269" s="38">
        <f t="shared" ref="AL269" si="3478">TRUNC($M269 * AK269,2)</f>
        <v>0</v>
      </c>
      <c r="AM269" s="38"/>
      <c r="AN269" s="38">
        <f t="shared" ref="AN269" si="3479">TRUNC($M269 * AM269,2)</f>
        <v>0</v>
      </c>
      <c r="AO269" s="38"/>
      <c r="AP269" s="38">
        <f t="shared" ref="AP269" si="3480">TRUNC($M269 * AO269,2)</f>
        <v>0</v>
      </c>
      <c r="AQ269" s="38"/>
      <c r="AR269" s="38">
        <f t="shared" ref="AR269" si="3481">TRUNC($M269 * AQ269,2)</f>
        <v>0</v>
      </c>
      <c r="AS269" s="38"/>
      <c r="AT269" s="38">
        <f t="shared" ref="AT269" si="3482">TRUNC($M269 * AS269,2)</f>
        <v>0</v>
      </c>
      <c r="AU269" s="38"/>
      <c r="AV269" s="38">
        <f t="shared" ref="AV269" si="3483">TRUNC($M269 * AU269,2)</f>
        <v>0</v>
      </c>
      <c r="AW269" s="38"/>
      <c r="AX269" s="37">
        <f t="shared" ref="AX269" si="3484">TRUNC($M269 * AW269,2)</f>
        <v>0</v>
      </c>
      <c r="AY269" s="36">
        <f t="shared" si="2700"/>
        <v>0</v>
      </c>
      <c r="AZ269" s="38">
        <f t="shared" ref="AZ269" si="3485">TRUNC($M269 * AY269,2)</f>
        <v>0</v>
      </c>
      <c r="BA269" s="38">
        <f t="shared" si="2702"/>
        <v>9</v>
      </c>
      <c r="BB269" s="37">
        <f t="shared" ref="BB269" si="3486">TRUNC($M269 * BA269,2)</f>
        <v>339.21</v>
      </c>
    </row>
    <row r="270" spans="1:54" ht="51.9" customHeight="1" x14ac:dyDescent="0.25">
      <c r="A270" s="31" t="s">
        <v>1083</v>
      </c>
      <c r="B270" s="31" t="s">
        <v>580</v>
      </c>
      <c r="C270" s="31" t="s">
        <v>34</v>
      </c>
      <c r="D270" s="31" t="s">
        <v>581</v>
      </c>
      <c r="E270" s="32" t="s">
        <v>36</v>
      </c>
      <c r="F270" s="33">
        <v>59</v>
      </c>
      <c r="G270" s="34">
        <v>14.68</v>
      </c>
      <c r="H270" s="34">
        <f t="shared" si="2679"/>
        <v>13.51</v>
      </c>
      <c r="I270" s="34">
        <f t="shared" si="2680"/>
        <v>797.09</v>
      </c>
      <c r="J270" s="34">
        <f>(TRUNC(H270 * L14,2) + H270)</f>
        <v>16.25</v>
      </c>
      <c r="K270" s="34">
        <f t="shared" si="3350"/>
        <v>958.75</v>
      </c>
      <c r="L270" s="35">
        <f>K270 / L13</f>
        <v>3.3060344827586202E-4</v>
      </c>
      <c r="M270" s="36">
        <v>13.28</v>
      </c>
      <c r="N270" s="37">
        <f t="shared" si="2682"/>
        <v>783.52</v>
      </c>
      <c r="O270" s="36"/>
      <c r="P270" s="38">
        <f t="shared" si="2683"/>
        <v>0</v>
      </c>
      <c r="Q270" s="38"/>
      <c r="R270" s="38">
        <f t="shared" si="2683"/>
        <v>0</v>
      </c>
      <c r="S270" s="38">
        <f t="shared" si="2684"/>
        <v>59</v>
      </c>
      <c r="T270" s="37">
        <f t="shared" ref="T270:V270" si="3487">TRUNC($M270 * S270,2)</f>
        <v>783.52</v>
      </c>
      <c r="U270" s="36"/>
      <c r="V270" s="38">
        <f t="shared" si="3487"/>
        <v>0</v>
      </c>
      <c r="W270" s="38"/>
      <c r="X270" s="38">
        <f t="shared" ref="X270" si="3488">TRUNC($M270 * W270,2)</f>
        <v>0</v>
      </c>
      <c r="Y270" s="38"/>
      <c r="Z270" s="38">
        <f t="shared" ref="Z270" si="3489">TRUNC($M270 * Y270,2)</f>
        <v>0</v>
      </c>
      <c r="AA270" s="38"/>
      <c r="AB270" s="38">
        <f t="shared" ref="AB270" si="3490">TRUNC($M270 * AA270,2)</f>
        <v>0</v>
      </c>
      <c r="AC270" s="38"/>
      <c r="AD270" s="38">
        <f t="shared" ref="AD270" si="3491">TRUNC($M270 * AC270,2)</f>
        <v>0</v>
      </c>
      <c r="AE270" s="38"/>
      <c r="AF270" s="38">
        <f t="shared" ref="AF270" si="3492">TRUNC($M270 * AE270,2)</f>
        <v>0</v>
      </c>
      <c r="AG270" s="38"/>
      <c r="AH270" s="38">
        <f t="shared" ref="AH270" si="3493">TRUNC($M270 * AG270,2)</f>
        <v>0</v>
      </c>
      <c r="AI270" s="38"/>
      <c r="AJ270" s="38">
        <f t="shared" ref="AJ270" si="3494">TRUNC($M270 * AI270,2)</f>
        <v>0</v>
      </c>
      <c r="AK270" s="38"/>
      <c r="AL270" s="38">
        <f t="shared" ref="AL270" si="3495">TRUNC($M270 * AK270,2)</f>
        <v>0</v>
      </c>
      <c r="AM270" s="38"/>
      <c r="AN270" s="38">
        <f t="shared" ref="AN270" si="3496">TRUNC($M270 * AM270,2)</f>
        <v>0</v>
      </c>
      <c r="AO270" s="38"/>
      <c r="AP270" s="38">
        <f t="shared" ref="AP270" si="3497">TRUNC($M270 * AO270,2)</f>
        <v>0</v>
      </c>
      <c r="AQ270" s="38"/>
      <c r="AR270" s="38">
        <f t="shared" ref="AR270" si="3498">TRUNC($M270 * AQ270,2)</f>
        <v>0</v>
      </c>
      <c r="AS270" s="38"/>
      <c r="AT270" s="38">
        <f t="shared" ref="AT270" si="3499">TRUNC($M270 * AS270,2)</f>
        <v>0</v>
      </c>
      <c r="AU270" s="38"/>
      <c r="AV270" s="38">
        <f t="shared" ref="AV270" si="3500">TRUNC($M270 * AU270,2)</f>
        <v>0</v>
      </c>
      <c r="AW270" s="38"/>
      <c r="AX270" s="37">
        <f t="shared" ref="AX270" si="3501">TRUNC($M270 * AW270,2)</f>
        <v>0</v>
      </c>
      <c r="AY270" s="36">
        <f t="shared" si="2700"/>
        <v>0</v>
      </c>
      <c r="AZ270" s="38">
        <f t="shared" ref="AZ270" si="3502">TRUNC($M270 * AY270,2)</f>
        <v>0</v>
      </c>
      <c r="BA270" s="38">
        <f t="shared" si="2702"/>
        <v>59</v>
      </c>
      <c r="BB270" s="37">
        <f t="shared" ref="BB270" si="3503">TRUNC($M270 * BA270,2)</f>
        <v>783.52</v>
      </c>
    </row>
    <row r="271" spans="1:54" ht="51.9" customHeight="1" x14ac:dyDescent="0.25">
      <c r="A271" s="31" t="s">
        <v>1084</v>
      </c>
      <c r="B271" s="31" t="s">
        <v>582</v>
      </c>
      <c r="C271" s="31" t="s">
        <v>34</v>
      </c>
      <c r="D271" s="31" t="s">
        <v>583</v>
      </c>
      <c r="E271" s="32" t="s">
        <v>36</v>
      </c>
      <c r="F271" s="33">
        <v>29</v>
      </c>
      <c r="G271" s="34">
        <v>11.79</v>
      </c>
      <c r="H271" s="34">
        <f t="shared" si="2679"/>
        <v>10.85</v>
      </c>
      <c r="I271" s="34">
        <f t="shared" si="2680"/>
        <v>314.64999999999998</v>
      </c>
      <c r="J271" s="34">
        <f>(TRUNC(H271 * L14,2) + H271)</f>
        <v>13.05</v>
      </c>
      <c r="K271" s="34">
        <f t="shared" si="3350"/>
        <v>378.45</v>
      </c>
      <c r="L271" s="35">
        <f>K271 / L13</f>
        <v>1.3049999999999997E-4</v>
      </c>
      <c r="M271" s="36">
        <v>11.23</v>
      </c>
      <c r="N271" s="37">
        <f t="shared" si="2682"/>
        <v>325.67</v>
      </c>
      <c r="O271" s="36"/>
      <c r="P271" s="38">
        <f t="shared" si="2683"/>
        <v>0</v>
      </c>
      <c r="Q271" s="38"/>
      <c r="R271" s="38">
        <f t="shared" si="2683"/>
        <v>0</v>
      </c>
      <c r="S271" s="38">
        <f t="shared" si="2684"/>
        <v>29</v>
      </c>
      <c r="T271" s="37">
        <f t="shared" ref="T271:V271" si="3504">TRUNC($M271 * S271,2)</f>
        <v>325.67</v>
      </c>
      <c r="U271" s="36"/>
      <c r="V271" s="38">
        <f t="shared" si="3504"/>
        <v>0</v>
      </c>
      <c r="W271" s="38"/>
      <c r="X271" s="38">
        <f t="shared" ref="X271" si="3505">TRUNC($M271 * W271,2)</f>
        <v>0</v>
      </c>
      <c r="Y271" s="38"/>
      <c r="Z271" s="38">
        <f t="shared" ref="Z271" si="3506">TRUNC($M271 * Y271,2)</f>
        <v>0</v>
      </c>
      <c r="AA271" s="38"/>
      <c r="AB271" s="38">
        <f t="shared" ref="AB271" si="3507">TRUNC($M271 * AA271,2)</f>
        <v>0</v>
      </c>
      <c r="AC271" s="38"/>
      <c r="AD271" s="38">
        <f t="shared" ref="AD271" si="3508">TRUNC($M271 * AC271,2)</f>
        <v>0</v>
      </c>
      <c r="AE271" s="38"/>
      <c r="AF271" s="38">
        <f t="shared" ref="AF271" si="3509">TRUNC($M271 * AE271,2)</f>
        <v>0</v>
      </c>
      <c r="AG271" s="38"/>
      <c r="AH271" s="38">
        <f t="shared" ref="AH271" si="3510">TRUNC($M271 * AG271,2)</f>
        <v>0</v>
      </c>
      <c r="AI271" s="38"/>
      <c r="AJ271" s="38">
        <f t="shared" ref="AJ271" si="3511">TRUNC($M271 * AI271,2)</f>
        <v>0</v>
      </c>
      <c r="AK271" s="38"/>
      <c r="AL271" s="38">
        <f t="shared" ref="AL271" si="3512">TRUNC($M271 * AK271,2)</f>
        <v>0</v>
      </c>
      <c r="AM271" s="38"/>
      <c r="AN271" s="38">
        <f t="shared" ref="AN271" si="3513">TRUNC($M271 * AM271,2)</f>
        <v>0</v>
      </c>
      <c r="AO271" s="38"/>
      <c r="AP271" s="38">
        <f t="shared" ref="AP271" si="3514">TRUNC($M271 * AO271,2)</f>
        <v>0</v>
      </c>
      <c r="AQ271" s="38"/>
      <c r="AR271" s="38">
        <f t="shared" ref="AR271" si="3515">TRUNC($M271 * AQ271,2)</f>
        <v>0</v>
      </c>
      <c r="AS271" s="38"/>
      <c r="AT271" s="38">
        <f t="shared" ref="AT271" si="3516">TRUNC($M271 * AS271,2)</f>
        <v>0</v>
      </c>
      <c r="AU271" s="38"/>
      <c r="AV271" s="38">
        <f t="shared" ref="AV271" si="3517">TRUNC($M271 * AU271,2)</f>
        <v>0</v>
      </c>
      <c r="AW271" s="38"/>
      <c r="AX271" s="37">
        <f t="shared" ref="AX271" si="3518">TRUNC($M271 * AW271,2)</f>
        <v>0</v>
      </c>
      <c r="AY271" s="36">
        <f t="shared" si="2700"/>
        <v>0</v>
      </c>
      <c r="AZ271" s="38">
        <f t="shared" ref="AZ271" si="3519">TRUNC($M271 * AY271,2)</f>
        <v>0</v>
      </c>
      <c r="BA271" s="38">
        <f t="shared" si="2702"/>
        <v>29</v>
      </c>
      <c r="BB271" s="37">
        <f t="shared" ref="BB271" si="3520">TRUNC($M271 * BA271,2)</f>
        <v>325.67</v>
      </c>
    </row>
    <row r="272" spans="1:54" ht="51.9" customHeight="1" x14ac:dyDescent="0.25">
      <c r="A272" s="31" t="s">
        <v>1085</v>
      </c>
      <c r="B272" s="31" t="s">
        <v>584</v>
      </c>
      <c r="C272" s="31" t="s">
        <v>34</v>
      </c>
      <c r="D272" s="31" t="s">
        <v>585</v>
      </c>
      <c r="E272" s="32" t="s">
        <v>36</v>
      </c>
      <c r="F272" s="33">
        <v>28</v>
      </c>
      <c r="G272" s="34">
        <v>16.55</v>
      </c>
      <c r="H272" s="34">
        <f t="shared" si="2679"/>
        <v>15.23</v>
      </c>
      <c r="I272" s="34">
        <f t="shared" si="2680"/>
        <v>426.44</v>
      </c>
      <c r="J272" s="34">
        <f>(TRUNC(H272 * L14,2) + H272)</f>
        <v>18.32</v>
      </c>
      <c r="K272" s="34">
        <f t="shared" si="3350"/>
        <v>512.96</v>
      </c>
      <c r="L272" s="35">
        <f>K272 / L13</f>
        <v>1.7688275862068963E-4</v>
      </c>
      <c r="M272" s="36">
        <v>14.84</v>
      </c>
      <c r="N272" s="37">
        <f t="shared" si="2682"/>
        <v>415.52</v>
      </c>
      <c r="O272" s="36"/>
      <c r="P272" s="38">
        <f t="shared" si="2683"/>
        <v>0</v>
      </c>
      <c r="Q272" s="38"/>
      <c r="R272" s="38">
        <f t="shared" si="2683"/>
        <v>0</v>
      </c>
      <c r="S272" s="38">
        <f t="shared" si="2684"/>
        <v>28</v>
      </c>
      <c r="T272" s="37">
        <f t="shared" ref="T272:V272" si="3521">TRUNC($M272 * S272,2)</f>
        <v>415.52</v>
      </c>
      <c r="U272" s="36"/>
      <c r="V272" s="38">
        <f t="shared" si="3521"/>
        <v>0</v>
      </c>
      <c r="W272" s="38"/>
      <c r="X272" s="38">
        <f t="shared" ref="X272" si="3522">TRUNC($M272 * W272,2)</f>
        <v>0</v>
      </c>
      <c r="Y272" s="38"/>
      <c r="Z272" s="38">
        <f t="shared" ref="Z272" si="3523">TRUNC($M272 * Y272,2)</f>
        <v>0</v>
      </c>
      <c r="AA272" s="38"/>
      <c r="AB272" s="38">
        <f t="shared" ref="AB272" si="3524">TRUNC($M272 * AA272,2)</f>
        <v>0</v>
      </c>
      <c r="AC272" s="38"/>
      <c r="AD272" s="38">
        <f t="shared" ref="AD272" si="3525">TRUNC($M272 * AC272,2)</f>
        <v>0</v>
      </c>
      <c r="AE272" s="38"/>
      <c r="AF272" s="38">
        <f t="shared" ref="AF272" si="3526">TRUNC($M272 * AE272,2)</f>
        <v>0</v>
      </c>
      <c r="AG272" s="38"/>
      <c r="AH272" s="38">
        <f t="shared" ref="AH272" si="3527">TRUNC($M272 * AG272,2)</f>
        <v>0</v>
      </c>
      <c r="AI272" s="38"/>
      <c r="AJ272" s="38">
        <f t="shared" ref="AJ272" si="3528">TRUNC($M272 * AI272,2)</f>
        <v>0</v>
      </c>
      <c r="AK272" s="38"/>
      <c r="AL272" s="38">
        <f t="shared" ref="AL272" si="3529">TRUNC($M272 * AK272,2)</f>
        <v>0</v>
      </c>
      <c r="AM272" s="38"/>
      <c r="AN272" s="38">
        <f t="shared" ref="AN272" si="3530">TRUNC($M272 * AM272,2)</f>
        <v>0</v>
      </c>
      <c r="AO272" s="38"/>
      <c r="AP272" s="38">
        <f t="shared" ref="AP272" si="3531">TRUNC($M272 * AO272,2)</f>
        <v>0</v>
      </c>
      <c r="AQ272" s="38"/>
      <c r="AR272" s="38">
        <f t="shared" ref="AR272" si="3532">TRUNC($M272 * AQ272,2)</f>
        <v>0</v>
      </c>
      <c r="AS272" s="38"/>
      <c r="AT272" s="38">
        <f t="shared" ref="AT272" si="3533">TRUNC($M272 * AS272,2)</f>
        <v>0</v>
      </c>
      <c r="AU272" s="38"/>
      <c r="AV272" s="38">
        <f t="shared" ref="AV272" si="3534">TRUNC($M272 * AU272,2)</f>
        <v>0</v>
      </c>
      <c r="AW272" s="38"/>
      <c r="AX272" s="37">
        <f t="shared" ref="AX272" si="3535">TRUNC($M272 * AW272,2)</f>
        <v>0</v>
      </c>
      <c r="AY272" s="36">
        <f t="shared" si="2700"/>
        <v>0</v>
      </c>
      <c r="AZ272" s="38">
        <f t="shared" ref="AZ272" si="3536">TRUNC($M272 * AY272,2)</f>
        <v>0</v>
      </c>
      <c r="BA272" s="38">
        <f t="shared" si="2702"/>
        <v>28</v>
      </c>
      <c r="BB272" s="37">
        <f t="shared" ref="BB272" si="3537">TRUNC($M272 * BA272,2)</f>
        <v>415.52</v>
      </c>
    </row>
    <row r="273" spans="1:54" ht="51.9" customHeight="1" x14ac:dyDescent="0.25">
      <c r="A273" s="31" t="s">
        <v>1086</v>
      </c>
      <c r="B273" s="31" t="s">
        <v>586</v>
      </c>
      <c r="C273" s="31" t="s">
        <v>34</v>
      </c>
      <c r="D273" s="31" t="s">
        <v>587</v>
      </c>
      <c r="E273" s="32" t="s">
        <v>36</v>
      </c>
      <c r="F273" s="33">
        <v>6</v>
      </c>
      <c r="G273" s="34">
        <v>24.64</v>
      </c>
      <c r="H273" s="34">
        <f t="shared" si="2679"/>
        <v>22.68</v>
      </c>
      <c r="I273" s="34">
        <f t="shared" si="2680"/>
        <v>136.08000000000001</v>
      </c>
      <c r="J273" s="34">
        <f>(TRUNC(H273 * L14,2) + H273)</f>
        <v>27.29</v>
      </c>
      <c r="K273" s="34">
        <f t="shared" si="3350"/>
        <v>163.74</v>
      </c>
      <c r="L273" s="35">
        <f>K273 / L13</f>
        <v>5.6462068965517232E-5</v>
      </c>
      <c r="M273" s="36">
        <v>21.21</v>
      </c>
      <c r="N273" s="37">
        <f t="shared" si="2682"/>
        <v>127.26</v>
      </c>
      <c r="O273" s="36"/>
      <c r="P273" s="38">
        <f t="shared" si="2683"/>
        <v>0</v>
      </c>
      <c r="Q273" s="38"/>
      <c r="R273" s="38">
        <f t="shared" si="2683"/>
        <v>0</v>
      </c>
      <c r="S273" s="38">
        <f t="shared" si="2684"/>
        <v>6</v>
      </c>
      <c r="T273" s="37">
        <f t="shared" ref="T273:V273" si="3538">TRUNC($M273 * S273,2)</f>
        <v>127.26</v>
      </c>
      <c r="U273" s="36"/>
      <c r="V273" s="38">
        <f t="shared" si="3538"/>
        <v>0</v>
      </c>
      <c r="W273" s="38"/>
      <c r="X273" s="38">
        <f t="shared" ref="X273" si="3539">TRUNC($M273 * W273,2)</f>
        <v>0</v>
      </c>
      <c r="Y273" s="38"/>
      <c r="Z273" s="38">
        <f t="shared" ref="Z273" si="3540">TRUNC($M273 * Y273,2)</f>
        <v>0</v>
      </c>
      <c r="AA273" s="38"/>
      <c r="AB273" s="38">
        <f t="shared" ref="AB273" si="3541">TRUNC($M273 * AA273,2)</f>
        <v>0</v>
      </c>
      <c r="AC273" s="38"/>
      <c r="AD273" s="38">
        <f t="shared" ref="AD273" si="3542">TRUNC($M273 * AC273,2)</f>
        <v>0</v>
      </c>
      <c r="AE273" s="38"/>
      <c r="AF273" s="38">
        <f t="shared" ref="AF273" si="3543">TRUNC($M273 * AE273,2)</f>
        <v>0</v>
      </c>
      <c r="AG273" s="38"/>
      <c r="AH273" s="38">
        <f t="shared" ref="AH273" si="3544">TRUNC($M273 * AG273,2)</f>
        <v>0</v>
      </c>
      <c r="AI273" s="38"/>
      <c r="AJ273" s="38">
        <f t="shared" ref="AJ273" si="3545">TRUNC($M273 * AI273,2)</f>
        <v>0</v>
      </c>
      <c r="AK273" s="38"/>
      <c r="AL273" s="38">
        <f t="shared" ref="AL273" si="3546">TRUNC($M273 * AK273,2)</f>
        <v>0</v>
      </c>
      <c r="AM273" s="38"/>
      <c r="AN273" s="38">
        <f t="shared" ref="AN273" si="3547">TRUNC($M273 * AM273,2)</f>
        <v>0</v>
      </c>
      <c r="AO273" s="38"/>
      <c r="AP273" s="38">
        <f t="shared" ref="AP273" si="3548">TRUNC($M273 * AO273,2)</f>
        <v>0</v>
      </c>
      <c r="AQ273" s="38"/>
      <c r="AR273" s="38">
        <f t="shared" ref="AR273" si="3549">TRUNC($M273 * AQ273,2)</f>
        <v>0</v>
      </c>
      <c r="AS273" s="38"/>
      <c r="AT273" s="38">
        <f t="shared" ref="AT273" si="3550">TRUNC($M273 * AS273,2)</f>
        <v>0</v>
      </c>
      <c r="AU273" s="38"/>
      <c r="AV273" s="38">
        <f t="shared" ref="AV273" si="3551">TRUNC($M273 * AU273,2)</f>
        <v>0</v>
      </c>
      <c r="AW273" s="38"/>
      <c r="AX273" s="37">
        <f t="shared" ref="AX273" si="3552">TRUNC($M273 * AW273,2)</f>
        <v>0</v>
      </c>
      <c r="AY273" s="36">
        <f t="shared" si="2700"/>
        <v>0</v>
      </c>
      <c r="AZ273" s="38">
        <f t="shared" ref="AZ273" si="3553">TRUNC($M273 * AY273,2)</f>
        <v>0</v>
      </c>
      <c r="BA273" s="38">
        <f t="shared" si="2702"/>
        <v>6</v>
      </c>
      <c r="BB273" s="37">
        <f t="shared" ref="BB273" si="3554">TRUNC($M273 * BA273,2)</f>
        <v>127.26</v>
      </c>
    </row>
    <row r="274" spans="1:54" ht="51.9" customHeight="1" x14ac:dyDescent="0.25">
      <c r="A274" s="31" t="s">
        <v>1087</v>
      </c>
      <c r="B274" s="31" t="s">
        <v>588</v>
      </c>
      <c r="C274" s="31" t="s">
        <v>34</v>
      </c>
      <c r="D274" s="31" t="s">
        <v>589</v>
      </c>
      <c r="E274" s="32" t="s">
        <v>36</v>
      </c>
      <c r="F274" s="33">
        <v>4</v>
      </c>
      <c r="G274" s="34">
        <v>15.77</v>
      </c>
      <c r="H274" s="34">
        <f t="shared" si="2679"/>
        <v>14.52</v>
      </c>
      <c r="I274" s="34">
        <f t="shared" si="2680"/>
        <v>58.08</v>
      </c>
      <c r="J274" s="34">
        <f>(TRUNC(H274 * L14,2) + H274)</f>
        <v>17.47</v>
      </c>
      <c r="K274" s="34">
        <f t="shared" si="3350"/>
        <v>69.88</v>
      </c>
      <c r="L274" s="35">
        <f>K274 / L13</f>
        <v>2.4096551724137925E-5</v>
      </c>
      <c r="M274" s="36">
        <v>14.29</v>
      </c>
      <c r="N274" s="37">
        <f t="shared" si="2682"/>
        <v>57.16</v>
      </c>
      <c r="O274" s="36"/>
      <c r="P274" s="38">
        <f t="shared" si="2683"/>
        <v>0</v>
      </c>
      <c r="Q274" s="38"/>
      <c r="R274" s="38">
        <f t="shared" si="2683"/>
        <v>0</v>
      </c>
      <c r="S274" s="38">
        <f t="shared" si="2684"/>
        <v>4</v>
      </c>
      <c r="T274" s="37">
        <f t="shared" ref="T274:V274" si="3555">TRUNC($M274 * S274,2)</f>
        <v>57.16</v>
      </c>
      <c r="U274" s="36"/>
      <c r="V274" s="38">
        <f t="shared" si="3555"/>
        <v>0</v>
      </c>
      <c r="W274" s="38"/>
      <c r="X274" s="38">
        <f t="shared" ref="X274" si="3556">TRUNC($M274 * W274,2)</f>
        <v>0</v>
      </c>
      <c r="Y274" s="38"/>
      <c r="Z274" s="38">
        <f t="shared" ref="Z274" si="3557">TRUNC($M274 * Y274,2)</f>
        <v>0</v>
      </c>
      <c r="AA274" s="38"/>
      <c r="AB274" s="38">
        <f t="shared" ref="AB274" si="3558">TRUNC($M274 * AA274,2)</f>
        <v>0</v>
      </c>
      <c r="AC274" s="38"/>
      <c r="AD274" s="38">
        <f t="shared" ref="AD274" si="3559">TRUNC($M274 * AC274,2)</f>
        <v>0</v>
      </c>
      <c r="AE274" s="38"/>
      <c r="AF274" s="38">
        <f t="shared" ref="AF274" si="3560">TRUNC($M274 * AE274,2)</f>
        <v>0</v>
      </c>
      <c r="AG274" s="38"/>
      <c r="AH274" s="38">
        <f t="shared" ref="AH274" si="3561">TRUNC($M274 * AG274,2)</f>
        <v>0</v>
      </c>
      <c r="AI274" s="38"/>
      <c r="AJ274" s="38">
        <f t="shared" ref="AJ274" si="3562">TRUNC($M274 * AI274,2)</f>
        <v>0</v>
      </c>
      <c r="AK274" s="38"/>
      <c r="AL274" s="38">
        <f t="shared" ref="AL274" si="3563">TRUNC($M274 * AK274,2)</f>
        <v>0</v>
      </c>
      <c r="AM274" s="38"/>
      <c r="AN274" s="38">
        <f t="shared" ref="AN274" si="3564">TRUNC($M274 * AM274,2)</f>
        <v>0</v>
      </c>
      <c r="AO274" s="38"/>
      <c r="AP274" s="38">
        <f t="shared" ref="AP274" si="3565">TRUNC($M274 * AO274,2)</f>
        <v>0</v>
      </c>
      <c r="AQ274" s="38"/>
      <c r="AR274" s="38">
        <f t="shared" ref="AR274" si="3566">TRUNC($M274 * AQ274,2)</f>
        <v>0</v>
      </c>
      <c r="AS274" s="38"/>
      <c r="AT274" s="38">
        <f t="shared" ref="AT274" si="3567">TRUNC($M274 * AS274,2)</f>
        <v>0</v>
      </c>
      <c r="AU274" s="38"/>
      <c r="AV274" s="38">
        <f t="shared" ref="AV274" si="3568">TRUNC($M274 * AU274,2)</f>
        <v>0</v>
      </c>
      <c r="AW274" s="38"/>
      <c r="AX274" s="37">
        <f t="shared" ref="AX274" si="3569">TRUNC($M274 * AW274,2)</f>
        <v>0</v>
      </c>
      <c r="AY274" s="36">
        <f t="shared" si="2700"/>
        <v>0</v>
      </c>
      <c r="AZ274" s="38">
        <f t="shared" ref="AZ274" si="3570">TRUNC($M274 * AY274,2)</f>
        <v>0</v>
      </c>
      <c r="BA274" s="38">
        <f t="shared" si="2702"/>
        <v>4</v>
      </c>
      <c r="BB274" s="37">
        <f t="shared" ref="BB274" si="3571">TRUNC($M274 * BA274,2)</f>
        <v>57.16</v>
      </c>
    </row>
    <row r="275" spans="1:54" ht="51.9" customHeight="1" x14ac:dyDescent="0.25">
      <c r="A275" s="31" t="s">
        <v>1088</v>
      </c>
      <c r="B275" s="31" t="s">
        <v>590</v>
      </c>
      <c r="C275" s="31" t="s">
        <v>34</v>
      </c>
      <c r="D275" s="31" t="s">
        <v>591</v>
      </c>
      <c r="E275" s="32" t="s">
        <v>36</v>
      </c>
      <c r="F275" s="33">
        <v>38</v>
      </c>
      <c r="G275" s="34">
        <v>11.54</v>
      </c>
      <c r="H275" s="34">
        <f t="shared" si="2679"/>
        <v>10.62</v>
      </c>
      <c r="I275" s="34">
        <f t="shared" si="2680"/>
        <v>403.56</v>
      </c>
      <c r="J275" s="34">
        <f>(TRUNC(H275 * L14,2) + H275)</f>
        <v>12.78</v>
      </c>
      <c r="K275" s="34">
        <f t="shared" si="3350"/>
        <v>485.64</v>
      </c>
      <c r="L275" s="35">
        <f>K275 / L13</f>
        <v>1.6746206896551722E-4</v>
      </c>
      <c r="M275" s="36">
        <v>11.05</v>
      </c>
      <c r="N275" s="37">
        <f t="shared" si="2682"/>
        <v>419.9</v>
      </c>
      <c r="O275" s="36"/>
      <c r="P275" s="38">
        <f t="shared" si="2683"/>
        <v>0</v>
      </c>
      <c r="Q275" s="38"/>
      <c r="R275" s="38">
        <f t="shared" si="2683"/>
        <v>0</v>
      </c>
      <c r="S275" s="38">
        <f t="shared" si="2684"/>
        <v>38</v>
      </c>
      <c r="T275" s="37">
        <f t="shared" ref="T275:V275" si="3572">TRUNC($M275 * S275,2)</f>
        <v>419.9</v>
      </c>
      <c r="U275" s="36"/>
      <c r="V275" s="38">
        <f t="shared" si="3572"/>
        <v>0</v>
      </c>
      <c r="W275" s="38"/>
      <c r="X275" s="38">
        <f t="shared" ref="X275" si="3573">TRUNC($M275 * W275,2)</f>
        <v>0</v>
      </c>
      <c r="Y275" s="38"/>
      <c r="Z275" s="38">
        <f t="shared" ref="Z275" si="3574">TRUNC($M275 * Y275,2)</f>
        <v>0</v>
      </c>
      <c r="AA275" s="38"/>
      <c r="AB275" s="38">
        <f t="shared" ref="AB275" si="3575">TRUNC($M275 * AA275,2)</f>
        <v>0</v>
      </c>
      <c r="AC275" s="38"/>
      <c r="AD275" s="38">
        <f t="shared" ref="AD275" si="3576">TRUNC($M275 * AC275,2)</f>
        <v>0</v>
      </c>
      <c r="AE275" s="38"/>
      <c r="AF275" s="38">
        <f t="shared" ref="AF275" si="3577">TRUNC($M275 * AE275,2)</f>
        <v>0</v>
      </c>
      <c r="AG275" s="38"/>
      <c r="AH275" s="38">
        <f t="shared" ref="AH275" si="3578">TRUNC($M275 * AG275,2)</f>
        <v>0</v>
      </c>
      <c r="AI275" s="38"/>
      <c r="AJ275" s="38">
        <f t="shared" ref="AJ275" si="3579">TRUNC($M275 * AI275,2)</f>
        <v>0</v>
      </c>
      <c r="AK275" s="38"/>
      <c r="AL275" s="38">
        <f t="shared" ref="AL275" si="3580">TRUNC($M275 * AK275,2)</f>
        <v>0</v>
      </c>
      <c r="AM275" s="38"/>
      <c r="AN275" s="38">
        <f t="shared" ref="AN275" si="3581">TRUNC($M275 * AM275,2)</f>
        <v>0</v>
      </c>
      <c r="AO275" s="38"/>
      <c r="AP275" s="38">
        <f t="shared" ref="AP275" si="3582">TRUNC($M275 * AO275,2)</f>
        <v>0</v>
      </c>
      <c r="AQ275" s="38"/>
      <c r="AR275" s="38">
        <f t="shared" ref="AR275" si="3583">TRUNC($M275 * AQ275,2)</f>
        <v>0</v>
      </c>
      <c r="AS275" s="38"/>
      <c r="AT275" s="38">
        <f t="shared" ref="AT275" si="3584">TRUNC($M275 * AS275,2)</f>
        <v>0</v>
      </c>
      <c r="AU275" s="38"/>
      <c r="AV275" s="38">
        <f t="shared" ref="AV275" si="3585">TRUNC($M275 * AU275,2)</f>
        <v>0</v>
      </c>
      <c r="AW275" s="38"/>
      <c r="AX275" s="37">
        <f t="shared" ref="AX275" si="3586">TRUNC($M275 * AW275,2)</f>
        <v>0</v>
      </c>
      <c r="AY275" s="36">
        <f t="shared" si="2700"/>
        <v>0</v>
      </c>
      <c r="AZ275" s="38">
        <f t="shared" ref="AZ275" si="3587">TRUNC($M275 * AY275,2)</f>
        <v>0</v>
      </c>
      <c r="BA275" s="38">
        <f t="shared" si="2702"/>
        <v>38</v>
      </c>
      <c r="BB275" s="37">
        <f t="shared" ref="BB275" si="3588">TRUNC($M275 * BA275,2)</f>
        <v>419.9</v>
      </c>
    </row>
    <row r="276" spans="1:54" ht="51.9" customHeight="1" x14ac:dyDescent="0.25">
      <c r="A276" s="31" t="s">
        <v>1089</v>
      </c>
      <c r="B276" s="31" t="s">
        <v>592</v>
      </c>
      <c r="C276" s="31" t="s">
        <v>34</v>
      </c>
      <c r="D276" s="31" t="s">
        <v>593</v>
      </c>
      <c r="E276" s="32" t="s">
        <v>36</v>
      </c>
      <c r="F276" s="33">
        <v>9</v>
      </c>
      <c r="G276" s="34">
        <v>44.59</v>
      </c>
      <c r="H276" s="34">
        <f t="shared" si="2679"/>
        <v>41.05</v>
      </c>
      <c r="I276" s="34">
        <f t="shared" si="2680"/>
        <v>369.45</v>
      </c>
      <c r="J276" s="34">
        <f>(TRUNC(H276 * L14,2) + H276)</f>
        <v>49.39</v>
      </c>
      <c r="K276" s="34">
        <f t="shared" si="3350"/>
        <v>444.51</v>
      </c>
      <c r="L276" s="35">
        <f>K276 / L13</f>
        <v>1.5327931034482756E-4</v>
      </c>
      <c r="M276" s="36">
        <v>36.869999999999997</v>
      </c>
      <c r="N276" s="37">
        <f t="shared" si="2682"/>
        <v>331.83</v>
      </c>
      <c r="O276" s="36"/>
      <c r="P276" s="38">
        <f t="shared" si="2683"/>
        <v>0</v>
      </c>
      <c r="Q276" s="38"/>
      <c r="R276" s="38">
        <f t="shared" si="2683"/>
        <v>0</v>
      </c>
      <c r="S276" s="38">
        <f t="shared" si="2684"/>
        <v>9</v>
      </c>
      <c r="T276" s="37">
        <f t="shared" ref="T276:V276" si="3589">TRUNC($M276 * S276,2)</f>
        <v>331.83</v>
      </c>
      <c r="U276" s="36"/>
      <c r="V276" s="38">
        <f t="shared" si="3589"/>
        <v>0</v>
      </c>
      <c r="W276" s="38"/>
      <c r="X276" s="38">
        <f t="shared" ref="X276" si="3590">TRUNC($M276 * W276,2)</f>
        <v>0</v>
      </c>
      <c r="Y276" s="38"/>
      <c r="Z276" s="38">
        <f t="shared" ref="Z276" si="3591">TRUNC($M276 * Y276,2)</f>
        <v>0</v>
      </c>
      <c r="AA276" s="38"/>
      <c r="AB276" s="38">
        <f t="shared" ref="AB276" si="3592">TRUNC($M276 * AA276,2)</f>
        <v>0</v>
      </c>
      <c r="AC276" s="38"/>
      <c r="AD276" s="38">
        <f t="shared" ref="AD276" si="3593">TRUNC($M276 * AC276,2)</f>
        <v>0</v>
      </c>
      <c r="AE276" s="38"/>
      <c r="AF276" s="38">
        <f t="shared" ref="AF276" si="3594">TRUNC($M276 * AE276,2)</f>
        <v>0</v>
      </c>
      <c r="AG276" s="38"/>
      <c r="AH276" s="38">
        <f t="shared" ref="AH276" si="3595">TRUNC($M276 * AG276,2)</f>
        <v>0</v>
      </c>
      <c r="AI276" s="38"/>
      <c r="AJ276" s="38">
        <f t="shared" ref="AJ276" si="3596">TRUNC($M276 * AI276,2)</f>
        <v>0</v>
      </c>
      <c r="AK276" s="38"/>
      <c r="AL276" s="38">
        <f t="shared" ref="AL276" si="3597">TRUNC($M276 * AK276,2)</f>
        <v>0</v>
      </c>
      <c r="AM276" s="38"/>
      <c r="AN276" s="38">
        <f t="shared" ref="AN276" si="3598">TRUNC($M276 * AM276,2)</f>
        <v>0</v>
      </c>
      <c r="AO276" s="38"/>
      <c r="AP276" s="38">
        <f t="shared" ref="AP276" si="3599">TRUNC($M276 * AO276,2)</f>
        <v>0</v>
      </c>
      <c r="AQ276" s="38"/>
      <c r="AR276" s="38">
        <f t="shared" ref="AR276" si="3600">TRUNC($M276 * AQ276,2)</f>
        <v>0</v>
      </c>
      <c r="AS276" s="38"/>
      <c r="AT276" s="38">
        <f t="shared" ref="AT276" si="3601">TRUNC($M276 * AS276,2)</f>
        <v>0</v>
      </c>
      <c r="AU276" s="38"/>
      <c r="AV276" s="38">
        <f t="shared" ref="AV276" si="3602">TRUNC($M276 * AU276,2)</f>
        <v>0</v>
      </c>
      <c r="AW276" s="38"/>
      <c r="AX276" s="37">
        <f t="shared" ref="AX276" si="3603">TRUNC($M276 * AW276,2)</f>
        <v>0</v>
      </c>
      <c r="AY276" s="36">
        <f t="shared" si="2700"/>
        <v>0</v>
      </c>
      <c r="AZ276" s="38">
        <f t="shared" ref="AZ276" si="3604">TRUNC($M276 * AY276,2)</f>
        <v>0</v>
      </c>
      <c r="BA276" s="38">
        <f t="shared" si="2702"/>
        <v>9</v>
      </c>
      <c r="BB276" s="37">
        <f t="shared" ref="BB276" si="3605">TRUNC($M276 * BA276,2)</f>
        <v>331.83</v>
      </c>
    </row>
    <row r="277" spans="1:54" ht="51.9" customHeight="1" x14ac:dyDescent="0.25">
      <c r="A277" s="31" t="s">
        <v>1090</v>
      </c>
      <c r="B277" s="31" t="s">
        <v>594</v>
      </c>
      <c r="C277" s="31" t="s">
        <v>34</v>
      </c>
      <c r="D277" s="31" t="s">
        <v>595</v>
      </c>
      <c r="E277" s="32" t="s">
        <v>36</v>
      </c>
      <c r="F277" s="33">
        <v>1</v>
      </c>
      <c r="G277" s="34">
        <v>49.66</v>
      </c>
      <c r="H277" s="34">
        <f t="shared" si="2679"/>
        <v>45.72</v>
      </c>
      <c r="I277" s="34">
        <f t="shared" si="2680"/>
        <v>45.72</v>
      </c>
      <c r="J277" s="34">
        <f>(TRUNC(H277 * L14,2) + H277)</f>
        <v>55.01</v>
      </c>
      <c r="K277" s="34">
        <f t="shared" si="3350"/>
        <v>55.01</v>
      </c>
      <c r="L277" s="35">
        <f>K277 / L13</f>
        <v>1.8968965517241376E-5</v>
      </c>
      <c r="M277" s="36">
        <v>40.78</v>
      </c>
      <c r="N277" s="37">
        <f t="shared" si="2682"/>
        <v>40.78</v>
      </c>
      <c r="O277" s="36"/>
      <c r="P277" s="38">
        <f t="shared" si="2683"/>
        <v>0</v>
      </c>
      <c r="Q277" s="38"/>
      <c r="R277" s="38">
        <f t="shared" si="2683"/>
        <v>0</v>
      </c>
      <c r="S277" s="38">
        <f t="shared" si="2684"/>
        <v>1</v>
      </c>
      <c r="T277" s="37">
        <f t="shared" ref="T277:V277" si="3606">TRUNC($M277 * S277,2)</f>
        <v>40.78</v>
      </c>
      <c r="U277" s="36"/>
      <c r="V277" s="38">
        <f t="shared" si="3606"/>
        <v>0</v>
      </c>
      <c r="W277" s="38"/>
      <c r="X277" s="38">
        <f t="shared" ref="X277" si="3607">TRUNC($M277 * W277,2)</f>
        <v>0</v>
      </c>
      <c r="Y277" s="38"/>
      <c r="Z277" s="38">
        <f t="shared" ref="Z277" si="3608">TRUNC($M277 * Y277,2)</f>
        <v>0</v>
      </c>
      <c r="AA277" s="38"/>
      <c r="AB277" s="38">
        <f t="shared" ref="AB277" si="3609">TRUNC($M277 * AA277,2)</f>
        <v>0</v>
      </c>
      <c r="AC277" s="38"/>
      <c r="AD277" s="38">
        <f t="shared" ref="AD277" si="3610">TRUNC($M277 * AC277,2)</f>
        <v>0</v>
      </c>
      <c r="AE277" s="38"/>
      <c r="AF277" s="38">
        <f t="shared" ref="AF277" si="3611">TRUNC($M277 * AE277,2)</f>
        <v>0</v>
      </c>
      <c r="AG277" s="38"/>
      <c r="AH277" s="38">
        <f t="shared" ref="AH277" si="3612">TRUNC($M277 * AG277,2)</f>
        <v>0</v>
      </c>
      <c r="AI277" s="38"/>
      <c r="AJ277" s="38">
        <f t="shared" ref="AJ277" si="3613">TRUNC($M277 * AI277,2)</f>
        <v>0</v>
      </c>
      <c r="AK277" s="38"/>
      <c r="AL277" s="38">
        <f t="shared" ref="AL277" si="3614">TRUNC($M277 * AK277,2)</f>
        <v>0</v>
      </c>
      <c r="AM277" s="38"/>
      <c r="AN277" s="38">
        <f t="shared" ref="AN277" si="3615">TRUNC($M277 * AM277,2)</f>
        <v>0</v>
      </c>
      <c r="AO277" s="38"/>
      <c r="AP277" s="38">
        <f t="shared" ref="AP277" si="3616">TRUNC($M277 * AO277,2)</f>
        <v>0</v>
      </c>
      <c r="AQ277" s="38"/>
      <c r="AR277" s="38">
        <f t="shared" ref="AR277" si="3617">TRUNC($M277 * AQ277,2)</f>
        <v>0</v>
      </c>
      <c r="AS277" s="38"/>
      <c r="AT277" s="38">
        <f t="shared" ref="AT277" si="3618">TRUNC($M277 * AS277,2)</f>
        <v>0</v>
      </c>
      <c r="AU277" s="38"/>
      <c r="AV277" s="38">
        <f t="shared" ref="AV277" si="3619">TRUNC($M277 * AU277,2)</f>
        <v>0</v>
      </c>
      <c r="AW277" s="38"/>
      <c r="AX277" s="37">
        <f t="shared" ref="AX277" si="3620">TRUNC($M277 * AW277,2)</f>
        <v>0</v>
      </c>
      <c r="AY277" s="36">
        <f t="shared" si="2700"/>
        <v>0</v>
      </c>
      <c r="AZ277" s="38">
        <f t="shared" ref="AZ277" si="3621">TRUNC($M277 * AY277,2)</f>
        <v>0</v>
      </c>
      <c r="BA277" s="38">
        <f t="shared" si="2702"/>
        <v>1</v>
      </c>
      <c r="BB277" s="37">
        <f t="shared" ref="BB277" si="3622">TRUNC($M277 * BA277,2)</f>
        <v>40.78</v>
      </c>
    </row>
    <row r="278" spans="1:54" ht="51.9" customHeight="1" x14ac:dyDescent="0.25">
      <c r="A278" s="31" t="s">
        <v>1091</v>
      </c>
      <c r="B278" s="31" t="s">
        <v>596</v>
      </c>
      <c r="C278" s="31" t="s">
        <v>34</v>
      </c>
      <c r="D278" s="31" t="s">
        <v>597</v>
      </c>
      <c r="E278" s="32" t="s">
        <v>36</v>
      </c>
      <c r="F278" s="33">
        <v>7</v>
      </c>
      <c r="G278" s="34">
        <v>16.68</v>
      </c>
      <c r="H278" s="34">
        <f t="shared" si="2679"/>
        <v>15.35</v>
      </c>
      <c r="I278" s="34">
        <f t="shared" si="2680"/>
        <v>107.45</v>
      </c>
      <c r="J278" s="34">
        <f>(TRUNC(H278 * L14,2) + H278)</f>
        <v>18.47</v>
      </c>
      <c r="K278" s="34">
        <f t="shared" si="3350"/>
        <v>129.29</v>
      </c>
      <c r="L278" s="35">
        <f>K278 / L13</f>
        <v>4.4582758620689645E-5</v>
      </c>
      <c r="M278" s="36">
        <v>15.66</v>
      </c>
      <c r="N278" s="37">
        <f t="shared" si="2682"/>
        <v>109.62</v>
      </c>
      <c r="O278" s="36"/>
      <c r="P278" s="38">
        <f t="shared" si="2683"/>
        <v>0</v>
      </c>
      <c r="Q278" s="38"/>
      <c r="R278" s="38">
        <f t="shared" si="2683"/>
        <v>0</v>
      </c>
      <c r="S278" s="38">
        <f t="shared" si="2684"/>
        <v>7</v>
      </c>
      <c r="T278" s="37">
        <f t="shared" ref="T278:V278" si="3623">TRUNC($M278 * S278,2)</f>
        <v>109.62</v>
      </c>
      <c r="U278" s="36"/>
      <c r="V278" s="38">
        <f t="shared" si="3623"/>
        <v>0</v>
      </c>
      <c r="W278" s="38"/>
      <c r="X278" s="38">
        <f t="shared" ref="X278" si="3624">TRUNC($M278 * W278,2)</f>
        <v>0</v>
      </c>
      <c r="Y278" s="38"/>
      <c r="Z278" s="38">
        <f t="shared" ref="Z278" si="3625">TRUNC($M278 * Y278,2)</f>
        <v>0</v>
      </c>
      <c r="AA278" s="38"/>
      <c r="AB278" s="38">
        <f t="shared" ref="AB278" si="3626">TRUNC($M278 * AA278,2)</f>
        <v>0</v>
      </c>
      <c r="AC278" s="38"/>
      <c r="AD278" s="38">
        <f t="shared" ref="AD278" si="3627">TRUNC($M278 * AC278,2)</f>
        <v>0</v>
      </c>
      <c r="AE278" s="38"/>
      <c r="AF278" s="38">
        <f t="shared" ref="AF278" si="3628">TRUNC($M278 * AE278,2)</f>
        <v>0</v>
      </c>
      <c r="AG278" s="38"/>
      <c r="AH278" s="38">
        <f t="shared" ref="AH278" si="3629">TRUNC($M278 * AG278,2)</f>
        <v>0</v>
      </c>
      <c r="AI278" s="38"/>
      <c r="AJ278" s="38">
        <f t="shared" ref="AJ278" si="3630">TRUNC($M278 * AI278,2)</f>
        <v>0</v>
      </c>
      <c r="AK278" s="38"/>
      <c r="AL278" s="38">
        <f t="shared" ref="AL278" si="3631">TRUNC($M278 * AK278,2)</f>
        <v>0</v>
      </c>
      <c r="AM278" s="38"/>
      <c r="AN278" s="38">
        <f t="shared" ref="AN278" si="3632">TRUNC($M278 * AM278,2)</f>
        <v>0</v>
      </c>
      <c r="AO278" s="38"/>
      <c r="AP278" s="38">
        <f t="shared" ref="AP278" si="3633">TRUNC($M278 * AO278,2)</f>
        <v>0</v>
      </c>
      <c r="AQ278" s="38"/>
      <c r="AR278" s="38">
        <f t="shared" ref="AR278" si="3634">TRUNC($M278 * AQ278,2)</f>
        <v>0</v>
      </c>
      <c r="AS278" s="38"/>
      <c r="AT278" s="38">
        <f t="shared" ref="AT278" si="3635">TRUNC($M278 * AS278,2)</f>
        <v>0</v>
      </c>
      <c r="AU278" s="38"/>
      <c r="AV278" s="38">
        <f t="shared" ref="AV278" si="3636">TRUNC($M278 * AU278,2)</f>
        <v>0</v>
      </c>
      <c r="AW278" s="38"/>
      <c r="AX278" s="37">
        <f t="shared" ref="AX278" si="3637">TRUNC($M278 * AW278,2)</f>
        <v>0</v>
      </c>
      <c r="AY278" s="36">
        <f t="shared" si="2700"/>
        <v>0</v>
      </c>
      <c r="AZ278" s="38">
        <f t="shared" ref="AZ278" si="3638">TRUNC($M278 * AY278,2)</f>
        <v>0</v>
      </c>
      <c r="BA278" s="38">
        <f t="shared" si="2702"/>
        <v>7</v>
      </c>
      <c r="BB278" s="37">
        <f t="shared" ref="BB278" si="3639">TRUNC($M278 * BA278,2)</f>
        <v>109.62</v>
      </c>
    </row>
    <row r="279" spans="1:54" ht="51.9" customHeight="1" x14ac:dyDescent="0.25">
      <c r="A279" s="31" t="s">
        <v>1092</v>
      </c>
      <c r="B279" s="31" t="s">
        <v>598</v>
      </c>
      <c r="C279" s="31" t="s">
        <v>34</v>
      </c>
      <c r="D279" s="31" t="s">
        <v>599</v>
      </c>
      <c r="E279" s="32" t="s">
        <v>36</v>
      </c>
      <c r="F279" s="33">
        <v>1</v>
      </c>
      <c r="G279" s="34">
        <v>27.93</v>
      </c>
      <c r="H279" s="34">
        <f t="shared" si="2679"/>
        <v>25.71</v>
      </c>
      <c r="I279" s="34">
        <f t="shared" si="2680"/>
        <v>25.71</v>
      </c>
      <c r="J279" s="34">
        <f>(TRUNC(H279 * L14,2) + H279)</f>
        <v>30.93</v>
      </c>
      <c r="K279" s="34">
        <f t="shared" si="3350"/>
        <v>30.93</v>
      </c>
      <c r="L279" s="35">
        <f>K279 / L13</f>
        <v>1.0665517241379309E-5</v>
      </c>
      <c r="M279" s="36">
        <v>23.97</v>
      </c>
      <c r="N279" s="37">
        <f t="shared" si="2682"/>
        <v>23.97</v>
      </c>
      <c r="O279" s="36"/>
      <c r="P279" s="38">
        <f t="shared" si="2683"/>
        <v>0</v>
      </c>
      <c r="Q279" s="38"/>
      <c r="R279" s="38">
        <f t="shared" si="2683"/>
        <v>0</v>
      </c>
      <c r="S279" s="38">
        <f t="shared" si="2684"/>
        <v>1</v>
      </c>
      <c r="T279" s="37">
        <f t="shared" ref="T279:V279" si="3640">TRUNC($M279 * S279,2)</f>
        <v>23.97</v>
      </c>
      <c r="U279" s="36"/>
      <c r="V279" s="38">
        <f t="shared" si="3640"/>
        <v>0</v>
      </c>
      <c r="W279" s="38"/>
      <c r="X279" s="38">
        <f t="shared" ref="X279" si="3641">TRUNC($M279 * W279,2)</f>
        <v>0</v>
      </c>
      <c r="Y279" s="38"/>
      <c r="Z279" s="38">
        <f t="shared" ref="Z279" si="3642">TRUNC($M279 * Y279,2)</f>
        <v>0</v>
      </c>
      <c r="AA279" s="38"/>
      <c r="AB279" s="38">
        <f t="shared" ref="AB279" si="3643">TRUNC($M279 * AA279,2)</f>
        <v>0</v>
      </c>
      <c r="AC279" s="38"/>
      <c r="AD279" s="38">
        <f t="shared" ref="AD279" si="3644">TRUNC($M279 * AC279,2)</f>
        <v>0</v>
      </c>
      <c r="AE279" s="38"/>
      <c r="AF279" s="38">
        <f t="shared" ref="AF279" si="3645">TRUNC($M279 * AE279,2)</f>
        <v>0</v>
      </c>
      <c r="AG279" s="38"/>
      <c r="AH279" s="38">
        <f t="shared" ref="AH279" si="3646">TRUNC($M279 * AG279,2)</f>
        <v>0</v>
      </c>
      <c r="AI279" s="38"/>
      <c r="AJ279" s="38">
        <f t="shared" ref="AJ279" si="3647">TRUNC($M279 * AI279,2)</f>
        <v>0</v>
      </c>
      <c r="AK279" s="38"/>
      <c r="AL279" s="38">
        <f t="shared" ref="AL279" si="3648">TRUNC($M279 * AK279,2)</f>
        <v>0</v>
      </c>
      <c r="AM279" s="38"/>
      <c r="AN279" s="38">
        <f t="shared" ref="AN279" si="3649">TRUNC($M279 * AM279,2)</f>
        <v>0</v>
      </c>
      <c r="AO279" s="38"/>
      <c r="AP279" s="38">
        <f t="shared" ref="AP279" si="3650">TRUNC($M279 * AO279,2)</f>
        <v>0</v>
      </c>
      <c r="AQ279" s="38"/>
      <c r="AR279" s="38">
        <f t="shared" ref="AR279" si="3651">TRUNC($M279 * AQ279,2)</f>
        <v>0</v>
      </c>
      <c r="AS279" s="38"/>
      <c r="AT279" s="38">
        <f t="shared" ref="AT279" si="3652">TRUNC($M279 * AS279,2)</f>
        <v>0</v>
      </c>
      <c r="AU279" s="38"/>
      <c r="AV279" s="38">
        <f t="shared" ref="AV279" si="3653">TRUNC($M279 * AU279,2)</f>
        <v>0</v>
      </c>
      <c r="AW279" s="38"/>
      <c r="AX279" s="37">
        <f t="shared" ref="AX279" si="3654">TRUNC($M279 * AW279,2)</f>
        <v>0</v>
      </c>
      <c r="AY279" s="36">
        <f t="shared" si="2700"/>
        <v>0</v>
      </c>
      <c r="AZ279" s="38">
        <f t="shared" ref="AZ279" si="3655">TRUNC($M279 * AY279,2)</f>
        <v>0</v>
      </c>
      <c r="BA279" s="38">
        <f t="shared" si="2702"/>
        <v>1</v>
      </c>
      <c r="BB279" s="37">
        <f t="shared" ref="BB279" si="3656">TRUNC($M279 * BA279,2)</f>
        <v>23.97</v>
      </c>
    </row>
    <row r="280" spans="1:54" ht="51.9" customHeight="1" x14ac:dyDescent="0.25">
      <c r="A280" s="31" t="s">
        <v>1093</v>
      </c>
      <c r="B280" s="31" t="s">
        <v>600</v>
      </c>
      <c r="C280" s="31" t="s">
        <v>34</v>
      </c>
      <c r="D280" s="31" t="s">
        <v>601</v>
      </c>
      <c r="E280" s="32" t="s">
        <v>36</v>
      </c>
      <c r="F280" s="33">
        <v>3</v>
      </c>
      <c r="G280" s="34">
        <v>30.47</v>
      </c>
      <c r="H280" s="34">
        <f t="shared" si="2679"/>
        <v>28.05</v>
      </c>
      <c r="I280" s="34">
        <f t="shared" si="2680"/>
        <v>84.15</v>
      </c>
      <c r="J280" s="34">
        <f>(TRUNC(H280 * L14,2) + H280)</f>
        <v>33.75</v>
      </c>
      <c r="K280" s="34">
        <f t="shared" si="3350"/>
        <v>101.25</v>
      </c>
      <c r="L280" s="35">
        <f>K280 / L13</f>
        <v>3.4913793103448268E-5</v>
      </c>
      <c r="M280" s="36">
        <v>27.05</v>
      </c>
      <c r="N280" s="37">
        <f t="shared" si="2682"/>
        <v>81.150000000000006</v>
      </c>
      <c r="O280" s="36"/>
      <c r="P280" s="38">
        <f t="shared" si="2683"/>
        <v>0</v>
      </c>
      <c r="Q280" s="38"/>
      <c r="R280" s="38">
        <f t="shared" si="2683"/>
        <v>0</v>
      </c>
      <c r="S280" s="38">
        <f t="shared" si="2684"/>
        <v>3</v>
      </c>
      <c r="T280" s="37">
        <f t="shared" ref="T280:V280" si="3657">TRUNC($M280 * S280,2)</f>
        <v>81.150000000000006</v>
      </c>
      <c r="U280" s="36"/>
      <c r="V280" s="38">
        <f t="shared" si="3657"/>
        <v>0</v>
      </c>
      <c r="W280" s="38"/>
      <c r="X280" s="38">
        <f t="shared" ref="X280" si="3658">TRUNC($M280 * W280,2)</f>
        <v>0</v>
      </c>
      <c r="Y280" s="38"/>
      <c r="Z280" s="38">
        <f t="shared" ref="Z280" si="3659">TRUNC($M280 * Y280,2)</f>
        <v>0</v>
      </c>
      <c r="AA280" s="38"/>
      <c r="AB280" s="38">
        <f t="shared" ref="AB280" si="3660">TRUNC($M280 * AA280,2)</f>
        <v>0</v>
      </c>
      <c r="AC280" s="38"/>
      <c r="AD280" s="38">
        <f t="shared" ref="AD280" si="3661">TRUNC($M280 * AC280,2)</f>
        <v>0</v>
      </c>
      <c r="AE280" s="38"/>
      <c r="AF280" s="38">
        <f t="shared" ref="AF280" si="3662">TRUNC($M280 * AE280,2)</f>
        <v>0</v>
      </c>
      <c r="AG280" s="38"/>
      <c r="AH280" s="38">
        <f t="shared" ref="AH280" si="3663">TRUNC($M280 * AG280,2)</f>
        <v>0</v>
      </c>
      <c r="AI280" s="38"/>
      <c r="AJ280" s="38">
        <f t="shared" ref="AJ280" si="3664">TRUNC($M280 * AI280,2)</f>
        <v>0</v>
      </c>
      <c r="AK280" s="38"/>
      <c r="AL280" s="38">
        <f t="shared" ref="AL280" si="3665">TRUNC($M280 * AK280,2)</f>
        <v>0</v>
      </c>
      <c r="AM280" s="38"/>
      <c r="AN280" s="38">
        <f t="shared" ref="AN280" si="3666">TRUNC($M280 * AM280,2)</f>
        <v>0</v>
      </c>
      <c r="AO280" s="38"/>
      <c r="AP280" s="38">
        <f t="shared" ref="AP280" si="3667">TRUNC($M280 * AO280,2)</f>
        <v>0</v>
      </c>
      <c r="AQ280" s="38"/>
      <c r="AR280" s="38">
        <f t="shared" ref="AR280" si="3668">TRUNC($M280 * AQ280,2)</f>
        <v>0</v>
      </c>
      <c r="AS280" s="38"/>
      <c r="AT280" s="38">
        <f t="shared" ref="AT280" si="3669">TRUNC($M280 * AS280,2)</f>
        <v>0</v>
      </c>
      <c r="AU280" s="38"/>
      <c r="AV280" s="38">
        <f t="shared" ref="AV280" si="3670">TRUNC($M280 * AU280,2)</f>
        <v>0</v>
      </c>
      <c r="AW280" s="38"/>
      <c r="AX280" s="37">
        <f t="shared" ref="AX280" si="3671">TRUNC($M280 * AW280,2)</f>
        <v>0</v>
      </c>
      <c r="AY280" s="36">
        <f t="shared" si="2700"/>
        <v>0</v>
      </c>
      <c r="AZ280" s="38">
        <f t="shared" ref="AZ280" si="3672">TRUNC($M280 * AY280,2)</f>
        <v>0</v>
      </c>
      <c r="BA280" s="38">
        <f t="shared" si="2702"/>
        <v>3</v>
      </c>
      <c r="BB280" s="37">
        <f t="shared" ref="BB280" si="3673">TRUNC($M280 * BA280,2)</f>
        <v>81.150000000000006</v>
      </c>
    </row>
    <row r="281" spans="1:54" ht="51.9" customHeight="1" x14ac:dyDescent="0.25">
      <c r="A281" s="31" t="s">
        <v>1094</v>
      </c>
      <c r="B281" s="31" t="s">
        <v>602</v>
      </c>
      <c r="C281" s="31" t="s">
        <v>34</v>
      </c>
      <c r="D281" s="31" t="s">
        <v>603</v>
      </c>
      <c r="E281" s="32" t="s">
        <v>36</v>
      </c>
      <c r="F281" s="33">
        <v>5</v>
      </c>
      <c r="G281" s="34">
        <v>42.59</v>
      </c>
      <c r="H281" s="34">
        <f t="shared" si="2679"/>
        <v>39.21</v>
      </c>
      <c r="I281" s="34">
        <f t="shared" si="2680"/>
        <v>196.05</v>
      </c>
      <c r="J281" s="34">
        <f>(TRUNC(H281 * L14,2) + H281)</f>
        <v>47.18</v>
      </c>
      <c r="K281" s="34">
        <f t="shared" si="3350"/>
        <v>235.9</v>
      </c>
      <c r="L281" s="35">
        <f>K281 / L13</f>
        <v>8.1344827586206879E-5</v>
      </c>
      <c r="M281" s="36">
        <v>35.21</v>
      </c>
      <c r="N281" s="37">
        <f t="shared" si="2682"/>
        <v>176.05</v>
      </c>
      <c r="O281" s="36"/>
      <c r="P281" s="38">
        <f t="shared" si="2683"/>
        <v>0</v>
      </c>
      <c r="Q281" s="38"/>
      <c r="R281" s="38">
        <f t="shared" si="2683"/>
        <v>0</v>
      </c>
      <c r="S281" s="38">
        <f t="shared" si="2684"/>
        <v>5</v>
      </c>
      <c r="T281" s="37">
        <f t="shared" ref="T281:V281" si="3674">TRUNC($M281 * S281,2)</f>
        <v>176.05</v>
      </c>
      <c r="U281" s="36"/>
      <c r="V281" s="38">
        <f t="shared" si="3674"/>
        <v>0</v>
      </c>
      <c r="W281" s="38"/>
      <c r="X281" s="38">
        <f t="shared" ref="X281" si="3675">TRUNC($M281 * W281,2)</f>
        <v>0</v>
      </c>
      <c r="Y281" s="38"/>
      <c r="Z281" s="38">
        <f t="shared" ref="Z281" si="3676">TRUNC($M281 * Y281,2)</f>
        <v>0</v>
      </c>
      <c r="AA281" s="38"/>
      <c r="AB281" s="38">
        <f t="shared" ref="AB281" si="3677">TRUNC($M281 * AA281,2)</f>
        <v>0</v>
      </c>
      <c r="AC281" s="38"/>
      <c r="AD281" s="38">
        <f t="shared" ref="AD281" si="3678">TRUNC($M281 * AC281,2)</f>
        <v>0</v>
      </c>
      <c r="AE281" s="38"/>
      <c r="AF281" s="38">
        <f t="shared" ref="AF281" si="3679">TRUNC($M281 * AE281,2)</f>
        <v>0</v>
      </c>
      <c r="AG281" s="38"/>
      <c r="AH281" s="38">
        <f t="shared" ref="AH281" si="3680">TRUNC($M281 * AG281,2)</f>
        <v>0</v>
      </c>
      <c r="AI281" s="38"/>
      <c r="AJ281" s="38">
        <f t="shared" ref="AJ281" si="3681">TRUNC($M281 * AI281,2)</f>
        <v>0</v>
      </c>
      <c r="AK281" s="38"/>
      <c r="AL281" s="38">
        <f t="shared" ref="AL281" si="3682">TRUNC($M281 * AK281,2)</f>
        <v>0</v>
      </c>
      <c r="AM281" s="38"/>
      <c r="AN281" s="38">
        <f t="shared" ref="AN281" si="3683">TRUNC($M281 * AM281,2)</f>
        <v>0</v>
      </c>
      <c r="AO281" s="38"/>
      <c r="AP281" s="38">
        <f t="shared" ref="AP281" si="3684">TRUNC($M281 * AO281,2)</f>
        <v>0</v>
      </c>
      <c r="AQ281" s="38"/>
      <c r="AR281" s="38">
        <f t="shared" ref="AR281" si="3685">TRUNC($M281 * AQ281,2)</f>
        <v>0</v>
      </c>
      <c r="AS281" s="38"/>
      <c r="AT281" s="38">
        <f t="shared" ref="AT281" si="3686">TRUNC($M281 * AS281,2)</f>
        <v>0</v>
      </c>
      <c r="AU281" s="38"/>
      <c r="AV281" s="38">
        <f t="shared" ref="AV281" si="3687">TRUNC($M281 * AU281,2)</f>
        <v>0</v>
      </c>
      <c r="AW281" s="38"/>
      <c r="AX281" s="37">
        <f t="shared" ref="AX281" si="3688">TRUNC($M281 * AW281,2)</f>
        <v>0</v>
      </c>
      <c r="AY281" s="36">
        <f t="shared" si="2700"/>
        <v>0</v>
      </c>
      <c r="AZ281" s="38">
        <f t="shared" ref="AZ281" si="3689">TRUNC($M281 * AY281,2)</f>
        <v>0</v>
      </c>
      <c r="BA281" s="38">
        <f t="shared" si="2702"/>
        <v>5</v>
      </c>
      <c r="BB281" s="37">
        <f t="shared" ref="BB281" si="3690">TRUNC($M281 * BA281,2)</f>
        <v>176.05</v>
      </c>
    </row>
    <row r="282" spans="1:54" ht="39" customHeight="1" x14ac:dyDescent="0.25">
      <c r="A282" s="31" t="s">
        <v>1095</v>
      </c>
      <c r="B282" s="31" t="s">
        <v>604</v>
      </c>
      <c r="C282" s="31" t="s">
        <v>34</v>
      </c>
      <c r="D282" s="31" t="s">
        <v>605</v>
      </c>
      <c r="E282" s="32" t="s">
        <v>36</v>
      </c>
      <c r="F282" s="33">
        <v>5</v>
      </c>
      <c r="G282" s="34">
        <v>18.850000000000001</v>
      </c>
      <c r="H282" s="34">
        <f t="shared" si="2679"/>
        <v>17.350000000000001</v>
      </c>
      <c r="I282" s="34">
        <f t="shared" si="2680"/>
        <v>86.75</v>
      </c>
      <c r="J282" s="34">
        <f>(TRUNC(H282 * L14,2) + H282)</f>
        <v>20.87</v>
      </c>
      <c r="K282" s="34">
        <f t="shared" si="3350"/>
        <v>104.35</v>
      </c>
      <c r="L282" s="35">
        <f>K282 / L13</f>
        <v>3.5982758620689646E-5</v>
      </c>
      <c r="M282" s="36">
        <v>14.5</v>
      </c>
      <c r="N282" s="37">
        <f t="shared" si="2682"/>
        <v>72.5</v>
      </c>
      <c r="O282" s="36"/>
      <c r="P282" s="38">
        <f t="shared" si="2683"/>
        <v>0</v>
      </c>
      <c r="Q282" s="38"/>
      <c r="R282" s="38">
        <f t="shared" si="2683"/>
        <v>0</v>
      </c>
      <c r="S282" s="38">
        <f t="shared" si="2684"/>
        <v>5</v>
      </c>
      <c r="T282" s="37">
        <f t="shared" ref="T282:V282" si="3691">TRUNC($M282 * S282,2)</f>
        <v>72.5</v>
      </c>
      <c r="U282" s="36"/>
      <c r="V282" s="38">
        <f t="shared" si="3691"/>
        <v>0</v>
      </c>
      <c r="W282" s="38"/>
      <c r="X282" s="38">
        <f t="shared" ref="X282" si="3692">TRUNC($M282 * W282,2)</f>
        <v>0</v>
      </c>
      <c r="Y282" s="38"/>
      <c r="Z282" s="38">
        <f t="shared" ref="Z282" si="3693">TRUNC($M282 * Y282,2)</f>
        <v>0</v>
      </c>
      <c r="AA282" s="38"/>
      <c r="AB282" s="38">
        <f t="shared" ref="AB282" si="3694">TRUNC($M282 * AA282,2)</f>
        <v>0</v>
      </c>
      <c r="AC282" s="38"/>
      <c r="AD282" s="38">
        <f t="shared" ref="AD282" si="3695">TRUNC($M282 * AC282,2)</f>
        <v>0</v>
      </c>
      <c r="AE282" s="38"/>
      <c r="AF282" s="38">
        <f t="shared" ref="AF282" si="3696">TRUNC($M282 * AE282,2)</f>
        <v>0</v>
      </c>
      <c r="AG282" s="38"/>
      <c r="AH282" s="38">
        <f t="shared" ref="AH282" si="3697">TRUNC($M282 * AG282,2)</f>
        <v>0</v>
      </c>
      <c r="AI282" s="38"/>
      <c r="AJ282" s="38">
        <f t="shared" ref="AJ282" si="3698">TRUNC($M282 * AI282,2)</f>
        <v>0</v>
      </c>
      <c r="AK282" s="38"/>
      <c r="AL282" s="38">
        <f t="shared" ref="AL282" si="3699">TRUNC($M282 * AK282,2)</f>
        <v>0</v>
      </c>
      <c r="AM282" s="38"/>
      <c r="AN282" s="38">
        <f t="shared" ref="AN282" si="3700">TRUNC($M282 * AM282,2)</f>
        <v>0</v>
      </c>
      <c r="AO282" s="38"/>
      <c r="AP282" s="38">
        <f t="shared" ref="AP282" si="3701">TRUNC($M282 * AO282,2)</f>
        <v>0</v>
      </c>
      <c r="AQ282" s="38"/>
      <c r="AR282" s="38">
        <f t="shared" ref="AR282" si="3702">TRUNC($M282 * AQ282,2)</f>
        <v>0</v>
      </c>
      <c r="AS282" s="38"/>
      <c r="AT282" s="38">
        <f t="shared" ref="AT282" si="3703">TRUNC($M282 * AS282,2)</f>
        <v>0</v>
      </c>
      <c r="AU282" s="38"/>
      <c r="AV282" s="38">
        <f t="shared" ref="AV282" si="3704">TRUNC($M282 * AU282,2)</f>
        <v>0</v>
      </c>
      <c r="AW282" s="38"/>
      <c r="AX282" s="37">
        <f t="shared" ref="AX282" si="3705">TRUNC($M282 * AW282,2)</f>
        <v>0</v>
      </c>
      <c r="AY282" s="36">
        <f t="shared" si="2700"/>
        <v>0</v>
      </c>
      <c r="AZ282" s="38">
        <f t="shared" ref="AZ282" si="3706">TRUNC($M282 * AY282,2)</f>
        <v>0</v>
      </c>
      <c r="BA282" s="38">
        <f t="shared" si="2702"/>
        <v>5</v>
      </c>
      <c r="BB282" s="37">
        <f t="shared" ref="BB282" si="3707">TRUNC($M282 * BA282,2)</f>
        <v>72.5</v>
      </c>
    </row>
    <row r="283" spans="1:54" ht="39" customHeight="1" x14ac:dyDescent="0.25">
      <c r="A283" s="31" t="s">
        <v>1096</v>
      </c>
      <c r="B283" s="31" t="s">
        <v>606</v>
      </c>
      <c r="C283" s="31" t="s">
        <v>19</v>
      </c>
      <c r="D283" s="31" t="s">
        <v>607</v>
      </c>
      <c r="E283" s="32" t="s">
        <v>69</v>
      </c>
      <c r="F283" s="33">
        <v>157.4</v>
      </c>
      <c r="G283" s="34">
        <v>100.87</v>
      </c>
      <c r="H283" s="34">
        <f t="shared" si="2679"/>
        <v>92.87</v>
      </c>
      <c r="I283" s="34">
        <f t="shared" si="2680"/>
        <v>14617.73</v>
      </c>
      <c r="J283" s="34">
        <f>(TRUNC(H283 * L14,2) + H283)</f>
        <v>111.75</v>
      </c>
      <c r="K283" s="34">
        <f t="shared" si="3350"/>
        <v>17589.45</v>
      </c>
      <c r="L283" s="35">
        <f>K283 / L13</f>
        <v>6.0653275862068961E-3</v>
      </c>
      <c r="M283" s="36">
        <v>96.59</v>
      </c>
      <c r="N283" s="37">
        <f t="shared" si="2682"/>
        <v>15203.26</v>
      </c>
      <c r="O283" s="36"/>
      <c r="P283" s="38">
        <f t="shared" si="2683"/>
        <v>0</v>
      </c>
      <c r="Q283" s="38"/>
      <c r="R283" s="38">
        <f t="shared" si="2683"/>
        <v>0</v>
      </c>
      <c r="S283" s="38">
        <f t="shared" si="2684"/>
        <v>157.4</v>
      </c>
      <c r="T283" s="37">
        <f t="shared" ref="T283:V283" si="3708">TRUNC($M283 * S283,2)</f>
        <v>15203.26</v>
      </c>
      <c r="U283" s="36"/>
      <c r="V283" s="38">
        <f t="shared" si="3708"/>
        <v>0</v>
      </c>
      <c r="W283" s="38"/>
      <c r="X283" s="38">
        <f t="shared" ref="X283" si="3709">TRUNC($M283 * W283,2)</f>
        <v>0</v>
      </c>
      <c r="Y283" s="38"/>
      <c r="Z283" s="38">
        <f t="shared" ref="Z283" si="3710">TRUNC($M283 * Y283,2)</f>
        <v>0</v>
      </c>
      <c r="AA283" s="38"/>
      <c r="AB283" s="38">
        <f t="shared" ref="AB283" si="3711">TRUNC($M283 * AA283,2)</f>
        <v>0</v>
      </c>
      <c r="AC283" s="38"/>
      <c r="AD283" s="38">
        <f t="shared" ref="AD283" si="3712">TRUNC($M283 * AC283,2)</f>
        <v>0</v>
      </c>
      <c r="AE283" s="38"/>
      <c r="AF283" s="38">
        <f t="shared" ref="AF283" si="3713">TRUNC($M283 * AE283,2)</f>
        <v>0</v>
      </c>
      <c r="AG283" s="38"/>
      <c r="AH283" s="38">
        <f t="shared" ref="AH283" si="3714">TRUNC($M283 * AG283,2)</f>
        <v>0</v>
      </c>
      <c r="AI283" s="38"/>
      <c r="AJ283" s="38">
        <f t="shared" ref="AJ283" si="3715">TRUNC($M283 * AI283,2)</f>
        <v>0</v>
      </c>
      <c r="AK283" s="38"/>
      <c r="AL283" s="38">
        <f t="shared" ref="AL283" si="3716">TRUNC($M283 * AK283,2)</f>
        <v>0</v>
      </c>
      <c r="AM283" s="38"/>
      <c r="AN283" s="38">
        <f t="shared" ref="AN283" si="3717">TRUNC($M283 * AM283,2)</f>
        <v>0</v>
      </c>
      <c r="AO283" s="38"/>
      <c r="AP283" s="38">
        <f t="shared" ref="AP283" si="3718">TRUNC($M283 * AO283,2)</f>
        <v>0</v>
      </c>
      <c r="AQ283" s="38"/>
      <c r="AR283" s="38">
        <f t="shared" ref="AR283" si="3719">TRUNC($M283 * AQ283,2)</f>
        <v>0</v>
      </c>
      <c r="AS283" s="38"/>
      <c r="AT283" s="38">
        <f t="shared" ref="AT283" si="3720">TRUNC($M283 * AS283,2)</f>
        <v>0</v>
      </c>
      <c r="AU283" s="38"/>
      <c r="AV283" s="38">
        <f t="shared" ref="AV283" si="3721">TRUNC($M283 * AU283,2)</f>
        <v>0</v>
      </c>
      <c r="AW283" s="38"/>
      <c r="AX283" s="37">
        <f t="shared" ref="AX283" si="3722">TRUNC($M283 * AW283,2)</f>
        <v>0</v>
      </c>
      <c r="AY283" s="36">
        <f t="shared" si="2700"/>
        <v>0</v>
      </c>
      <c r="AZ283" s="38">
        <f t="shared" ref="AZ283" si="3723">TRUNC($M283 * AY283,2)</f>
        <v>0</v>
      </c>
      <c r="BA283" s="38">
        <f t="shared" si="2702"/>
        <v>157.4</v>
      </c>
      <c r="BB283" s="37">
        <f t="shared" ref="BB283" si="3724">TRUNC($M283 * BA283,2)</f>
        <v>15203.26</v>
      </c>
    </row>
    <row r="284" spans="1:54" ht="39" customHeight="1" x14ac:dyDescent="0.25">
      <c r="A284" s="31" t="s">
        <v>1097</v>
      </c>
      <c r="B284" s="31" t="s">
        <v>608</v>
      </c>
      <c r="C284" s="31" t="s">
        <v>19</v>
      </c>
      <c r="D284" s="31" t="s">
        <v>609</v>
      </c>
      <c r="E284" s="32" t="s">
        <v>69</v>
      </c>
      <c r="F284" s="33">
        <v>85.3</v>
      </c>
      <c r="G284" s="34">
        <v>47.51</v>
      </c>
      <c r="H284" s="34">
        <f t="shared" si="2679"/>
        <v>43.74</v>
      </c>
      <c r="I284" s="34">
        <f t="shared" si="2680"/>
        <v>3731.02</v>
      </c>
      <c r="J284" s="34">
        <f>(TRUNC(H284 * L14,2) + H284)</f>
        <v>52.63</v>
      </c>
      <c r="K284" s="34">
        <f t="shared" si="3350"/>
        <v>4489.33</v>
      </c>
      <c r="L284" s="35">
        <f>K284 / L13</f>
        <v>1.5480448275862065E-3</v>
      </c>
      <c r="M284" s="36">
        <v>47.35</v>
      </c>
      <c r="N284" s="37">
        <f t="shared" si="2682"/>
        <v>4038.95</v>
      </c>
      <c r="O284" s="36"/>
      <c r="P284" s="38">
        <f t="shared" si="2683"/>
        <v>0</v>
      </c>
      <c r="Q284" s="38"/>
      <c r="R284" s="38">
        <f t="shared" si="2683"/>
        <v>0</v>
      </c>
      <c r="S284" s="38">
        <f t="shared" si="2684"/>
        <v>85.3</v>
      </c>
      <c r="T284" s="37">
        <f t="shared" ref="T284:V284" si="3725">TRUNC($M284 * S284,2)</f>
        <v>4038.95</v>
      </c>
      <c r="U284" s="36"/>
      <c r="V284" s="38">
        <f t="shared" si="3725"/>
        <v>0</v>
      </c>
      <c r="W284" s="38"/>
      <c r="X284" s="38">
        <f t="shared" ref="X284" si="3726">TRUNC($M284 * W284,2)</f>
        <v>0</v>
      </c>
      <c r="Y284" s="38"/>
      <c r="Z284" s="38">
        <f t="shared" ref="Z284" si="3727">TRUNC($M284 * Y284,2)</f>
        <v>0</v>
      </c>
      <c r="AA284" s="38"/>
      <c r="AB284" s="38">
        <f t="shared" ref="AB284" si="3728">TRUNC($M284 * AA284,2)</f>
        <v>0</v>
      </c>
      <c r="AC284" s="38"/>
      <c r="AD284" s="38">
        <f t="shared" ref="AD284" si="3729">TRUNC($M284 * AC284,2)</f>
        <v>0</v>
      </c>
      <c r="AE284" s="38"/>
      <c r="AF284" s="38">
        <f t="shared" ref="AF284" si="3730">TRUNC($M284 * AE284,2)</f>
        <v>0</v>
      </c>
      <c r="AG284" s="38"/>
      <c r="AH284" s="38">
        <f t="shared" ref="AH284" si="3731">TRUNC($M284 * AG284,2)</f>
        <v>0</v>
      </c>
      <c r="AI284" s="38"/>
      <c r="AJ284" s="38">
        <f t="shared" ref="AJ284" si="3732">TRUNC($M284 * AI284,2)</f>
        <v>0</v>
      </c>
      <c r="AK284" s="38"/>
      <c r="AL284" s="38">
        <f t="shared" ref="AL284" si="3733">TRUNC($M284 * AK284,2)</f>
        <v>0</v>
      </c>
      <c r="AM284" s="38"/>
      <c r="AN284" s="38">
        <f t="shared" ref="AN284" si="3734">TRUNC($M284 * AM284,2)</f>
        <v>0</v>
      </c>
      <c r="AO284" s="38"/>
      <c r="AP284" s="38">
        <f t="shared" ref="AP284" si="3735">TRUNC($M284 * AO284,2)</f>
        <v>0</v>
      </c>
      <c r="AQ284" s="38"/>
      <c r="AR284" s="38">
        <f t="shared" ref="AR284" si="3736">TRUNC($M284 * AQ284,2)</f>
        <v>0</v>
      </c>
      <c r="AS284" s="38"/>
      <c r="AT284" s="38">
        <f t="shared" ref="AT284" si="3737">TRUNC($M284 * AS284,2)</f>
        <v>0</v>
      </c>
      <c r="AU284" s="38"/>
      <c r="AV284" s="38">
        <f t="shared" ref="AV284" si="3738">TRUNC($M284 * AU284,2)</f>
        <v>0</v>
      </c>
      <c r="AW284" s="38"/>
      <c r="AX284" s="37">
        <f t="shared" ref="AX284" si="3739">TRUNC($M284 * AW284,2)</f>
        <v>0</v>
      </c>
      <c r="AY284" s="36">
        <f t="shared" si="2700"/>
        <v>0</v>
      </c>
      <c r="AZ284" s="38">
        <f t="shared" ref="AZ284" si="3740">TRUNC($M284 * AY284,2)</f>
        <v>0</v>
      </c>
      <c r="BA284" s="38">
        <f t="shared" si="2702"/>
        <v>85.3</v>
      </c>
      <c r="BB284" s="37">
        <f t="shared" ref="BB284" si="3741">TRUNC($M284 * BA284,2)</f>
        <v>4038.95</v>
      </c>
    </row>
    <row r="285" spans="1:54" ht="39" customHeight="1" x14ac:dyDescent="0.25">
      <c r="A285" s="31" t="s">
        <v>1098</v>
      </c>
      <c r="B285" s="31" t="s">
        <v>610</v>
      </c>
      <c r="C285" s="31" t="s">
        <v>19</v>
      </c>
      <c r="D285" s="31" t="s">
        <v>611</v>
      </c>
      <c r="E285" s="32" t="s">
        <v>69</v>
      </c>
      <c r="F285" s="33">
        <v>47</v>
      </c>
      <c r="G285" s="34">
        <v>77.92</v>
      </c>
      <c r="H285" s="34">
        <f t="shared" si="2679"/>
        <v>71.739999999999995</v>
      </c>
      <c r="I285" s="34">
        <f t="shared" si="2680"/>
        <v>3371.78</v>
      </c>
      <c r="J285" s="34">
        <f>(TRUNC(H285 * L14,2) + H285)</f>
        <v>86.33</v>
      </c>
      <c r="K285" s="34">
        <f t="shared" si="3350"/>
        <v>4057.51</v>
      </c>
      <c r="L285" s="35">
        <f>K285 / L13</f>
        <v>1.3991413793103446E-3</v>
      </c>
      <c r="M285" s="36">
        <v>75.760000000000005</v>
      </c>
      <c r="N285" s="37">
        <f t="shared" si="2682"/>
        <v>3560.72</v>
      </c>
      <c r="O285" s="36"/>
      <c r="P285" s="38">
        <f t="shared" si="2683"/>
        <v>0</v>
      </c>
      <c r="Q285" s="38"/>
      <c r="R285" s="38">
        <f t="shared" si="2683"/>
        <v>0</v>
      </c>
      <c r="S285" s="38">
        <f t="shared" si="2684"/>
        <v>47</v>
      </c>
      <c r="T285" s="37">
        <f t="shared" ref="T285:V285" si="3742">TRUNC($M285 * S285,2)</f>
        <v>3560.72</v>
      </c>
      <c r="U285" s="36"/>
      <c r="V285" s="38">
        <f t="shared" si="3742"/>
        <v>0</v>
      </c>
      <c r="W285" s="38"/>
      <c r="X285" s="38">
        <f t="shared" ref="X285" si="3743">TRUNC($M285 * W285,2)</f>
        <v>0</v>
      </c>
      <c r="Y285" s="38"/>
      <c r="Z285" s="38">
        <f t="shared" ref="Z285" si="3744">TRUNC($M285 * Y285,2)</f>
        <v>0</v>
      </c>
      <c r="AA285" s="38"/>
      <c r="AB285" s="38">
        <f t="shared" ref="AB285" si="3745">TRUNC($M285 * AA285,2)</f>
        <v>0</v>
      </c>
      <c r="AC285" s="38"/>
      <c r="AD285" s="38">
        <f t="shared" ref="AD285" si="3746">TRUNC($M285 * AC285,2)</f>
        <v>0</v>
      </c>
      <c r="AE285" s="38"/>
      <c r="AF285" s="38">
        <f t="shared" ref="AF285" si="3747">TRUNC($M285 * AE285,2)</f>
        <v>0</v>
      </c>
      <c r="AG285" s="38"/>
      <c r="AH285" s="38">
        <f t="shared" ref="AH285" si="3748">TRUNC($M285 * AG285,2)</f>
        <v>0</v>
      </c>
      <c r="AI285" s="38"/>
      <c r="AJ285" s="38">
        <f t="shared" ref="AJ285" si="3749">TRUNC($M285 * AI285,2)</f>
        <v>0</v>
      </c>
      <c r="AK285" s="38"/>
      <c r="AL285" s="38">
        <f t="shared" ref="AL285" si="3750">TRUNC($M285 * AK285,2)</f>
        <v>0</v>
      </c>
      <c r="AM285" s="38"/>
      <c r="AN285" s="38">
        <f t="shared" ref="AN285" si="3751">TRUNC($M285 * AM285,2)</f>
        <v>0</v>
      </c>
      <c r="AO285" s="38"/>
      <c r="AP285" s="38">
        <f t="shared" ref="AP285" si="3752">TRUNC($M285 * AO285,2)</f>
        <v>0</v>
      </c>
      <c r="AQ285" s="38"/>
      <c r="AR285" s="38">
        <f t="shared" ref="AR285" si="3753">TRUNC($M285 * AQ285,2)</f>
        <v>0</v>
      </c>
      <c r="AS285" s="38"/>
      <c r="AT285" s="38">
        <f t="shared" ref="AT285" si="3754">TRUNC($M285 * AS285,2)</f>
        <v>0</v>
      </c>
      <c r="AU285" s="38"/>
      <c r="AV285" s="38">
        <f t="shared" ref="AV285" si="3755">TRUNC($M285 * AU285,2)</f>
        <v>0</v>
      </c>
      <c r="AW285" s="38"/>
      <c r="AX285" s="37">
        <f t="shared" ref="AX285" si="3756">TRUNC($M285 * AW285,2)</f>
        <v>0</v>
      </c>
      <c r="AY285" s="36">
        <f t="shared" si="2700"/>
        <v>0</v>
      </c>
      <c r="AZ285" s="38">
        <f t="shared" ref="AZ285" si="3757">TRUNC($M285 * AY285,2)</f>
        <v>0</v>
      </c>
      <c r="BA285" s="38">
        <f t="shared" si="2702"/>
        <v>47</v>
      </c>
      <c r="BB285" s="37">
        <f t="shared" ref="BB285" si="3758">TRUNC($M285 * BA285,2)</f>
        <v>3560.72</v>
      </c>
    </row>
    <row r="286" spans="1:54" ht="26.1" customHeight="1" x14ac:dyDescent="0.25">
      <c r="A286" s="31" t="s">
        <v>1099</v>
      </c>
      <c r="B286" s="31" t="s">
        <v>612</v>
      </c>
      <c r="C286" s="31" t="s">
        <v>19</v>
      </c>
      <c r="D286" s="31" t="s">
        <v>613</v>
      </c>
      <c r="E286" s="32" t="s">
        <v>69</v>
      </c>
      <c r="F286" s="33">
        <v>48.9</v>
      </c>
      <c r="G286" s="34">
        <v>44.25</v>
      </c>
      <c r="H286" s="34">
        <f t="shared" ref="H286:H330" si="3759">TRUNC(G286*$L$1,2)</f>
        <v>40.74</v>
      </c>
      <c r="I286" s="34">
        <f t="shared" ref="I286:I330" si="3760">TRUNC(F286 * H286,2)</f>
        <v>1992.18</v>
      </c>
      <c r="J286" s="34">
        <f>(TRUNC(H286 * L14,2) + H286)</f>
        <v>49.02</v>
      </c>
      <c r="K286" s="34">
        <f t="shared" si="3350"/>
        <v>2397.0700000000002</v>
      </c>
      <c r="L286" s="35">
        <f>K286 / L13</f>
        <v>8.2657586206896544E-4</v>
      </c>
      <c r="M286" s="36">
        <v>42.76</v>
      </c>
      <c r="N286" s="37">
        <f t="shared" ref="N286:N330" si="3761">TRUNC(F286 * M286,2)</f>
        <v>2090.96</v>
      </c>
      <c r="O286" s="36"/>
      <c r="P286" s="38">
        <f t="shared" ref="P286:R330" si="3762">TRUNC($M286 * O286,2)</f>
        <v>0</v>
      </c>
      <c r="Q286" s="38"/>
      <c r="R286" s="38">
        <f t="shared" si="3762"/>
        <v>0</v>
      </c>
      <c r="S286" s="38">
        <f t="shared" ref="S286:S330" si="3763">F286+O286-Q286</f>
        <v>48.9</v>
      </c>
      <c r="T286" s="37">
        <f t="shared" ref="T286:V286" si="3764">TRUNC($M286 * S286,2)</f>
        <v>2090.96</v>
      </c>
      <c r="U286" s="36"/>
      <c r="V286" s="38">
        <f t="shared" si="3764"/>
        <v>0</v>
      </c>
      <c r="W286" s="38"/>
      <c r="X286" s="38">
        <f t="shared" ref="X286" si="3765">TRUNC($M286 * W286,2)</f>
        <v>0</v>
      </c>
      <c r="Y286" s="38"/>
      <c r="Z286" s="38">
        <f t="shared" ref="Z286" si="3766">TRUNC($M286 * Y286,2)</f>
        <v>0</v>
      </c>
      <c r="AA286" s="38"/>
      <c r="AB286" s="38">
        <f t="shared" ref="AB286" si="3767">TRUNC($M286 * AA286,2)</f>
        <v>0</v>
      </c>
      <c r="AC286" s="38"/>
      <c r="AD286" s="38">
        <f t="shared" ref="AD286" si="3768">TRUNC($M286 * AC286,2)</f>
        <v>0</v>
      </c>
      <c r="AE286" s="38"/>
      <c r="AF286" s="38">
        <f t="shared" ref="AF286" si="3769">TRUNC($M286 * AE286,2)</f>
        <v>0</v>
      </c>
      <c r="AG286" s="38"/>
      <c r="AH286" s="38">
        <f t="shared" ref="AH286" si="3770">TRUNC($M286 * AG286,2)</f>
        <v>0</v>
      </c>
      <c r="AI286" s="38"/>
      <c r="AJ286" s="38">
        <f t="shared" ref="AJ286" si="3771">TRUNC($M286 * AI286,2)</f>
        <v>0</v>
      </c>
      <c r="AK286" s="38"/>
      <c r="AL286" s="38">
        <f t="shared" ref="AL286" si="3772">TRUNC($M286 * AK286,2)</f>
        <v>0</v>
      </c>
      <c r="AM286" s="38"/>
      <c r="AN286" s="38">
        <f t="shared" ref="AN286" si="3773">TRUNC($M286 * AM286,2)</f>
        <v>0</v>
      </c>
      <c r="AO286" s="38"/>
      <c r="AP286" s="38">
        <f t="shared" ref="AP286" si="3774">TRUNC($M286 * AO286,2)</f>
        <v>0</v>
      </c>
      <c r="AQ286" s="38"/>
      <c r="AR286" s="38">
        <f t="shared" ref="AR286" si="3775">TRUNC($M286 * AQ286,2)</f>
        <v>0</v>
      </c>
      <c r="AS286" s="38"/>
      <c r="AT286" s="38">
        <f t="shared" ref="AT286" si="3776">TRUNC($M286 * AS286,2)</f>
        <v>0</v>
      </c>
      <c r="AU286" s="38"/>
      <c r="AV286" s="38">
        <f t="shared" ref="AV286" si="3777">TRUNC($M286 * AU286,2)</f>
        <v>0</v>
      </c>
      <c r="AW286" s="38"/>
      <c r="AX286" s="37">
        <f t="shared" ref="AX286" si="3778">TRUNC($M286 * AW286,2)</f>
        <v>0</v>
      </c>
      <c r="AY286" s="36">
        <f t="shared" ref="AY286:AY330" si="3779">SUM(U286,W286,Y286,AA286,AC286,AE286,AG286,AI286,AK286,AM286,AO286,AQ286,AS286,AU286,AW286)</f>
        <v>0</v>
      </c>
      <c r="AZ286" s="38">
        <f t="shared" ref="AZ286" si="3780">TRUNC($M286 * AY286,2)</f>
        <v>0</v>
      </c>
      <c r="BA286" s="38">
        <f t="shared" ref="BA286:BA330" si="3781">S286-AY286</f>
        <v>48.9</v>
      </c>
      <c r="BB286" s="37">
        <f t="shared" ref="BB286" si="3782">TRUNC($M286 * BA286,2)</f>
        <v>2090.96</v>
      </c>
    </row>
    <row r="287" spans="1:54" ht="39" customHeight="1" x14ac:dyDescent="0.25">
      <c r="A287" s="31" t="s">
        <v>1100</v>
      </c>
      <c r="B287" s="31" t="s">
        <v>614</v>
      </c>
      <c r="C287" s="31" t="s">
        <v>19</v>
      </c>
      <c r="D287" s="31" t="s">
        <v>615</v>
      </c>
      <c r="E287" s="32" t="s">
        <v>69</v>
      </c>
      <c r="F287" s="33">
        <v>22.8</v>
      </c>
      <c r="G287" s="34">
        <v>34.159999999999997</v>
      </c>
      <c r="H287" s="34">
        <f t="shared" si="3759"/>
        <v>31.45</v>
      </c>
      <c r="I287" s="34">
        <f t="shared" si="3760"/>
        <v>717.06</v>
      </c>
      <c r="J287" s="34">
        <f>(TRUNC(H287 * L14,2) + H287)</f>
        <v>37.839999999999996</v>
      </c>
      <c r="K287" s="34">
        <f t="shared" si="3350"/>
        <v>862.75</v>
      </c>
      <c r="L287" s="35">
        <f>K287 / L13</f>
        <v>2.9749999999999997E-4</v>
      </c>
      <c r="M287" s="36">
        <v>35.590000000000003</v>
      </c>
      <c r="N287" s="37">
        <f t="shared" si="3761"/>
        <v>811.45</v>
      </c>
      <c r="O287" s="36"/>
      <c r="P287" s="38">
        <f t="shared" si="3762"/>
        <v>0</v>
      </c>
      <c r="Q287" s="38"/>
      <c r="R287" s="38">
        <f t="shared" si="3762"/>
        <v>0</v>
      </c>
      <c r="S287" s="38">
        <f t="shared" si="3763"/>
        <v>22.8</v>
      </c>
      <c r="T287" s="37">
        <f t="shared" ref="T287:V287" si="3783">TRUNC($M287 * S287,2)</f>
        <v>811.45</v>
      </c>
      <c r="U287" s="36"/>
      <c r="V287" s="38">
        <f t="shared" si="3783"/>
        <v>0</v>
      </c>
      <c r="W287" s="38"/>
      <c r="X287" s="38">
        <f t="shared" ref="X287" si="3784">TRUNC($M287 * W287,2)</f>
        <v>0</v>
      </c>
      <c r="Y287" s="38"/>
      <c r="Z287" s="38">
        <f t="shared" ref="Z287" si="3785">TRUNC($M287 * Y287,2)</f>
        <v>0</v>
      </c>
      <c r="AA287" s="38"/>
      <c r="AB287" s="38">
        <f t="shared" ref="AB287" si="3786">TRUNC($M287 * AA287,2)</f>
        <v>0</v>
      </c>
      <c r="AC287" s="38"/>
      <c r="AD287" s="38">
        <f t="shared" ref="AD287" si="3787">TRUNC($M287 * AC287,2)</f>
        <v>0</v>
      </c>
      <c r="AE287" s="38"/>
      <c r="AF287" s="38">
        <f t="shared" ref="AF287" si="3788">TRUNC($M287 * AE287,2)</f>
        <v>0</v>
      </c>
      <c r="AG287" s="38"/>
      <c r="AH287" s="38">
        <f t="shared" ref="AH287" si="3789">TRUNC($M287 * AG287,2)</f>
        <v>0</v>
      </c>
      <c r="AI287" s="38"/>
      <c r="AJ287" s="38">
        <f t="shared" ref="AJ287" si="3790">TRUNC($M287 * AI287,2)</f>
        <v>0</v>
      </c>
      <c r="AK287" s="38"/>
      <c r="AL287" s="38">
        <f t="shared" ref="AL287" si="3791">TRUNC($M287 * AK287,2)</f>
        <v>0</v>
      </c>
      <c r="AM287" s="38"/>
      <c r="AN287" s="38">
        <f t="shared" ref="AN287" si="3792">TRUNC($M287 * AM287,2)</f>
        <v>0</v>
      </c>
      <c r="AO287" s="38"/>
      <c r="AP287" s="38">
        <f t="shared" ref="AP287" si="3793">TRUNC($M287 * AO287,2)</f>
        <v>0</v>
      </c>
      <c r="AQ287" s="38"/>
      <c r="AR287" s="38">
        <f t="shared" ref="AR287" si="3794">TRUNC($M287 * AQ287,2)</f>
        <v>0</v>
      </c>
      <c r="AS287" s="38"/>
      <c r="AT287" s="38">
        <f t="shared" ref="AT287" si="3795">TRUNC($M287 * AS287,2)</f>
        <v>0</v>
      </c>
      <c r="AU287" s="38"/>
      <c r="AV287" s="38">
        <f t="shared" ref="AV287" si="3796">TRUNC($M287 * AU287,2)</f>
        <v>0</v>
      </c>
      <c r="AW287" s="38"/>
      <c r="AX287" s="37">
        <f t="shared" ref="AX287" si="3797">TRUNC($M287 * AW287,2)</f>
        <v>0</v>
      </c>
      <c r="AY287" s="36">
        <f t="shared" si="3779"/>
        <v>0</v>
      </c>
      <c r="AZ287" s="38">
        <f t="shared" ref="AZ287" si="3798">TRUNC($M287 * AY287,2)</f>
        <v>0</v>
      </c>
      <c r="BA287" s="38">
        <f t="shared" si="3781"/>
        <v>22.8</v>
      </c>
      <c r="BB287" s="37">
        <f t="shared" ref="BB287" si="3799">TRUNC($M287 * BA287,2)</f>
        <v>811.45</v>
      </c>
    </row>
    <row r="288" spans="1:54" ht="39" customHeight="1" x14ac:dyDescent="0.25">
      <c r="A288" s="31" t="s">
        <v>1101</v>
      </c>
      <c r="B288" s="31" t="s">
        <v>616</v>
      </c>
      <c r="C288" s="31" t="s">
        <v>19</v>
      </c>
      <c r="D288" s="31" t="s">
        <v>617</v>
      </c>
      <c r="E288" s="32" t="s">
        <v>69</v>
      </c>
      <c r="F288" s="33">
        <v>1.5</v>
      </c>
      <c r="G288" s="34">
        <v>40.08</v>
      </c>
      <c r="H288" s="34">
        <f t="shared" si="3759"/>
        <v>36.9</v>
      </c>
      <c r="I288" s="34">
        <f t="shared" si="3760"/>
        <v>55.35</v>
      </c>
      <c r="J288" s="34">
        <f>(TRUNC(H288 * L14,2) + H288)</f>
        <v>44.4</v>
      </c>
      <c r="K288" s="34">
        <f t="shared" si="3350"/>
        <v>66.599999999999994</v>
      </c>
      <c r="L288" s="35">
        <f>K288 / L13</f>
        <v>2.2965517241379306E-5</v>
      </c>
      <c r="M288" s="36">
        <v>39.79</v>
      </c>
      <c r="N288" s="37">
        <f t="shared" si="3761"/>
        <v>59.68</v>
      </c>
      <c r="O288" s="36"/>
      <c r="P288" s="38">
        <f t="shared" si="3762"/>
        <v>0</v>
      </c>
      <c r="Q288" s="38"/>
      <c r="R288" s="38">
        <f t="shared" si="3762"/>
        <v>0</v>
      </c>
      <c r="S288" s="38">
        <f t="shared" si="3763"/>
        <v>1.5</v>
      </c>
      <c r="T288" s="37">
        <f t="shared" ref="T288:V288" si="3800">TRUNC($M288 * S288,2)</f>
        <v>59.68</v>
      </c>
      <c r="U288" s="36"/>
      <c r="V288" s="38">
        <f t="shared" si="3800"/>
        <v>0</v>
      </c>
      <c r="W288" s="38"/>
      <c r="X288" s="38">
        <f t="shared" ref="X288" si="3801">TRUNC($M288 * W288,2)</f>
        <v>0</v>
      </c>
      <c r="Y288" s="38"/>
      <c r="Z288" s="38">
        <f t="shared" ref="Z288" si="3802">TRUNC($M288 * Y288,2)</f>
        <v>0</v>
      </c>
      <c r="AA288" s="38"/>
      <c r="AB288" s="38">
        <f t="shared" ref="AB288" si="3803">TRUNC($M288 * AA288,2)</f>
        <v>0</v>
      </c>
      <c r="AC288" s="38"/>
      <c r="AD288" s="38">
        <f t="shared" ref="AD288" si="3804">TRUNC($M288 * AC288,2)</f>
        <v>0</v>
      </c>
      <c r="AE288" s="38"/>
      <c r="AF288" s="38">
        <f t="shared" ref="AF288" si="3805">TRUNC($M288 * AE288,2)</f>
        <v>0</v>
      </c>
      <c r="AG288" s="38"/>
      <c r="AH288" s="38">
        <f t="shared" ref="AH288" si="3806">TRUNC($M288 * AG288,2)</f>
        <v>0</v>
      </c>
      <c r="AI288" s="38"/>
      <c r="AJ288" s="38">
        <f t="shared" ref="AJ288" si="3807">TRUNC($M288 * AI288,2)</f>
        <v>0</v>
      </c>
      <c r="AK288" s="38"/>
      <c r="AL288" s="38">
        <f t="shared" ref="AL288" si="3808">TRUNC($M288 * AK288,2)</f>
        <v>0</v>
      </c>
      <c r="AM288" s="38"/>
      <c r="AN288" s="38">
        <f t="shared" ref="AN288" si="3809">TRUNC($M288 * AM288,2)</f>
        <v>0</v>
      </c>
      <c r="AO288" s="38"/>
      <c r="AP288" s="38">
        <f t="shared" ref="AP288" si="3810">TRUNC($M288 * AO288,2)</f>
        <v>0</v>
      </c>
      <c r="AQ288" s="38"/>
      <c r="AR288" s="38">
        <f t="shared" ref="AR288" si="3811">TRUNC($M288 * AQ288,2)</f>
        <v>0</v>
      </c>
      <c r="AS288" s="38"/>
      <c r="AT288" s="38">
        <f t="shared" ref="AT288" si="3812">TRUNC($M288 * AS288,2)</f>
        <v>0</v>
      </c>
      <c r="AU288" s="38"/>
      <c r="AV288" s="38">
        <f t="shared" ref="AV288" si="3813">TRUNC($M288 * AU288,2)</f>
        <v>0</v>
      </c>
      <c r="AW288" s="38"/>
      <c r="AX288" s="37">
        <f t="shared" ref="AX288" si="3814">TRUNC($M288 * AW288,2)</f>
        <v>0</v>
      </c>
      <c r="AY288" s="36">
        <f t="shared" si="3779"/>
        <v>0</v>
      </c>
      <c r="AZ288" s="38">
        <f t="shared" ref="AZ288" si="3815">TRUNC($M288 * AY288,2)</f>
        <v>0</v>
      </c>
      <c r="BA288" s="38">
        <f t="shared" si="3781"/>
        <v>1.5</v>
      </c>
      <c r="BB288" s="37">
        <f t="shared" ref="BB288" si="3816">TRUNC($M288 * BA288,2)</f>
        <v>59.68</v>
      </c>
    </row>
    <row r="289" spans="1:54" ht="26.1" customHeight="1" x14ac:dyDescent="0.25">
      <c r="A289" s="31" t="s">
        <v>1102</v>
      </c>
      <c r="B289" s="31" t="s">
        <v>618</v>
      </c>
      <c r="C289" s="31" t="s">
        <v>24</v>
      </c>
      <c r="D289" s="31" t="s">
        <v>619</v>
      </c>
      <c r="E289" s="32" t="s">
        <v>171</v>
      </c>
      <c r="F289" s="33">
        <v>9</v>
      </c>
      <c r="G289" s="34">
        <v>22.02</v>
      </c>
      <c r="H289" s="34">
        <f t="shared" si="3759"/>
        <v>20.27</v>
      </c>
      <c r="I289" s="34">
        <f t="shared" si="3760"/>
        <v>182.43</v>
      </c>
      <c r="J289" s="34">
        <f>(TRUNC(H289 * L14,2) + H289)</f>
        <v>24.39</v>
      </c>
      <c r="K289" s="34">
        <f t="shared" si="3350"/>
        <v>219.51</v>
      </c>
      <c r="L289" s="35">
        <f>K289 / L13</f>
        <v>7.5693103448275847E-5</v>
      </c>
      <c r="M289" s="36">
        <v>20.51</v>
      </c>
      <c r="N289" s="37">
        <f t="shared" si="3761"/>
        <v>184.59</v>
      </c>
      <c r="O289" s="36"/>
      <c r="P289" s="38">
        <f t="shared" si="3762"/>
        <v>0</v>
      </c>
      <c r="Q289" s="38"/>
      <c r="R289" s="38">
        <f t="shared" si="3762"/>
        <v>0</v>
      </c>
      <c r="S289" s="38">
        <f t="shared" si="3763"/>
        <v>9</v>
      </c>
      <c r="T289" s="37">
        <f t="shared" ref="T289:V289" si="3817">TRUNC($M289 * S289,2)</f>
        <v>184.59</v>
      </c>
      <c r="U289" s="36"/>
      <c r="V289" s="38">
        <f t="shared" si="3817"/>
        <v>0</v>
      </c>
      <c r="W289" s="38"/>
      <c r="X289" s="38">
        <f t="shared" ref="X289" si="3818">TRUNC($M289 * W289,2)</f>
        <v>0</v>
      </c>
      <c r="Y289" s="38"/>
      <c r="Z289" s="38">
        <f t="shared" ref="Z289" si="3819">TRUNC($M289 * Y289,2)</f>
        <v>0</v>
      </c>
      <c r="AA289" s="38"/>
      <c r="AB289" s="38">
        <f t="shared" ref="AB289" si="3820">TRUNC($M289 * AA289,2)</f>
        <v>0</v>
      </c>
      <c r="AC289" s="38"/>
      <c r="AD289" s="38">
        <f t="shared" ref="AD289" si="3821">TRUNC($M289 * AC289,2)</f>
        <v>0</v>
      </c>
      <c r="AE289" s="38"/>
      <c r="AF289" s="38">
        <f t="shared" ref="AF289" si="3822">TRUNC($M289 * AE289,2)</f>
        <v>0</v>
      </c>
      <c r="AG289" s="38"/>
      <c r="AH289" s="38">
        <f t="shared" ref="AH289" si="3823">TRUNC($M289 * AG289,2)</f>
        <v>0</v>
      </c>
      <c r="AI289" s="38"/>
      <c r="AJ289" s="38">
        <f t="shared" ref="AJ289" si="3824">TRUNC($M289 * AI289,2)</f>
        <v>0</v>
      </c>
      <c r="AK289" s="38"/>
      <c r="AL289" s="38">
        <f t="shared" ref="AL289" si="3825">TRUNC($M289 * AK289,2)</f>
        <v>0</v>
      </c>
      <c r="AM289" s="38"/>
      <c r="AN289" s="38">
        <f t="shared" ref="AN289" si="3826">TRUNC($M289 * AM289,2)</f>
        <v>0</v>
      </c>
      <c r="AO289" s="38"/>
      <c r="AP289" s="38">
        <f t="shared" ref="AP289" si="3827">TRUNC($M289 * AO289,2)</f>
        <v>0</v>
      </c>
      <c r="AQ289" s="38"/>
      <c r="AR289" s="38">
        <f t="shared" ref="AR289" si="3828">TRUNC($M289 * AQ289,2)</f>
        <v>0</v>
      </c>
      <c r="AS289" s="38"/>
      <c r="AT289" s="38">
        <f t="shared" ref="AT289" si="3829">TRUNC($M289 * AS289,2)</f>
        <v>0</v>
      </c>
      <c r="AU289" s="38"/>
      <c r="AV289" s="38">
        <f t="shared" ref="AV289" si="3830">TRUNC($M289 * AU289,2)</f>
        <v>0</v>
      </c>
      <c r="AW289" s="38"/>
      <c r="AX289" s="37">
        <f t="shared" ref="AX289" si="3831">TRUNC($M289 * AW289,2)</f>
        <v>0</v>
      </c>
      <c r="AY289" s="36">
        <f t="shared" si="3779"/>
        <v>0</v>
      </c>
      <c r="AZ289" s="38">
        <f t="shared" ref="AZ289" si="3832">TRUNC($M289 * AY289,2)</f>
        <v>0</v>
      </c>
      <c r="BA289" s="38">
        <f t="shared" si="3781"/>
        <v>9</v>
      </c>
      <c r="BB289" s="37">
        <f t="shared" ref="BB289" si="3833">TRUNC($M289 * BA289,2)</f>
        <v>184.59</v>
      </c>
    </row>
    <row r="290" spans="1:54" ht="39" customHeight="1" x14ac:dyDescent="0.25">
      <c r="A290" s="31" t="s">
        <v>1103</v>
      </c>
      <c r="B290" s="31" t="s">
        <v>513</v>
      </c>
      <c r="C290" s="31" t="s">
        <v>34</v>
      </c>
      <c r="D290" s="31" t="s">
        <v>514</v>
      </c>
      <c r="E290" s="32" t="s">
        <v>36</v>
      </c>
      <c r="F290" s="33">
        <v>17</v>
      </c>
      <c r="G290" s="34">
        <v>7.94</v>
      </c>
      <c r="H290" s="34">
        <f t="shared" si="3759"/>
        <v>7.31</v>
      </c>
      <c r="I290" s="34">
        <f t="shared" si="3760"/>
        <v>124.27</v>
      </c>
      <c r="J290" s="34">
        <f>(TRUNC(H290 * L14,2) + H290)</f>
        <v>8.7899999999999991</v>
      </c>
      <c r="K290" s="34">
        <f t="shared" si="3350"/>
        <v>149.43</v>
      </c>
      <c r="L290" s="35">
        <f>K290 / L13</f>
        <v>5.1527586206896545E-5</v>
      </c>
      <c r="M290" s="36">
        <v>7.77</v>
      </c>
      <c r="N290" s="37">
        <f t="shared" si="3761"/>
        <v>132.09</v>
      </c>
      <c r="O290" s="36"/>
      <c r="P290" s="38">
        <f t="shared" si="3762"/>
        <v>0</v>
      </c>
      <c r="Q290" s="38"/>
      <c r="R290" s="38">
        <f t="shared" si="3762"/>
        <v>0</v>
      </c>
      <c r="S290" s="38">
        <f t="shared" si="3763"/>
        <v>17</v>
      </c>
      <c r="T290" s="37">
        <f t="shared" ref="T290:V290" si="3834">TRUNC($M290 * S290,2)</f>
        <v>132.09</v>
      </c>
      <c r="U290" s="36"/>
      <c r="V290" s="38">
        <f t="shared" si="3834"/>
        <v>0</v>
      </c>
      <c r="W290" s="38"/>
      <c r="X290" s="38">
        <f t="shared" ref="X290" si="3835">TRUNC($M290 * W290,2)</f>
        <v>0</v>
      </c>
      <c r="Y290" s="38"/>
      <c r="Z290" s="38">
        <f t="shared" ref="Z290" si="3836">TRUNC($M290 * Y290,2)</f>
        <v>0</v>
      </c>
      <c r="AA290" s="38"/>
      <c r="AB290" s="38">
        <f t="shared" ref="AB290" si="3837">TRUNC($M290 * AA290,2)</f>
        <v>0</v>
      </c>
      <c r="AC290" s="38"/>
      <c r="AD290" s="38">
        <f t="shared" ref="AD290" si="3838">TRUNC($M290 * AC290,2)</f>
        <v>0</v>
      </c>
      <c r="AE290" s="38"/>
      <c r="AF290" s="38">
        <f t="shared" ref="AF290" si="3839">TRUNC($M290 * AE290,2)</f>
        <v>0</v>
      </c>
      <c r="AG290" s="38"/>
      <c r="AH290" s="38">
        <f t="shared" ref="AH290" si="3840">TRUNC($M290 * AG290,2)</f>
        <v>0</v>
      </c>
      <c r="AI290" s="38"/>
      <c r="AJ290" s="38">
        <f t="shared" ref="AJ290" si="3841">TRUNC($M290 * AI290,2)</f>
        <v>0</v>
      </c>
      <c r="AK290" s="38"/>
      <c r="AL290" s="38">
        <f t="shared" ref="AL290" si="3842">TRUNC($M290 * AK290,2)</f>
        <v>0</v>
      </c>
      <c r="AM290" s="38"/>
      <c r="AN290" s="38">
        <f t="shared" ref="AN290" si="3843">TRUNC($M290 * AM290,2)</f>
        <v>0</v>
      </c>
      <c r="AO290" s="38"/>
      <c r="AP290" s="38">
        <f t="shared" ref="AP290" si="3844">TRUNC($M290 * AO290,2)</f>
        <v>0</v>
      </c>
      <c r="AQ290" s="38"/>
      <c r="AR290" s="38">
        <f t="shared" ref="AR290" si="3845">TRUNC($M290 * AQ290,2)</f>
        <v>0</v>
      </c>
      <c r="AS290" s="38"/>
      <c r="AT290" s="38">
        <f t="shared" ref="AT290" si="3846">TRUNC($M290 * AS290,2)</f>
        <v>0</v>
      </c>
      <c r="AU290" s="38"/>
      <c r="AV290" s="38">
        <f t="shared" ref="AV290" si="3847">TRUNC($M290 * AU290,2)</f>
        <v>0</v>
      </c>
      <c r="AW290" s="38"/>
      <c r="AX290" s="37">
        <f t="shared" ref="AX290" si="3848">TRUNC($M290 * AW290,2)</f>
        <v>0</v>
      </c>
      <c r="AY290" s="36">
        <f t="shared" si="3779"/>
        <v>0</v>
      </c>
      <c r="AZ290" s="38">
        <f t="shared" ref="AZ290" si="3849">TRUNC($M290 * AY290,2)</f>
        <v>0</v>
      </c>
      <c r="BA290" s="38">
        <f t="shared" si="3781"/>
        <v>17</v>
      </c>
      <c r="BB290" s="37">
        <f t="shared" ref="BB290" si="3850">TRUNC($M290 * BA290,2)</f>
        <v>132.09</v>
      </c>
    </row>
    <row r="291" spans="1:54" ht="39" customHeight="1" x14ac:dyDescent="0.25">
      <c r="A291" s="31" t="s">
        <v>1104</v>
      </c>
      <c r="B291" s="31" t="s">
        <v>620</v>
      </c>
      <c r="C291" s="31" t="s">
        <v>34</v>
      </c>
      <c r="D291" s="31" t="s">
        <v>621</v>
      </c>
      <c r="E291" s="32" t="s">
        <v>36</v>
      </c>
      <c r="F291" s="33">
        <v>17</v>
      </c>
      <c r="G291" s="34">
        <v>11.47</v>
      </c>
      <c r="H291" s="34">
        <f t="shared" si="3759"/>
        <v>10.56</v>
      </c>
      <c r="I291" s="34">
        <f t="shared" si="3760"/>
        <v>179.52</v>
      </c>
      <c r="J291" s="34">
        <f>(TRUNC(H291 * L14,2) + H291)</f>
        <v>12.700000000000001</v>
      </c>
      <c r="K291" s="34">
        <f t="shared" si="3350"/>
        <v>215.9</v>
      </c>
      <c r="L291" s="35">
        <f>K291 / L13</f>
        <v>7.4448275862068949E-5</v>
      </c>
      <c r="M291" s="36">
        <v>11.93</v>
      </c>
      <c r="N291" s="37">
        <f t="shared" si="3761"/>
        <v>202.81</v>
      </c>
      <c r="O291" s="36"/>
      <c r="P291" s="38">
        <f t="shared" si="3762"/>
        <v>0</v>
      </c>
      <c r="Q291" s="38"/>
      <c r="R291" s="38">
        <f t="shared" si="3762"/>
        <v>0</v>
      </c>
      <c r="S291" s="38">
        <f t="shared" si="3763"/>
        <v>17</v>
      </c>
      <c r="T291" s="37">
        <f t="shared" ref="T291:V291" si="3851">TRUNC($M291 * S291,2)</f>
        <v>202.81</v>
      </c>
      <c r="U291" s="36"/>
      <c r="V291" s="38">
        <f t="shared" si="3851"/>
        <v>0</v>
      </c>
      <c r="W291" s="38"/>
      <c r="X291" s="38">
        <f t="shared" ref="X291" si="3852">TRUNC($M291 * W291,2)</f>
        <v>0</v>
      </c>
      <c r="Y291" s="38"/>
      <c r="Z291" s="38">
        <f t="shared" ref="Z291" si="3853">TRUNC($M291 * Y291,2)</f>
        <v>0</v>
      </c>
      <c r="AA291" s="38"/>
      <c r="AB291" s="38">
        <f t="shared" ref="AB291" si="3854">TRUNC($M291 * AA291,2)</f>
        <v>0</v>
      </c>
      <c r="AC291" s="38"/>
      <c r="AD291" s="38">
        <f t="shared" ref="AD291" si="3855">TRUNC($M291 * AC291,2)</f>
        <v>0</v>
      </c>
      <c r="AE291" s="38"/>
      <c r="AF291" s="38">
        <f t="shared" ref="AF291" si="3856">TRUNC($M291 * AE291,2)</f>
        <v>0</v>
      </c>
      <c r="AG291" s="38"/>
      <c r="AH291" s="38">
        <f t="shared" ref="AH291" si="3857">TRUNC($M291 * AG291,2)</f>
        <v>0</v>
      </c>
      <c r="AI291" s="38"/>
      <c r="AJ291" s="38">
        <f t="shared" ref="AJ291" si="3858">TRUNC($M291 * AI291,2)</f>
        <v>0</v>
      </c>
      <c r="AK291" s="38"/>
      <c r="AL291" s="38">
        <f t="shared" ref="AL291" si="3859">TRUNC($M291 * AK291,2)</f>
        <v>0</v>
      </c>
      <c r="AM291" s="38"/>
      <c r="AN291" s="38">
        <f t="shared" ref="AN291" si="3860">TRUNC($M291 * AM291,2)</f>
        <v>0</v>
      </c>
      <c r="AO291" s="38"/>
      <c r="AP291" s="38">
        <f t="shared" ref="AP291" si="3861">TRUNC($M291 * AO291,2)</f>
        <v>0</v>
      </c>
      <c r="AQ291" s="38"/>
      <c r="AR291" s="38">
        <f t="shared" ref="AR291" si="3862">TRUNC($M291 * AQ291,2)</f>
        <v>0</v>
      </c>
      <c r="AS291" s="38"/>
      <c r="AT291" s="38">
        <f t="shared" ref="AT291" si="3863">TRUNC($M291 * AS291,2)</f>
        <v>0</v>
      </c>
      <c r="AU291" s="38"/>
      <c r="AV291" s="38">
        <f t="shared" ref="AV291" si="3864">TRUNC($M291 * AU291,2)</f>
        <v>0</v>
      </c>
      <c r="AW291" s="38"/>
      <c r="AX291" s="37">
        <f t="shared" ref="AX291" si="3865">TRUNC($M291 * AW291,2)</f>
        <v>0</v>
      </c>
      <c r="AY291" s="36">
        <f t="shared" si="3779"/>
        <v>0</v>
      </c>
      <c r="AZ291" s="38">
        <f t="shared" ref="AZ291" si="3866">TRUNC($M291 * AY291,2)</f>
        <v>0</v>
      </c>
      <c r="BA291" s="38">
        <f t="shared" si="3781"/>
        <v>17</v>
      </c>
      <c r="BB291" s="37">
        <f t="shared" ref="BB291" si="3867">TRUNC($M291 * BA291,2)</f>
        <v>202.81</v>
      </c>
    </row>
    <row r="292" spans="1:54" ht="39" customHeight="1" x14ac:dyDescent="0.25">
      <c r="A292" s="31" t="s">
        <v>1105</v>
      </c>
      <c r="B292" s="31" t="s">
        <v>525</v>
      </c>
      <c r="C292" s="31" t="s">
        <v>34</v>
      </c>
      <c r="D292" s="31" t="s">
        <v>526</v>
      </c>
      <c r="E292" s="32" t="s">
        <v>36</v>
      </c>
      <c r="F292" s="33">
        <v>17</v>
      </c>
      <c r="G292" s="34">
        <v>13.55</v>
      </c>
      <c r="H292" s="34">
        <f t="shared" si="3759"/>
        <v>12.47</v>
      </c>
      <c r="I292" s="34">
        <f t="shared" si="3760"/>
        <v>211.99</v>
      </c>
      <c r="J292" s="34">
        <f>(TRUNC(H292 * L14,2) + H292)</f>
        <v>15</v>
      </c>
      <c r="K292" s="34">
        <f t="shared" si="3350"/>
        <v>255</v>
      </c>
      <c r="L292" s="35">
        <f>K292 / L13</f>
        <v>8.7931034482758604E-5</v>
      </c>
      <c r="M292" s="36">
        <v>11.9</v>
      </c>
      <c r="N292" s="37">
        <f t="shared" si="3761"/>
        <v>202.3</v>
      </c>
      <c r="O292" s="36"/>
      <c r="P292" s="38">
        <f t="shared" si="3762"/>
        <v>0</v>
      </c>
      <c r="Q292" s="38"/>
      <c r="R292" s="38">
        <f t="shared" si="3762"/>
        <v>0</v>
      </c>
      <c r="S292" s="38">
        <f t="shared" si="3763"/>
        <v>17</v>
      </c>
      <c r="T292" s="37">
        <f t="shared" ref="T292:V292" si="3868">TRUNC($M292 * S292,2)</f>
        <v>202.3</v>
      </c>
      <c r="U292" s="36"/>
      <c r="V292" s="38">
        <f t="shared" si="3868"/>
        <v>0</v>
      </c>
      <c r="W292" s="38"/>
      <c r="X292" s="38">
        <f t="shared" ref="X292" si="3869">TRUNC($M292 * W292,2)</f>
        <v>0</v>
      </c>
      <c r="Y292" s="38"/>
      <c r="Z292" s="38">
        <f t="shared" ref="Z292" si="3870">TRUNC($M292 * Y292,2)</f>
        <v>0</v>
      </c>
      <c r="AA292" s="38"/>
      <c r="AB292" s="38">
        <f t="shared" ref="AB292" si="3871">TRUNC($M292 * AA292,2)</f>
        <v>0</v>
      </c>
      <c r="AC292" s="38"/>
      <c r="AD292" s="38">
        <f t="shared" ref="AD292" si="3872">TRUNC($M292 * AC292,2)</f>
        <v>0</v>
      </c>
      <c r="AE292" s="38"/>
      <c r="AF292" s="38">
        <f t="shared" ref="AF292" si="3873">TRUNC($M292 * AE292,2)</f>
        <v>0</v>
      </c>
      <c r="AG292" s="38"/>
      <c r="AH292" s="38">
        <f t="shared" ref="AH292" si="3874">TRUNC($M292 * AG292,2)</f>
        <v>0</v>
      </c>
      <c r="AI292" s="38"/>
      <c r="AJ292" s="38">
        <f t="shared" ref="AJ292" si="3875">TRUNC($M292 * AI292,2)</f>
        <v>0</v>
      </c>
      <c r="AK292" s="38"/>
      <c r="AL292" s="38">
        <f t="shared" ref="AL292" si="3876">TRUNC($M292 * AK292,2)</f>
        <v>0</v>
      </c>
      <c r="AM292" s="38"/>
      <c r="AN292" s="38">
        <f t="shared" ref="AN292" si="3877">TRUNC($M292 * AM292,2)</f>
        <v>0</v>
      </c>
      <c r="AO292" s="38"/>
      <c r="AP292" s="38">
        <f t="shared" ref="AP292" si="3878">TRUNC($M292 * AO292,2)</f>
        <v>0</v>
      </c>
      <c r="AQ292" s="38"/>
      <c r="AR292" s="38">
        <f t="shared" ref="AR292" si="3879">TRUNC($M292 * AQ292,2)</f>
        <v>0</v>
      </c>
      <c r="AS292" s="38"/>
      <c r="AT292" s="38">
        <f t="shared" ref="AT292" si="3880">TRUNC($M292 * AS292,2)</f>
        <v>0</v>
      </c>
      <c r="AU292" s="38"/>
      <c r="AV292" s="38">
        <f t="shared" ref="AV292" si="3881">TRUNC($M292 * AU292,2)</f>
        <v>0</v>
      </c>
      <c r="AW292" s="38"/>
      <c r="AX292" s="37">
        <f t="shared" ref="AX292" si="3882">TRUNC($M292 * AW292,2)</f>
        <v>0</v>
      </c>
      <c r="AY292" s="36">
        <f t="shared" si="3779"/>
        <v>0</v>
      </c>
      <c r="AZ292" s="38">
        <f t="shared" ref="AZ292" si="3883">TRUNC($M292 * AY292,2)</f>
        <v>0</v>
      </c>
      <c r="BA292" s="38">
        <f t="shared" si="3781"/>
        <v>17</v>
      </c>
      <c r="BB292" s="37">
        <f t="shared" ref="BB292" si="3884">TRUNC($M292 * BA292,2)</f>
        <v>202.3</v>
      </c>
    </row>
    <row r="293" spans="1:54" ht="39" customHeight="1" x14ac:dyDescent="0.25">
      <c r="A293" s="31" t="s">
        <v>1106</v>
      </c>
      <c r="B293" s="31" t="s">
        <v>622</v>
      </c>
      <c r="C293" s="31" t="s">
        <v>34</v>
      </c>
      <c r="D293" s="31" t="s">
        <v>623</v>
      </c>
      <c r="E293" s="32" t="s">
        <v>36</v>
      </c>
      <c r="F293" s="33">
        <v>34</v>
      </c>
      <c r="G293" s="34">
        <v>9.9600000000000009</v>
      </c>
      <c r="H293" s="34">
        <f t="shared" si="3759"/>
        <v>9.17</v>
      </c>
      <c r="I293" s="34">
        <f t="shared" si="3760"/>
        <v>311.77999999999997</v>
      </c>
      <c r="J293" s="34">
        <f>(TRUNC(H293 * L14,2) + H293)</f>
        <v>11.03</v>
      </c>
      <c r="K293" s="34">
        <f t="shared" si="3350"/>
        <v>375.02</v>
      </c>
      <c r="L293" s="35">
        <f>K293 / L13</f>
        <v>1.2931724137931031E-4</v>
      </c>
      <c r="M293" s="36">
        <v>11.54</v>
      </c>
      <c r="N293" s="37">
        <f t="shared" si="3761"/>
        <v>392.36</v>
      </c>
      <c r="O293" s="36"/>
      <c r="P293" s="38">
        <f t="shared" si="3762"/>
        <v>0</v>
      </c>
      <c r="Q293" s="38"/>
      <c r="R293" s="38">
        <f t="shared" si="3762"/>
        <v>0</v>
      </c>
      <c r="S293" s="38">
        <f t="shared" si="3763"/>
        <v>34</v>
      </c>
      <c r="T293" s="37">
        <f t="shared" ref="T293:V293" si="3885">TRUNC($M293 * S293,2)</f>
        <v>392.36</v>
      </c>
      <c r="U293" s="36"/>
      <c r="V293" s="38">
        <f t="shared" si="3885"/>
        <v>0</v>
      </c>
      <c r="W293" s="38"/>
      <c r="X293" s="38">
        <f t="shared" ref="X293" si="3886">TRUNC($M293 * W293,2)</f>
        <v>0</v>
      </c>
      <c r="Y293" s="38"/>
      <c r="Z293" s="38">
        <f t="shared" ref="Z293" si="3887">TRUNC($M293 * Y293,2)</f>
        <v>0</v>
      </c>
      <c r="AA293" s="38"/>
      <c r="AB293" s="38">
        <f t="shared" ref="AB293" si="3888">TRUNC($M293 * AA293,2)</f>
        <v>0</v>
      </c>
      <c r="AC293" s="38"/>
      <c r="AD293" s="38">
        <f t="shared" ref="AD293" si="3889">TRUNC($M293 * AC293,2)</f>
        <v>0</v>
      </c>
      <c r="AE293" s="38"/>
      <c r="AF293" s="38">
        <f t="shared" ref="AF293" si="3890">TRUNC($M293 * AE293,2)</f>
        <v>0</v>
      </c>
      <c r="AG293" s="38"/>
      <c r="AH293" s="38">
        <f t="shared" ref="AH293" si="3891">TRUNC($M293 * AG293,2)</f>
        <v>0</v>
      </c>
      <c r="AI293" s="38"/>
      <c r="AJ293" s="38">
        <f t="shared" ref="AJ293" si="3892">TRUNC($M293 * AI293,2)</f>
        <v>0</v>
      </c>
      <c r="AK293" s="38"/>
      <c r="AL293" s="38">
        <f t="shared" ref="AL293" si="3893">TRUNC($M293 * AK293,2)</f>
        <v>0</v>
      </c>
      <c r="AM293" s="38"/>
      <c r="AN293" s="38">
        <f t="shared" ref="AN293" si="3894">TRUNC($M293 * AM293,2)</f>
        <v>0</v>
      </c>
      <c r="AO293" s="38"/>
      <c r="AP293" s="38">
        <f t="shared" ref="AP293" si="3895">TRUNC($M293 * AO293,2)</f>
        <v>0</v>
      </c>
      <c r="AQ293" s="38"/>
      <c r="AR293" s="38">
        <f t="shared" ref="AR293" si="3896">TRUNC($M293 * AQ293,2)</f>
        <v>0</v>
      </c>
      <c r="AS293" s="38"/>
      <c r="AT293" s="38">
        <f t="shared" ref="AT293" si="3897">TRUNC($M293 * AS293,2)</f>
        <v>0</v>
      </c>
      <c r="AU293" s="38"/>
      <c r="AV293" s="38">
        <f t="shared" ref="AV293" si="3898">TRUNC($M293 * AU293,2)</f>
        <v>0</v>
      </c>
      <c r="AW293" s="38"/>
      <c r="AX293" s="37">
        <f t="shared" ref="AX293" si="3899">TRUNC($M293 * AW293,2)</f>
        <v>0</v>
      </c>
      <c r="AY293" s="36">
        <f t="shared" si="3779"/>
        <v>0</v>
      </c>
      <c r="AZ293" s="38">
        <f t="shared" ref="AZ293" si="3900">TRUNC($M293 * AY293,2)</f>
        <v>0</v>
      </c>
      <c r="BA293" s="38">
        <f t="shared" si="3781"/>
        <v>34</v>
      </c>
      <c r="BB293" s="37">
        <f t="shared" ref="BB293" si="3901">TRUNC($M293 * BA293,2)</f>
        <v>392.36</v>
      </c>
    </row>
    <row r="294" spans="1:54" ht="39" customHeight="1" x14ac:dyDescent="0.25">
      <c r="A294" s="31" t="s">
        <v>1107</v>
      </c>
      <c r="B294" s="31" t="s">
        <v>531</v>
      </c>
      <c r="C294" s="31" t="s">
        <v>34</v>
      </c>
      <c r="D294" s="31" t="s">
        <v>532</v>
      </c>
      <c r="E294" s="32" t="s">
        <v>218</v>
      </c>
      <c r="F294" s="33">
        <v>102</v>
      </c>
      <c r="G294" s="34">
        <v>27.63</v>
      </c>
      <c r="H294" s="34">
        <f t="shared" si="3759"/>
        <v>25.44</v>
      </c>
      <c r="I294" s="34">
        <f t="shared" si="3760"/>
        <v>2594.88</v>
      </c>
      <c r="J294" s="34">
        <f>(TRUNC(H294 * L14,2) + H294)</f>
        <v>30.61</v>
      </c>
      <c r="K294" s="34">
        <f t="shared" si="3350"/>
        <v>3122.22</v>
      </c>
      <c r="L294" s="35">
        <f>K294 / L13</f>
        <v>1.0766275862068963E-3</v>
      </c>
      <c r="M294" s="36">
        <v>32.08</v>
      </c>
      <c r="N294" s="37">
        <f t="shared" si="3761"/>
        <v>3272.16</v>
      </c>
      <c r="O294" s="36"/>
      <c r="P294" s="38">
        <f t="shared" si="3762"/>
        <v>0</v>
      </c>
      <c r="Q294" s="38"/>
      <c r="R294" s="38">
        <f t="shared" si="3762"/>
        <v>0</v>
      </c>
      <c r="S294" s="38">
        <f t="shared" si="3763"/>
        <v>102</v>
      </c>
      <c r="T294" s="37">
        <f t="shared" ref="T294:V294" si="3902">TRUNC($M294 * S294,2)</f>
        <v>3272.16</v>
      </c>
      <c r="U294" s="36"/>
      <c r="V294" s="38">
        <f t="shared" si="3902"/>
        <v>0</v>
      </c>
      <c r="W294" s="38"/>
      <c r="X294" s="38">
        <f t="shared" ref="X294" si="3903">TRUNC($M294 * W294,2)</f>
        <v>0</v>
      </c>
      <c r="Y294" s="38"/>
      <c r="Z294" s="38">
        <f t="shared" ref="Z294" si="3904">TRUNC($M294 * Y294,2)</f>
        <v>0</v>
      </c>
      <c r="AA294" s="38"/>
      <c r="AB294" s="38">
        <f t="shared" ref="AB294" si="3905">TRUNC($M294 * AA294,2)</f>
        <v>0</v>
      </c>
      <c r="AC294" s="38"/>
      <c r="AD294" s="38">
        <f t="shared" ref="AD294" si="3906">TRUNC($M294 * AC294,2)</f>
        <v>0</v>
      </c>
      <c r="AE294" s="38"/>
      <c r="AF294" s="38">
        <f t="shared" ref="AF294" si="3907">TRUNC($M294 * AE294,2)</f>
        <v>0</v>
      </c>
      <c r="AG294" s="38"/>
      <c r="AH294" s="38">
        <f t="shared" ref="AH294" si="3908">TRUNC($M294 * AG294,2)</f>
        <v>0</v>
      </c>
      <c r="AI294" s="38"/>
      <c r="AJ294" s="38">
        <f t="shared" ref="AJ294" si="3909">TRUNC($M294 * AI294,2)</f>
        <v>0</v>
      </c>
      <c r="AK294" s="38"/>
      <c r="AL294" s="38">
        <f t="shared" ref="AL294" si="3910">TRUNC($M294 * AK294,2)</f>
        <v>0</v>
      </c>
      <c r="AM294" s="38"/>
      <c r="AN294" s="38">
        <f t="shared" ref="AN294" si="3911">TRUNC($M294 * AM294,2)</f>
        <v>0</v>
      </c>
      <c r="AO294" s="38"/>
      <c r="AP294" s="38">
        <f t="shared" ref="AP294" si="3912">TRUNC($M294 * AO294,2)</f>
        <v>0</v>
      </c>
      <c r="AQ294" s="38"/>
      <c r="AR294" s="38">
        <f t="shared" ref="AR294" si="3913">TRUNC($M294 * AQ294,2)</f>
        <v>0</v>
      </c>
      <c r="AS294" s="38"/>
      <c r="AT294" s="38">
        <f t="shared" ref="AT294" si="3914">TRUNC($M294 * AS294,2)</f>
        <v>0</v>
      </c>
      <c r="AU294" s="38"/>
      <c r="AV294" s="38">
        <f t="shared" ref="AV294" si="3915">TRUNC($M294 * AU294,2)</f>
        <v>0</v>
      </c>
      <c r="AW294" s="38"/>
      <c r="AX294" s="37">
        <f t="shared" ref="AX294" si="3916">TRUNC($M294 * AW294,2)</f>
        <v>0</v>
      </c>
      <c r="AY294" s="36">
        <f t="shared" si="3779"/>
        <v>0</v>
      </c>
      <c r="AZ294" s="38">
        <f t="shared" ref="AZ294" si="3917">TRUNC($M294 * AY294,2)</f>
        <v>0</v>
      </c>
      <c r="BA294" s="38">
        <f t="shared" si="3781"/>
        <v>102</v>
      </c>
      <c r="BB294" s="37">
        <f t="shared" ref="BB294" si="3918">TRUNC($M294 * BA294,2)</f>
        <v>3272.16</v>
      </c>
    </row>
    <row r="295" spans="1:54" ht="24" customHeight="1" x14ac:dyDescent="0.25">
      <c r="A295" s="31" t="s">
        <v>1108</v>
      </c>
      <c r="B295" s="31" t="s">
        <v>624</v>
      </c>
      <c r="C295" s="31" t="s">
        <v>24</v>
      </c>
      <c r="D295" s="31" t="s">
        <v>625</v>
      </c>
      <c r="E295" s="32" t="s">
        <v>171</v>
      </c>
      <c r="F295" s="33">
        <v>1</v>
      </c>
      <c r="G295" s="34">
        <v>422.91</v>
      </c>
      <c r="H295" s="34">
        <f t="shared" si="3759"/>
        <v>389.39</v>
      </c>
      <c r="I295" s="34">
        <f t="shared" si="3760"/>
        <v>389.39</v>
      </c>
      <c r="J295" s="34">
        <f>(TRUNC(H295 * L14,2) + H295)</f>
        <v>468.59</v>
      </c>
      <c r="K295" s="34">
        <f t="shared" si="3350"/>
        <v>468.59</v>
      </c>
      <c r="L295" s="35">
        <f>K295 / L13</f>
        <v>1.6158275862068961E-4</v>
      </c>
      <c r="M295" s="36">
        <v>320.92</v>
      </c>
      <c r="N295" s="37">
        <f t="shared" si="3761"/>
        <v>320.92</v>
      </c>
      <c r="O295" s="36"/>
      <c r="P295" s="38">
        <f t="shared" si="3762"/>
        <v>0</v>
      </c>
      <c r="Q295" s="38"/>
      <c r="R295" s="38">
        <f t="shared" si="3762"/>
        <v>0</v>
      </c>
      <c r="S295" s="38">
        <f t="shared" si="3763"/>
        <v>1</v>
      </c>
      <c r="T295" s="37">
        <f t="shared" ref="T295:V295" si="3919">TRUNC($M295 * S295,2)</f>
        <v>320.92</v>
      </c>
      <c r="U295" s="36"/>
      <c r="V295" s="38">
        <f t="shared" si="3919"/>
        <v>0</v>
      </c>
      <c r="W295" s="38"/>
      <c r="X295" s="38">
        <f t="shared" ref="X295" si="3920">TRUNC($M295 * W295,2)</f>
        <v>0</v>
      </c>
      <c r="Y295" s="38"/>
      <c r="Z295" s="38">
        <f t="shared" ref="Z295" si="3921">TRUNC($M295 * Y295,2)</f>
        <v>0</v>
      </c>
      <c r="AA295" s="38"/>
      <c r="AB295" s="38">
        <f t="shared" ref="AB295" si="3922">TRUNC($M295 * AA295,2)</f>
        <v>0</v>
      </c>
      <c r="AC295" s="38"/>
      <c r="AD295" s="38">
        <f t="shared" ref="AD295" si="3923">TRUNC($M295 * AC295,2)</f>
        <v>0</v>
      </c>
      <c r="AE295" s="38"/>
      <c r="AF295" s="38">
        <f t="shared" ref="AF295" si="3924">TRUNC($M295 * AE295,2)</f>
        <v>0</v>
      </c>
      <c r="AG295" s="38"/>
      <c r="AH295" s="38">
        <f t="shared" ref="AH295" si="3925">TRUNC($M295 * AG295,2)</f>
        <v>0</v>
      </c>
      <c r="AI295" s="38"/>
      <c r="AJ295" s="38">
        <f t="shared" ref="AJ295" si="3926">TRUNC($M295 * AI295,2)</f>
        <v>0</v>
      </c>
      <c r="AK295" s="38"/>
      <c r="AL295" s="38">
        <f t="shared" ref="AL295" si="3927">TRUNC($M295 * AK295,2)</f>
        <v>0</v>
      </c>
      <c r="AM295" s="38"/>
      <c r="AN295" s="38">
        <f t="shared" ref="AN295" si="3928">TRUNC($M295 * AM295,2)</f>
        <v>0</v>
      </c>
      <c r="AO295" s="38"/>
      <c r="AP295" s="38">
        <f t="shared" ref="AP295" si="3929">TRUNC($M295 * AO295,2)</f>
        <v>0</v>
      </c>
      <c r="AQ295" s="38"/>
      <c r="AR295" s="38">
        <f t="shared" ref="AR295" si="3930">TRUNC($M295 * AQ295,2)</f>
        <v>0</v>
      </c>
      <c r="AS295" s="38"/>
      <c r="AT295" s="38">
        <f t="shared" ref="AT295" si="3931">TRUNC($M295 * AS295,2)</f>
        <v>0</v>
      </c>
      <c r="AU295" s="38"/>
      <c r="AV295" s="38">
        <f t="shared" ref="AV295" si="3932">TRUNC($M295 * AU295,2)</f>
        <v>0</v>
      </c>
      <c r="AW295" s="38"/>
      <c r="AX295" s="37">
        <f t="shared" ref="AX295" si="3933">TRUNC($M295 * AW295,2)</f>
        <v>0</v>
      </c>
      <c r="AY295" s="36">
        <f t="shared" si="3779"/>
        <v>0</v>
      </c>
      <c r="AZ295" s="38">
        <f t="shared" ref="AZ295" si="3934">TRUNC($M295 * AY295,2)</f>
        <v>0</v>
      </c>
      <c r="BA295" s="38">
        <f t="shared" si="3781"/>
        <v>1</v>
      </c>
      <c r="BB295" s="37">
        <f t="shared" ref="BB295" si="3935">TRUNC($M295 * BA295,2)</f>
        <v>320.92</v>
      </c>
    </row>
    <row r="296" spans="1:54" ht="24" customHeight="1" x14ac:dyDescent="0.25">
      <c r="A296" s="4" t="s">
        <v>1109</v>
      </c>
      <c r="B296" s="4" t="s">
        <v>12</v>
      </c>
      <c r="C296" s="4"/>
      <c r="D296" s="4" t="s">
        <v>626</v>
      </c>
      <c r="E296" s="5"/>
      <c r="F296" s="14"/>
      <c r="G296" s="6"/>
      <c r="H296" s="6"/>
      <c r="I296" s="7">
        <f>SUM(I297:I317)</f>
        <v>31121.960000000003</v>
      </c>
      <c r="J296" s="7"/>
      <c r="K296" s="7">
        <f>SUM(K297:K317)</f>
        <v>37449.530000000006</v>
      </c>
      <c r="L296" s="22">
        <f>K296 / L13</f>
        <v>1.2913631034482759E-2</v>
      </c>
      <c r="M296" s="25"/>
      <c r="N296" s="26">
        <f>SUM(N297:N317)</f>
        <v>30339.190000000002</v>
      </c>
      <c r="O296" s="25"/>
      <c r="P296" s="30">
        <f>SUM(P297:P317)</f>
        <v>0</v>
      </c>
      <c r="Q296" s="30"/>
      <c r="R296" s="30">
        <f>SUM(R297:R317)</f>
        <v>0</v>
      </c>
      <c r="S296" s="30"/>
      <c r="T296" s="26">
        <f>SUM(T297:T317)</f>
        <v>30339.190000000002</v>
      </c>
      <c r="U296" s="25"/>
      <c r="V296" s="30">
        <f>SUM(V297:V317)</f>
        <v>0</v>
      </c>
      <c r="W296" s="30"/>
      <c r="X296" s="30">
        <f>SUM(X297:X317)</f>
        <v>0</v>
      </c>
      <c r="Y296" s="30"/>
      <c r="Z296" s="30">
        <f>SUM(Z297:Z317)</f>
        <v>0</v>
      </c>
      <c r="AA296" s="30"/>
      <c r="AB296" s="30">
        <f>SUM(AB297:AB317)</f>
        <v>0</v>
      </c>
      <c r="AC296" s="30"/>
      <c r="AD296" s="30">
        <f>SUM(AD297:AD317)</f>
        <v>0</v>
      </c>
      <c r="AE296" s="30"/>
      <c r="AF296" s="30">
        <f>SUM(AF297:AF317)</f>
        <v>0</v>
      </c>
      <c r="AG296" s="30"/>
      <c r="AH296" s="30">
        <f>SUM(AH297:AH317)</f>
        <v>0</v>
      </c>
      <c r="AI296" s="30"/>
      <c r="AJ296" s="30">
        <f>SUM(AJ297:AJ317)</f>
        <v>0</v>
      </c>
      <c r="AK296" s="30"/>
      <c r="AL296" s="30">
        <f>SUM(AL297:AL317)</f>
        <v>0</v>
      </c>
      <c r="AM296" s="30"/>
      <c r="AN296" s="30">
        <f>SUM(AN297:AN317)</f>
        <v>0</v>
      </c>
      <c r="AO296" s="30"/>
      <c r="AP296" s="30">
        <f>SUM(AP297:AP317)</f>
        <v>0</v>
      </c>
      <c r="AQ296" s="30"/>
      <c r="AR296" s="30">
        <f>SUM(AR297:AR317)</f>
        <v>0</v>
      </c>
      <c r="AS296" s="30"/>
      <c r="AT296" s="30">
        <f>SUM(AT297:AT317)</f>
        <v>0</v>
      </c>
      <c r="AU296" s="30"/>
      <c r="AV296" s="30">
        <f>SUM(AV297:AV317)</f>
        <v>0</v>
      </c>
      <c r="AW296" s="30"/>
      <c r="AX296" s="26">
        <f>SUM(AX297:AX317)</f>
        <v>0</v>
      </c>
      <c r="AY296" s="25"/>
      <c r="AZ296" s="30">
        <f>SUM(AZ297:AZ317)</f>
        <v>0</v>
      </c>
      <c r="BA296" s="30"/>
      <c r="BB296" s="26">
        <f>SUM(BB297:BB317)</f>
        <v>30339.190000000002</v>
      </c>
    </row>
    <row r="297" spans="1:54" ht="39" customHeight="1" x14ac:dyDescent="0.25">
      <c r="A297" s="31" t="s">
        <v>1110</v>
      </c>
      <c r="B297" s="31" t="s">
        <v>627</v>
      </c>
      <c r="C297" s="31" t="s">
        <v>24</v>
      </c>
      <c r="D297" s="31" t="s">
        <v>628</v>
      </c>
      <c r="E297" s="32" t="s">
        <v>171</v>
      </c>
      <c r="F297" s="33">
        <v>4</v>
      </c>
      <c r="G297" s="34">
        <v>542.63</v>
      </c>
      <c r="H297" s="34">
        <f t="shared" si="3759"/>
        <v>499.62</v>
      </c>
      <c r="I297" s="34">
        <f t="shared" si="3760"/>
        <v>1998.48</v>
      </c>
      <c r="J297" s="34">
        <f>(TRUNC(H297 * L14,2) + H297)</f>
        <v>601.24</v>
      </c>
      <c r="K297" s="34">
        <f t="shared" ref="K297:K317" si="3936">TRUNC(F297 * J297,2)</f>
        <v>2404.96</v>
      </c>
      <c r="L297" s="35">
        <f>K297 / L13</f>
        <v>8.2929655172413782E-4</v>
      </c>
      <c r="M297" s="36">
        <v>461.93</v>
      </c>
      <c r="N297" s="37">
        <f t="shared" si="3761"/>
        <v>1847.72</v>
      </c>
      <c r="O297" s="36"/>
      <c r="P297" s="38">
        <f t="shared" si="3762"/>
        <v>0</v>
      </c>
      <c r="Q297" s="38"/>
      <c r="R297" s="38">
        <f t="shared" si="3762"/>
        <v>0</v>
      </c>
      <c r="S297" s="38">
        <f t="shared" si="3763"/>
        <v>4</v>
      </c>
      <c r="T297" s="37">
        <f t="shared" ref="T297:V297" si="3937">TRUNC($M297 * S297,2)</f>
        <v>1847.72</v>
      </c>
      <c r="U297" s="36"/>
      <c r="V297" s="38">
        <f t="shared" si="3937"/>
        <v>0</v>
      </c>
      <c r="W297" s="38"/>
      <c r="X297" s="38">
        <f t="shared" ref="X297" si="3938">TRUNC($M297 * W297,2)</f>
        <v>0</v>
      </c>
      <c r="Y297" s="38"/>
      <c r="Z297" s="38">
        <f t="shared" ref="Z297" si="3939">TRUNC($M297 * Y297,2)</f>
        <v>0</v>
      </c>
      <c r="AA297" s="38"/>
      <c r="AB297" s="38">
        <f t="shared" ref="AB297" si="3940">TRUNC($M297 * AA297,2)</f>
        <v>0</v>
      </c>
      <c r="AC297" s="38"/>
      <c r="AD297" s="38">
        <f t="shared" ref="AD297" si="3941">TRUNC($M297 * AC297,2)</f>
        <v>0</v>
      </c>
      <c r="AE297" s="38"/>
      <c r="AF297" s="38">
        <f t="shared" ref="AF297" si="3942">TRUNC($M297 * AE297,2)</f>
        <v>0</v>
      </c>
      <c r="AG297" s="38"/>
      <c r="AH297" s="38">
        <f t="shared" ref="AH297" si="3943">TRUNC($M297 * AG297,2)</f>
        <v>0</v>
      </c>
      <c r="AI297" s="38"/>
      <c r="AJ297" s="38">
        <f t="shared" ref="AJ297" si="3944">TRUNC($M297 * AI297,2)</f>
        <v>0</v>
      </c>
      <c r="AK297" s="38"/>
      <c r="AL297" s="38">
        <f t="shared" ref="AL297" si="3945">TRUNC($M297 * AK297,2)</f>
        <v>0</v>
      </c>
      <c r="AM297" s="38"/>
      <c r="AN297" s="38">
        <f t="shared" ref="AN297" si="3946">TRUNC($M297 * AM297,2)</f>
        <v>0</v>
      </c>
      <c r="AO297" s="38"/>
      <c r="AP297" s="38">
        <f t="shared" ref="AP297" si="3947">TRUNC($M297 * AO297,2)</f>
        <v>0</v>
      </c>
      <c r="AQ297" s="38"/>
      <c r="AR297" s="38">
        <f t="shared" ref="AR297" si="3948">TRUNC($M297 * AQ297,2)</f>
        <v>0</v>
      </c>
      <c r="AS297" s="38"/>
      <c r="AT297" s="38">
        <f t="shared" ref="AT297" si="3949">TRUNC($M297 * AS297,2)</f>
        <v>0</v>
      </c>
      <c r="AU297" s="38"/>
      <c r="AV297" s="38">
        <f t="shared" ref="AV297" si="3950">TRUNC($M297 * AU297,2)</f>
        <v>0</v>
      </c>
      <c r="AW297" s="38"/>
      <c r="AX297" s="37">
        <f t="shared" ref="AX297" si="3951">TRUNC($M297 * AW297,2)</f>
        <v>0</v>
      </c>
      <c r="AY297" s="36">
        <f t="shared" si="3779"/>
        <v>0</v>
      </c>
      <c r="AZ297" s="38">
        <f t="shared" ref="AZ297" si="3952">TRUNC($M297 * AY297,2)</f>
        <v>0</v>
      </c>
      <c r="BA297" s="38">
        <f t="shared" si="3781"/>
        <v>4</v>
      </c>
      <c r="BB297" s="37">
        <f t="shared" ref="BB297" si="3953">TRUNC($M297 * BA297,2)</f>
        <v>1847.72</v>
      </c>
    </row>
    <row r="298" spans="1:54" ht="39" customHeight="1" x14ac:dyDescent="0.25">
      <c r="A298" s="31" t="s">
        <v>1111</v>
      </c>
      <c r="B298" s="31" t="s">
        <v>629</v>
      </c>
      <c r="C298" s="31" t="s">
        <v>34</v>
      </c>
      <c r="D298" s="31" t="s">
        <v>630</v>
      </c>
      <c r="E298" s="32" t="s">
        <v>36</v>
      </c>
      <c r="F298" s="33">
        <v>1</v>
      </c>
      <c r="G298" s="34">
        <v>2432.31</v>
      </c>
      <c r="H298" s="34">
        <f t="shared" si="3759"/>
        <v>2239.52</v>
      </c>
      <c r="I298" s="34">
        <f t="shared" si="3760"/>
        <v>2239.52</v>
      </c>
      <c r="J298" s="34">
        <f>(TRUNC(H298 * L14,2) + H298)</f>
        <v>2695.0299999999997</v>
      </c>
      <c r="K298" s="34">
        <f t="shared" si="3936"/>
        <v>2695.03</v>
      </c>
      <c r="L298" s="35">
        <f>K298 / L13</f>
        <v>9.2932068965517235E-4</v>
      </c>
      <c r="M298" s="36">
        <v>2069.21</v>
      </c>
      <c r="N298" s="37">
        <f t="shared" si="3761"/>
        <v>2069.21</v>
      </c>
      <c r="O298" s="36"/>
      <c r="P298" s="38">
        <f t="shared" si="3762"/>
        <v>0</v>
      </c>
      <c r="Q298" s="38"/>
      <c r="R298" s="38">
        <f t="shared" si="3762"/>
        <v>0</v>
      </c>
      <c r="S298" s="38">
        <f t="shared" si="3763"/>
        <v>1</v>
      </c>
      <c r="T298" s="37">
        <f t="shared" ref="T298:V298" si="3954">TRUNC($M298 * S298,2)</f>
        <v>2069.21</v>
      </c>
      <c r="U298" s="36"/>
      <c r="V298" s="38">
        <f t="shared" si="3954"/>
        <v>0</v>
      </c>
      <c r="W298" s="38"/>
      <c r="X298" s="38">
        <f t="shared" ref="X298" si="3955">TRUNC($M298 * W298,2)</f>
        <v>0</v>
      </c>
      <c r="Y298" s="38"/>
      <c r="Z298" s="38">
        <f t="shared" ref="Z298" si="3956">TRUNC($M298 * Y298,2)</f>
        <v>0</v>
      </c>
      <c r="AA298" s="38"/>
      <c r="AB298" s="38">
        <f t="shared" ref="AB298" si="3957">TRUNC($M298 * AA298,2)</f>
        <v>0</v>
      </c>
      <c r="AC298" s="38"/>
      <c r="AD298" s="38">
        <f t="shared" ref="AD298" si="3958">TRUNC($M298 * AC298,2)</f>
        <v>0</v>
      </c>
      <c r="AE298" s="38"/>
      <c r="AF298" s="38">
        <f t="shared" ref="AF298" si="3959">TRUNC($M298 * AE298,2)</f>
        <v>0</v>
      </c>
      <c r="AG298" s="38"/>
      <c r="AH298" s="38">
        <f t="shared" ref="AH298" si="3960">TRUNC($M298 * AG298,2)</f>
        <v>0</v>
      </c>
      <c r="AI298" s="38"/>
      <c r="AJ298" s="38">
        <f t="shared" ref="AJ298" si="3961">TRUNC($M298 * AI298,2)</f>
        <v>0</v>
      </c>
      <c r="AK298" s="38"/>
      <c r="AL298" s="38">
        <f t="shared" ref="AL298" si="3962">TRUNC($M298 * AK298,2)</f>
        <v>0</v>
      </c>
      <c r="AM298" s="38"/>
      <c r="AN298" s="38">
        <f t="shared" ref="AN298" si="3963">TRUNC($M298 * AM298,2)</f>
        <v>0</v>
      </c>
      <c r="AO298" s="38"/>
      <c r="AP298" s="38">
        <f t="shared" ref="AP298" si="3964">TRUNC($M298 * AO298,2)</f>
        <v>0</v>
      </c>
      <c r="AQ298" s="38"/>
      <c r="AR298" s="38">
        <f t="shared" ref="AR298" si="3965">TRUNC($M298 * AQ298,2)</f>
        <v>0</v>
      </c>
      <c r="AS298" s="38"/>
      <c r="AT298" s="38">
        <f t="shared" ref="AT298" si="3966">TRUNC($M298 * AS298,2)</f>
        <v>0</v>
      </c>
      <c r="AU298" s="38"/>
      <c r="AV298" s="38">
        <f t="shared" ref="AV298" si="3967">TRUNC($M298 * AU298,2)</f>
        <v>0</v>
      </c>
      <c r="AW298" s="38"/>
      <c r="AX298" s="37">
        <f t="shared" ref="AX298" si="3968">TRUNC($M298 * AW298,2)</f>
        <v>0</v>
      </c>
      <c r="AY298" s="36">
        <f t="shared" si="3779"/>
        <v>0</v>
      </c>
      <c r="AZ298" s="38">
        <f t="shared" ref="AZ298" si="3969">TRUNC($M298 * AY298,2)</f>
        <v>0</v>
      </c>
      <c r="BA298" s="38">
        <f t="shared" si="3781"/>
        <v>1</v>
      </c>
      <c r="BB298" s="37">
        <f t="shared" ref="BB298" si="3970">TRUNC($M298 * BA298,2)</f>
        <v>2069.21</v>
      </c>
    </row>
    <row r="299" spans="1:54" ht="24" customHeight="1" x14ac:dyDescent="0.25">
      <c r="A299" s="31" t="s">
        <v>1112</v>
      </c>
      <c r="B299" s="31" t="s">
        <v>631</v>
      </c>
      <c r="C299" s="31" t="s">
        <v>245</v>
      </c>
      <c r="D299" s="31" t="s">
        <v>632</v>
      </c>
      <c r="E299" s="32" t="s">
        <v>36</v>
      </c>
      <c r="F299" s="33">
        <v>8</v>
      </c>
      <c r="G299" s="34">
        <v>72.36</v>
      </c>
      <c r="H299" s="34">
        <f t="shared" si="3759"/>
        <v>66.62</v>
      </c>
      <c r="I299" s="34">
        <f t="shared" si="3760"/>
        <v>532.96</v>
      </c>
      <c r="J299" s="34">
        <f>(TRUNC(H299 * L14,2) + H299)</f>
        <v>80.17</v>
      </c>
      <c r="K299" s="34">
        <f t="shared" si="3936"/>
        <v>641.36</v>
      </c>
      <c r="L299" s="35">
        <f>K299 / L13</f>
        <v>2.2115862068965514E-4</v>
      </c>
      <c r="M299" s="36">
        <v>15.11</v>
      </c>
      <c r="N299" s="37">
        <f t="shared" si="3761"/>
        <v>120.88</v>
      </c>
      <c r="O299" s="36"/>
      <c r="P299" s="38">
        <f t="shared" si="3762"/>
        <v>0</v>
      </c>
      <c r="Q299" s="38"/>
      <c r="R299" s="38">
        <f t="shared" si="3762"/>
        <v>0</v>
      </c>
      <c r="S299" s="38">
        <f t="shared" si="3763"/>
        <v>8</v>
      </c>
      <c r="T299" s="37">
        <f t="shared" ref="T299:V299" si="3971">TRUNC($M299 * S299,2)</f>
        <v>120.88</v>
      </c>
      <c r="U299" s="36"/>
      <c r="V299" s="38">
        <f t="shared" si="3971"/>
        <v>0</v>
      </c>
      <c r="W299" s="38"/>
      <c r="X299" s="38">
        <f t="shared" ref="X299" si="3972">TRUNC($M299 * W299,2)</f>
        <v>0</v>
      </c>
      <c r="Y299" s="38"/>
      <c r="Z299" s="38">
        <f t="shared" ref="Z299" si="3973">TRUNC($M299 * Y299,2)</f>
        <v>0</v>
      </c>
      <c r="AA299" s="38"/>
      <c r="AB299" s="38">
        <f t="shared" ref="AB299" si="3974">TRUNC($M299 * AA299,2)</f>
        <v>0</v>
      </c>
      <c r="AC299" s="38"/>
      <c r="AD299" s="38">
        <f t="shared" ref="AD299" si="3975">TRUNC($M299 * AC299,2)</f>
        <v>0</v>
      </c>
      <c r="AE299" s="38"/>
      <c r="AF299" s="38">
        <f t="shared" ref="AF299" si="3976">TRUNC($M299 * AE299,2)</f>
        <v>0</v>
      </c>
      <c r="AG299" s="38"/>
      <c r="AH299" s="38">
        <f t="shared" ref="AH299" si="3977">TRUNC($M299 * AG299,2)</f>
        <v>0</v>
      </c>
      <c r="AI299" s="38"/>
      <c r="AJ299" s="38">
        <f t="shared" ref="AJ299" si="3978">TRUNC($M299 * AI299,2)</f>
        <v>0</v>
      </c>
      <c r="AK299" s="38"/>
      <c r="AL299" s="38">
        <f t="shared" ref="AL299" si="3979">TRUNC($M299 * AK299,2)</f>
        <v>0</v>
      </c>
      <c r="AM299" s="38"/>
      <c r="AN299" s="38">
        <f t="shared" ref="AN299" si="3980">TRUNC($M299 * AM299,2)</f>
        <v>0</v>
      </c>
      <c r="AO299" s="38"/>
      <c r="AP299" s="38">
        <f t="shared" ref="AP299" si="3981">TRUNC($M299 * AO299,2)</f>
        <v>0</v>
      </c>
      <c r="AQ299" s="38"/>
      <c r="AR299" s="38">
        <f t="shared" ref="AR299" si="3982">TRUNC($M299 * AQ299,2)</f>
        <v>0</v>
      </c>
      <c r="AS299" s="38"/>
      <c r="AT299" s="38">
        <f t="shared" ref="AT299" si="3983">TRUNC($M299 * AS299,2)</f>
        <v>0</v>
      </c>
      <c r="AU299" s="38"/>
      <c r="AV299" s="38">
        <f t="shared" ref="AV299" si="3984">TRUNC($M299 * AU299,2)</f>
        <v>0</v>
      </c>
      <c r="AW299" s="38"/>
      <c r="AX299" s="37">
        <f t="shared" ref="AX299" si="3985">TRUNC($M299 * AW299,2)</f>
        <v>0</v>
      </c>
      <c r="AY299" s="36">
        <f t="shared" si="3779"/>
        <v>0</v>
      </c>
      <c r="AZ299" s="38">
        <f t="shared" ref="AZ299" si="3986">TRUNC($M299 * AY299,2)</f>
        <v>0</v>
      </c>
      <c r="BA299" s="38">
        <f t="shared" si="3781"/>
        <v>8</v>
      </c>
      <c r="BB299" s="37">
        <f t="shared" ref="BB299" si="3987">TRUNC($M299 * BA299,2)</f>
        <v>120.88</v>
      </c>
    </row>
    <row r="300" spans="1:54" ht="39" customHeight="1" x14ac:dyDescent="0.25">
      <c r="A300" s="31" t="s">
        <v>1113</v>
      </c>
      <c r="B300" s="31" t="s">
        <v>576</v>
      </c>
      <c r="C300" s="31" t="s">
        <v>34</v>
      </c>
      <c r="D300" s="31" t="s">
        <v>577</v>
      </c>
      <c r="E300" s="32" t="s">
        <v>36</v>
      </c>
      <c r="F300" s="33">
        <v>4</v>
      </c>
      <c r="G300" s="34">
        <v>71.64</v>
      </c>
      <c r="H300" s="34">
        <f t="shared" si="3759"/>
        <v>65.959999999999994</v>
      </c>
      <c r="I300" s="34">
        <f t="shared" si="3760"/>
        <v>263.83999999999997</v>
      </c>
      <c r="J300" s="34">
        <f>(TRUNC(H300 * L14,2) + H300)</f>
        <v>79.36999999999999</v>
      </c>
      <c r="K300" s="34">
        <f t="shared" si="3936"/>
        <v>317.48</v>
      </c>
      <c r="L300" s="35">
        <f>K300 / L13</f>
        <v>1.0947586206896551E-4</v>
      </c>
      <c r="M300" s="36">
        <v>53.62</v>
      </c>
      <c r="N300" s="37">
        <f t="shared" si="3761"/>
        <v>214.48</v>
      </c>
      <c r="O300" s="36"/>
      <c r="P300" s="38">
        <f t="shared" si="3762"/>
        <v>0</v>
      </c>
      <c r="Q300" s="38"/>
      <c r="R300" s="38">
        <f t="shared" si="3762"/>
        <v>0</v>
      </c>
      <c r="S300" s="38">
        <f t="shared" si="3763"/>
        <v>4</v>
      </c>
      <c r="T300" s="37">
        <f t="shared" ref="T300:V300" si="3988">TRUNC($M300 * S300,2)</f>
        <v>214.48</v>
      </c>
      <c r="U300" s="36"/>
      <c r="V300" s="38">
        <f t="shared" si="3988"/>
        <v>0</v>
      </c>
      <c r="W300" s="38"/>
      <c r="X300" s="38">
        <f t="shared" ref="X300" si="3989">TRUNC($M300 * W300,2)</f>
        <v>0</v>
      </c>
      <c r="Y300" s="38"/>
      <c r="Z300" s="38">
        <f t="shared" ref="Z300" si="3990">TRUNC($M300 * Y300,2)</f>
        <v>0</v>
      </c>
      <c r="AA300" s="38"/>
      <c r="AB300" s="38">
        <f t="shared" ref="AB300" si="3991">TRUNC($M300 * AA300,2)</f>
        <v>0</v>
      </c>
      <c r="AC300" s="38"/>
      <c r="AD300" s="38">
        <f t="shared" ref="AD300" si="3992">TRUNC($M300 * AC300,2)</f>
        <v>0</v>
      </c>
      <c r="AE300" s="38"/>
      <c r="AF300" s="38">
        <f t="shared" ref="AF300" si="3993">TRUNC($M300 * AE300,2)</f>
        <v>0</v>
      </c>
      <c r="AG300" s="38"/>
      <c r="AH300" s="38">
        <f t="shared" ref="AH300" si="3994">TRUNC($M300 * AG300,2)</f>
        <v>0</v>
      </c>
      <c r="AI300" s="38"/>
      <c r="AJ300" s="38">
        <f t="shared" ref="AJ300" si="3995">TRUNC($M300 * AI300,2)</f>
        <v>0</v>
      </c>
      <c r="AK300" s="38"/>
      <c r="AL300" s="38">
        <f t="shared" ref="AL300" si="3996">TRUNC($M300 * AK300,2)</f>
        <v>0</v>
      </c>
      <c r="AM300" s="38"/>
      <c r="AN300" s="38">
        <f t="shared" ref="AN300" si="3997">TRUNC($M300 * AM300,2)</f>
        <v>0</v>
      </c>
      <c r="AO300" s="38"/>
      <c r="AP300" s="38">
        <f t="shared" ref="AP300" si="3998">TRUNC($M300 * AO300,2)</f>
        <v>0</v>
      </c>
      <c r="AQ300" s="38"/>
      <c r="AR300" s="38">
        <f t="shared" ref="AR300" si="3999">TRUNC($M300 * AQ300,2)</f>
        <v>0</v>
      </c>
      <c r="AS300" s="38"/>
      <c r="AT300" s="38">
        <f t="shared" ref="AT300" si="4000">TRUNC($M300 * AS300,2)</f>
        <v>0</v>
      </c>
      <c r="AU300" s="38"/>
      <c r="AV300" s="38">
        <f t="shared" ref="AV300" si="4001">TRUNC($M300 * AU300,2)</f>
        <v>0</v>
      </c>
      <c r="AW300" s="38"/>
      <c r="AX300" s="37">
        <f t="shared" ref="AX300" si="4002">TRUNC($M300 * AW300,2)</f>
        <v>0</v>
      </c>
      <c r="AY300" s="36">
        <f t="shared" si="3779"/>
        <v>0</v>
      </c>
      <c r="AZ300" s="38">
        <f t="shared" ref="AZ300" si="4003">TRUNC($M300 * AY300,2)</f>
        <v>0</v>
      </c>
      <c r="BA300" s="38">
        <f t="shared" si="3781"/>
        <v>4</v>
      </c>
      <c r="BB300" s="37">
        <f t="shared" ref="BB300" si="4004">TRUNC($M300 * BA300,2)</f>
        <v>214.48</v>
      </c>
    </row>
    <row r="301" spans="1:54" ht="51.9" customHeight="1" x14ac:dyDescent="0.25">
      <c r="A301" s="31" t="s">
        <v>1114</v>
      </c>
      <c r="B301" s="31" t="s">
        <v>578</v>
      </c>
      <c r="C301" s="31" t="s">
        <v>34</v>
      </c>
      <c r="D301" s="31" t="s">
        <v>579</v>
      </c>
      <c r="E301" s="32" t="s">
        <v>36</v>
      </c>
      <c r="F301" s="33">
        <v>13</v>
      </c>
      <c r="G301" s="34">
        <v>46.19</v>
      </c>
      <c r="H301" s="34">
        <f t="shared" si="3759"/>
        <v>42.52</v>
      </c>
      <c r="I301" s="34">
        <f t="shared" si="3760"/>
        <v>552.76</v>
      </c>
      <c r="J301" s="34">
        <f>(TRUNC(H301 * L14,2) + H301)</f>
        <v>51.160000000000004</v>
      </c>
      <c r="K301" s="34">
        <f t="shared" si="3936"/>
        <v>665.08</v>
      </c>
      <c r="L301" s="35">
        <f>K301 / L13</f>
        <v>2.2933793103448275E-4</v>
      </c>
      <c r="M301" s="36">
        <v>37.69</v>
      </c>
      <c r="N301" s="37">
        <f t="shared" si="3761"/>
        <v>489.97</v>
      </c>
      <c r="O301" s="36"/>
      <c r="P301" s="38">
        <f t="shared" si="3762"/>
        <v>0</v>
      </c>
      <c r="Q301" s="38"/>
      <c r="R301" s="38">
        <f t="shared" si="3762"/>
        <v>0</v>
      </c>
      <c r="S301" s="38">
        <f t="shared" si="3763"/>
        <v>13</v>
      </c>
      <c r="T301" s="37">
        <f t="shared" ref="T301:V301" si="4005">TRUNC($M301 * S301,2)</f>
        <v>489.97</v>
      </c>
      <c r="U301" s="36"/>
      <c r="V301" s="38">
        <f t="shared" si="4005"/>
        <v>0</v>
      </c>
      <c r="W301" s="38"/>
      <c r="X301" s="38">
        <f t="shared" ref="X301" si="4006">TRUNC($M301 * W301,2)</f>
        <v>0</v>
      </c>
      <c r="Y301" s="38"/>
      <c r="Z301" s="38">
        <f t="shared" ref="Z301" si="4007">TRUNC($M301 * Y301,2)</f>
        <v>0</v>
      </c>
      <c r="AA301" s="38"/>
      <c r="AB301" s="38">
        <f t="shared" ref="AB301" si="4008">TRUNC($M301 * AA301,2)</f>
        <v>0</v>
      </c>
      <c r="AC301" s="38"/>
      <c r="AD301" s="38">
        <f t="shared" ref="AD301" si="4009">TRUNC($M301 * AC301,2)</f>
        <v>0</v>
      </c>
      <c r="AE301" s="38"/>
      <c r="AF301" s="38">
        <f t="shared" ref="AF301" si="4010">TRUNC($M301 * AE301,2)</f>
        <v>0</v>
      </c>
      <c r="AG301" s="38"/>
      <c r="AH301" s="38">
        <f t="shared" ref="AH301" si="4011">TRUNC($M301 * AG301,2)</f>
        <v>0</v>
      </c>
      <c r="AI301" s="38"/>
      <c r="AJ301" s="38">
        <f t="shared" ref="AJ301" si="4012">TRUNC($M301 * AI301,2)</f>
        <v>0</v>
      </c>
      <c r="AK301" s="38"/>
      <c r="AL301" s="38">
        <f t="shared" ref="AL301" si="4013">TRUNC($M301 * AK301,2)</f>
        <v>0</v>
      </c>
      <c r="AM301" s="38"/>
      <c r="AN301" s="38">
        <f t="shared" ref="AN301" si="4014">TRUNC($M301 * AM301,2)</f>
        <v>0</v>
      </c>
      <c r="AO301" s="38"/>
      <c r="AP301" s="38">
        <f t="shared" ref="AP301" si="4015">TRUNC($M301 * AO301,2)</f>
        <v>0</v>
      </c>
      <c r="AQ301" s="38"/>
      <c r="AR301" s="38">
        <f t="shared" ref="AR301" si="4016">TRUNC($M301 * AQ301,2)</f>
        <v>0</v>
      </c>
      <c r="AS301" s="38"/>
      <c r="AT301" s="38">
        <f t="shared" ref="AT301" si="4017">TRUNC($M301 * AS301,2)</f>
        <v>0</v>
      </c>
      <c r="AU301" s="38"/>
      <c r="AV301" s="38">
        <f t="shared" ref="AV301" si="4018">TRUNC($M301 * AU301,2)</f>
        <v>0</v>
      </c>
      <c r="AW301" s="38"/>
      <c r="AX301" s="37">
        <f t="shared" ref="AX301" si="4019">TRUNC($M301 * AW301,2)</f>
        <v>0</v>
      </c>
      <c r="AY301" s="36">
        <f t="shared" si="3779"/>
        <v>0</v>
      </c>
      <c r="AZ301" s="38">
        <f t="shared" ref="AZ301" si="4020">TRUNC($M301 * AY301,2)</f>
        <v>0</v>
      </c>
      <c r="BA301" s="38">
        <f t="shared" si="3781"/>
        <v>13</v>
      </c>
      <c r="BB301" s="37">
        <f t="shared" ref="BB301" si="4021">TRUNC($M301 * BA301,2)</f>
        <v>489.97</v>
      </c>
    </row>
    <row r="302" spans="1:54" ht="39" customHeight="1" x14ac:dyDescent="0.25">
      <c r="A302" s="31" t="s">
        <v>1115</v>
      </c>
      <c r="B302" s="31" t="s">
        <v>606</v>
      </c>
      <c r="C302" s="31" t="s">
        <v>19</v>
      </c>
      <c r="D302" s="31" t="s">
        <v>607</v>
      </c>
      <c r="E302" s="32" t="s">
        <v>69</v>
      </c>
      <c r="F302" s="33">
        <v>21.7</v>
      </c>
      <c r="G302" s="34">
        <v>100.87</v>
      </c>
      <c r="H302" s="34">
        <f t="shared" si="3759"/>
        <v>92.87</v>
      </c>
      <c r="I302" s="34">
        <f t="shared" si="3760"/>
        <v>2015.27</v>
      </c>
      <c r="J302" s="34">
        <f>(TRUNC(H302 * L14,2) + H302)</f>
        <v>111.75</v>
      </c>
      <c r="K302" s="34">
        <f t="shared" si="3936"/>
        <v>2424.9699999999998</v>
      </c>
      <c r="L302" s="35">
        <f>K302 / L13</f>
        <v>8.3619655172413772E-4</v>
      </c>
      <c r="M302" s="36">
        <v>96.59</v>
      </c>
      <c r="N302" s="37">
        <f t="shared" si="3761"/>
        <v>2096</v>
      </c>
      <c r="O302" s="36"/>
      <c r="P302" s="38">
        <f t="shared" si="3762"/>
        <v>0</v>
      </c>
      <c r="Q302" s="38"/>
      <c r="R302" s="38">
        <f t="shared" si="3762"/>
        <v>0</v>
      </c>
      <c r="S302" s="38">
        <f t="shared" si="3763"/>
        <v>21.7</v>
      </c>
      <c r="T302" s="37">
        <f t="shared" ref="T302:V302" si="4022">TRUNC($M302 * S302,2)</f>
        <v>2096</v>
      </c>
      <c r="U302" s="36"/>
      <c r="V302" s="38">
        <f t="shared" si="4022"/>
        <v>0</v>
      </c>
      <c r="W302" s="38"/>
      <c r="X302" s="38">
        <f t="shared" ref="X302" si="4023">TRUNC($M302 * W302,2)</f>
        <v>0</v>
      </c>
      <c r="Y302" s="38"/>
      <c r="Z302" s="38">
        <f t="shared" ref="Z302" si="4024">TRUNC($M302 * Y302,2)</f>
        <v>0</v>
      </c>
      <c r="AA302" s="38"/>
      <c r="AB302" s="38">
        <f t="shared" ref="AB302" si="4025">TRUNC($M302 * AA302,2)</f>
        <v>0</v>
      </c>
      <c r="AC302" s="38"/>
      <c r="AD302" s="38">
        <f t="shared" ref="AD302" si="4026">TRUNC($M302 * AC302,2)</f>
        <v>0</v>
      </c>
      <c r="AE302" s="38"/>
      <c r="AF302" s="38">
        <f t="shared" ref="AF302" si="4027">TRUNC($M302 * AE302,2)</f>
        <v>0</v>
      </c>
      <c r="AG302" s="38"/>
      <c r="AH302" s="38">
        <f t="shared" ref="AH302" si="4028">TRUNC($M302 * AG302,2)</f>
        <v>0</v>
      </c>
      <c r="AI302" s="38"/>
      <c r="AJ302" s="38">
        <f t="shared" ref="AJ302" si="4029">TRUNC($M302 * AI302,2)</f>
        <v>0</v>
      </c>
      <c r="AK302" s="38"/>
      <c r="AL302" s="38">
        <f t="shared" ref="AL302" si="4030">TRUNC($M302 * AK302,2)</f>
        <v>0</v>
      </c>
      <c r="AM302" s="38"/>
      <c r="AN302" s="38">
        <f t="shared" ref="AN302" si="4031">TRUNC($M302 * AM302,2)</f>
        <v>0</v>
      </c>
      <c r="AO302" s="38"/>
      <c r="AP302" s="38">
        <f t="shared" ref="AP302" si="4032">TRUNC($M302 * AO302,2)</f>
        <v>0</v>
      </c>
      <c r="AQ302" s="38"/>
      <c r="AR302" s="38">
        <f t="shared" ref="AR302" si="4033">TRUNC($M302 * AQ302,2)</f>
        <v>0</v>
      </c>
      <c r="AS302" s="38"/>
      <c r="AT302" s="38">
        <f t="shared" ref="AT302" si="4034">TRUNC($M302 * AS302,2)</f>
        <v>0</v>
      </c>
      <c r="AU302" s="38"/>
      <c r="AV302" s="38">
        <f t="shared" ref="AV302" si="4035">TRUNC($M302 * AU302,2)</f>
        <v>0</v>
      </c>
      <c r="AW302" s="38"/>
      <c r="AX302" s="37">
        <f t="shared" ref="AX302" si="4036">TRUNC($M302 * AW302,2)</f>
        <v>0</v>
      </c>
      <c r="AY302" s="36">
        <f t="shared" si="3779"/>
        <v>0</v>
      </c>
      <c r="AZ302" s="38">
        <f t="shared" ref="AZ302" si="4037">TRUNC($M302 * AY302,2)</f>
        <v>0</v>
      </c>
      <c r="BA302" s="38">
        <f t="shared" si="3781"/>
        <v>21.7</v>
      </c>
      <c r="BB302" s="37">
        <f t="shared" ref="BB302" si="4038">TRUNC($M302 * BA302,2)</f>
        <v>2096</v>
      </c>
    </row>
    <row r="303" spans="1:54" ht="26.1" customHeight="1" x14ac:dyDescent="0.25">
      <c r="A303" s="31" t="s">
        <v>1116</v>
      </c>
      <c r="B303" s="31" t="s">
        <v>633</v>
      </c>
      <c r="C303" s="31" t="s">
        <v>19</v>
      </c>
      <c r="D303" s="31" t="s">
        <v>634</v>
      </c>
      <c r="E303" s="32" t="s">
        <v>69</v>
      </c>
      <c r="F303" s="33">
        <v>64.7</v>
      </c>
      <c r="G303" s="34">
        <v>44.77</v>
      </c>
      <c r="H303" s="34">
        <f t="shared" si="3759"/>
        <v>41.22</v>
      </c>
      <c r="I303" s="34">
        <f t="shared" si="3760"/>
        <v>2666.93</v>
      </c>
      <c r="J303" s="34">
        <f>(TRUNC(H303 * L14,2) + H303)</f>
        <v>49.6</v>
      </c>
      <c r="K303" s="34">
        <f t="shared" si="3936"/>
        <v>3209.12</v>
      </c>
      <c r="L303" s="35">
        <f>K303 / L13</f>
        <v>1.1065931034482757E-3</v>
      </c>
      <c r="M303" s="36">
        <v>39.74</v>
      </c>
      <c r="N303" s="37">
        <f t="shared" si="3761"/>
        <v>2571.17</v>
      </c>
      <c r="O303" s="36"/>
      <c r="P303" s="38">
        <f t="shared" si="3762"/>
        <v>0</v>
      </c>
      <c r="Q303" s="38"/>
      <c r="R303" s="38">
        <f t="shared" si="3762"/>
        <v>0</v>
      </c>
      <c r="S303" s="38">
        <f t="shared" si="3763"/>
        <v>64.7</v>
      </c>
      <c r="T303" s="37">
        <f t="shared" ref="T303:V303" si="4039">TRUNC($M303 * S303,2)</f>
        <v>2571.17</v>
      </c>
      <c r="U303" s="36"/>
      <c r="V303" s="38">
        <f t="shared" si="4039"/>
        <v>0</v>
      </c>
      <c r="W303" s="38"/>
      <c r="X303" s="38">
        <f t="shared" ref="X303" si="4040">TRUNC($M303 * W303,2)</f>
        <v>0</v>
      </c>
      <c r="Y303" s="38"/>
      <c r="Z303" s="38">
        <f t="shared" ref="Z303" si="4041">TRUNC($M303 * Y303,2)</f>
        <v>0</v>
      </c>
      <c r="AA303" s="38"/>
      <c r="AB303" s="38">
        <f t="shared" ref="AB303" si="4042">TRUNC($M303 * AA303,2)</f>
        <v>0</v>
      </c>
      <c r="AC303" s="38"/>
      <c r="AD303" s="38">
        <f t="shared" ref="AD303" si="4043">TRUNC($M303 * AC303,2)</f>
        <v>0</v>
      </c>
      <c r="AE303" s="38"/>
      <c r="AF303" s="38">
        <f t="shared" ref="AF303" si="4044">TRUNC($M303 * AE303,2)</f>
        <v>0</v>
      </c>
      <c r="AG303" s="38"/>
      <c r="AH303" s="38">
        <f t="shared" ref="AH303" si="4045">TRUNC($M303 * AG303,2)</f>
        <v>0</v>
      </c>
      <c r="AI303" s="38"/>
      <c r="AJ303" s="38">
        <f t="shared" ref="AJ303" si="4046">TRUNC($M303 * AI303,2)</f>
        <v>0</v>
      </c>
      <c r="AK303" s="38"/>
      <c r="AL303" s="38">
        <f t="shared" ref="AL303" si="4047">TRUNC($M303 * AK303,2)</f>
        <v>0</v>
      </c>
      <c r="AM303" s="38"/>
      <c r="AN303" s="38">
        <f t="shared" ref="AN303" si="4048">TRUNC($M303 * AM303,2)</f>
        <v>0</v>
      </c>
      <c r="AO303" s="38"/>
      <c r="AP303" s="38">
        <f t="shared" ref="AP303" si="4049">TRUNC($M303 * AO303,2)</f>
        <v>0</v>
      </c>
      <c r="AQ303" s="38"/>
      <c r="AR303" s="38">
        <f t="shared" ref="AR303" si="4050">TRUNC($M303 * AQ303,2)</f>
        <v>0</v>
      </c>
      <c r="AS303" s="38"/>
      <c r="AT303" s="38">
        <f t="shared" ref="AT303" si="4051">TRUNC($M303 * AS303,2)</f>
        <v>0</v>
      </c>
      <c r="AU303" s="38"/>
      <c r="AV303" s="38">
        <f t="shared" ref="AV303" si="4052">TRUNC($M303 * AU303,2)</f>
        <v>0</v>
      </c>
      <c r="AW303" s="38"/>
      <c r="AX303" s="37">
        <f t="shared" ref="AX303" si="4053">TRUNC($M303 * AW303,2)</f>
        <v>0</v>
      </c>
      <c r="AY303" s="36">
        <f t="shared" si="3779"/>
        <v>0</v>
      </c>
      <c r="AZ303" s="38">
        <f t="shared" ref="AZ303" si="4054">TRUNC($M303 * AY303,2)</f>
        <v>0</v>
      </c>
      <c r="BA303" s="38">
        <f t="shared" si="3781"/>
        <v>64.7</v>
      </c>
      <c r="BB303" s="37">
        <f t="shared" ref="BB303" si="4055">TRUNC($M303 * BA303,2)</f>
        <v>2571.17</v>
      </c>
    </row>
    <row r="304" spans="1:54" ht="26.1" customHeight="1" x14ac:dyDescent="0.25">
      <c r="A304" s="31" t="s">
        <v>1117</v>
      </c>
      <c r="B304" s="31" t="s">
        <v>635</v>
      </c>
      <c r="C304" s="31" t="s">
        <v>19</v>
      </c>
      <c r="D304" s="31" t="s">
        <v>636</v>
      </c>
      <c r="E304" s="32" t="s">
        <v>69</v>
      </c>
      <c r="F304" s="33">
        <v>25</v>
      </c>
      <c r="G304" s="34">
        <v>62.9</v>
      </c>
      <c r="H304" s="34">
        <f t="shared" si="3759"/>
        <v>57.91</v>
      </c>
      <c r="I304" s="34">
        <f t="shared" si="3760"/>
        <v>1447.75</v>
      </c>
      <c r="J304" s="34">
        <f>(TRUNC(H304 * L14,2) + H304)</f>
        <v>69.679999999999993</v>
      </c>
      <c r="K304" s="34">
        <f t="shared" si="3936"/>
        <v>1742</v>
      </c>
      <c r="L304" s="35">
        <f>K304 / L13</f>
        <v>6.0068965517241367E-4</v>
      </c>
      <c r="M304" s="36">
        <v>52.61</v>
      </c>
      <c r="N304" s="37">
        <f t="shared" si="3761"/>
        <v>1315.25</v>
      </c>
      <c r="O304" s="36"/>
      <c r="P304" s="38">
        <f t="shared" si="3762"/>
        <v>0</v>
      </c>
      <c r="Q304" s="38"/>
      <c r="R304" s="38">
        <f t="shared" si="3762"/>
        <v>0</v>
      </c>
      <c r="S304" s="38">
        <f t="shared" si="3763"/>
        <v>25</v>
      </c>
      <c r="T304" s="37">
        <f t="shared" ref="T304:V304" si="4056">TRUNC($M304 * S304,2)</f>
        <v>1315.25</v>
      </c>
      <c r="U304" s="36"/>
      <c r="V304" s="38">
        <f t="shared" si="4056"/>
        <v>0</v>
      </c>
      <c r="W304" s="38"/>
      <c r="X304" s="38">
        <f t="shared" ref="X304" si="4057">TRUNC($M304 * W304,2)</f>
        <v>0</v>
      </c>
      <c r="Y304" s="38"/>
      <c r="Z304" s="38">
        <f t="shared" ref="Z304" si="4058">TRUNC($M304 * Y304,2)</f>
        <v>0</v>
      </c>
      <c r="AA304" s="38"/>
      <c r="AB304" s="38">
        <f t="shared" ref="AB304" si="4059">TRUNC($M304 * AA304,2)</f>
        <v>0</v>
      </c>
      <c r="AC304" s="38"/>
      <c r="AD304" s="38">
        <f t="shared" ref="AD304" si="4060">TRUNC($M304 * AC304,2)</f>
        <v>0</v>
      </c>
      <c r="AE304" s="38"/>
      <c r="AF304" s="38">
        <f t="shared" ref="AF304" si="4061">TRUNC($M304 * AE304,2)</f>
        <v>0</v>
      </c>
      <c r="AG304" s="38"/>
      <c r="AH304" s="38">
        <f t="shared" ref="AH304" si="4062">TRUNC($M304 * AG304,2)</f>
        <v>0</v>
      </c>
      <c r="AI304" s="38"/>
      <c r="AJ304" s="38">
        <f t="shared" ref="AJ304" si="4063">TRUNC($M304 * AI304,2)</f>
        <v>0</v>
      </c>
      <c r="AK304" s="38"/>
      <c r="AL304" s="38">
        <f t="shared" ref="AL304" si="4064">TRUNC($M304 * AK304,2)</f>
        <v>0</v>
      </c>
      <c r="AM304" s="38"/>
      <c r="AN304" s="38">
        <f t="shared" ref="AN304" si="4065">TRUNC($M304 * AM304,2)</f>
        <v>0</v>
      </c>
      <c r="AO304" s="38"/>
      <c r="AP304" s="38">
        <f t="shared" ref="AP304" si="4066">TRUNC($M304 * AO304,2)</f>
        <v>0</v>
      </c>
      <c r="AQ304" s="38"/>
      <c r="AR304" s="38">
        <f t="shared" ref="AR304" si="4067">TRUNC($M304 * AQ304,2)</f>
        <v>0</v>
      </c>
      <c r="AS304" s="38"/>
      <c r="AT304" s="38">
        <f t="shared" ref="AT304" si="4068">TRUNC($M304 * AS304,2)</f>
        <v>0</v>
      </c>
      <c r="AU304" s="38"/>
      <c r="AV304" s="38">
        <f t="shared" ref="AV304" si="4069">TRUNC($M304 * AU304,2)</f>
        <v>0</v>
      </c>
      <c r="AW304" s="38"/>
      <c r="AX304" s="37">
        <f t="shared" ref="AX304" si="4070">TRUNC($M304 * AW304,2)</f>
        <v>0</v>
      </c>
      <c r="AY304" s="36">
        <f t="shared" si="3779"/>
        <v>0</v>
      </c>
      <c r="AZ304" s="38">
        <f t="shared" ref="AZ304" si="4071">TRUNC($M304 * AY304,2)</f>
        <v>0</v>
      </c>
      <c r="BA304" s="38">
        <f t="shared" si="3781"/>
        <v>25</v>
      </c>
      <c r="BB304" s="37">
        <f t="shared" ref="BB304" si="4072">TRUNC($M304 * BA304,2)</f>
        <v>1315.25</v>
      </c>
    </row>
    <row r="305" spans="1:54" ht="26.1" customHeight="1" x14ac:dyDescent="0.25">
      <c r="A305" s="31" t="s">
        <v>1118</v>
      </c>
      <c r="B305" s="31" t="s">
        <v>637</v>
      </c>
      <c r="C305" s="31" t="s">
        <v>42</v>
      </c>
      <c r="D305" s="31" t="s">
        <v>638</v>
      </c>
      <c r="E305" s="32" t="s">
        <v>171</v>
      </c>
      <c r="F305" s="33">
        <v>1</v>
      </c>
      <c r="G305" s="34">
        <v>394.1</v>
      </c>
      <c r="H305" s="34">
        <f t="shared" si="3759"/>
        <v>362.86</v>
      </c>
      <c r="I305" s="34">
        <f t="shared" si="3760"/>
        <v>362.86</v>
      </c>
      <c r="J305" s="34">
        <f>(TRUNC(H305 * L14,2) + H305)</f>
        <v>436.66</v>
      </c>
      <c r="K305" s="34">
        <f t="shared" si="3936"/>
        <v>436.66</v>
      </c>
      <c r="L305" s="35">
        <f>K305 / L13</f>
        <v>1.5057241379310343E-4</v>
      </c>
      <c r="M305" s="36">
        <v>82.32</v>
      </c>
      <c r="N305" s="37">
        <f t="shared" si="3761"/>
        <v>82.32</v>
      </c>
      <c r="O305" s="36"/>
      <c r="P305" s="38">
        <f t="shared" si="3762"/>
        <v>0</v>
      </c>
      <c r="Q305" s="38"/>
      <c r="R305" s="38">
        <f t="shared" si="3762"/>
        <v>0</v>
      </c>
      <c r="S305" s="38">
        <f t="shared" si="3763"/>
        <v>1</v>
      </c>
      <c r="T305" s="37">
        <f t="shared" ref="T305:V305" si="4073">TRUNC($M305 * S305,2)</f>
        <v>82.32</v>
      </c>
      <c r="U305" s="36"/>
      <c r="V305" s="38">
        <f t="shared" si="4073"/>
        <v>0</v>
      </c>
      <c r="W305" s="38"/>
      <c r="X305" s="38">
        <f t="shared" ref="X305" si="4074">TRUNC($M305 * W305,2)</f>
        <v>0</v>
      </c>
      <c r="Y305" s="38"/>
      <c r="Z305" s="38">
        <f t="shared" ref="Z305" si="4075">TRUNC($M305 * Y305,2)</f>
        <v>0</v>
      </c>
      <c r="AA305" s="38"/>
      <c r="AB305" s="38">
        <f t="shared" ref="AB305" si="4076">TRUNC($M305 * AA305,2)</f>
        <v>0</v>
      </c>
      <c r="AC305" s="38"/>
      <c r="AD305" s="38">
        <f t="shared" ref="AD305" si="4077">TRUNC($M305 * AC305,2)</f>
        <v>0</v>
      </c>
      <c r="AE305" s="38"/>
      <c r="AF305" s="38">
        <f t="shared" ref="AF305" si="4078">TRUNC($M305 * AE305,2)</f>
        <v>0</v>
      </c>
      <c r="AG305" s="38"/>
      <c r="AH305" s="38">
        <f t="shared" ref="AH305" si="4079">TRUNC($M305 * AG305,2)</f>
        <v>0</v>
      </c>
      <c r="AI305" s="38"/>
      <c r="AJ305" s="38">
        <f t="shared" ref="AJ305" si="4080">TRUNC($M305 * AI305,2)</f>
        <v>0</v>
      </c>
      <c r="AK305" s="38"/>
      <c r="AL305" s="38">
        <f t="shared" ref="AL305" si="4081">TRUNC($M305 * AK305,2)</f>
        <v>0</v>
      </c>
      <c r="AM305" s="38"/>
      <c r="AN305" s="38">
        <f t="shared" ref="AN305" si="4082">TRUNC($M305 * AM305,2)</f>
        <v>0</v>
      </c>
      <c r="AO305" s="38"/>
      <c r="AP305" s="38">
        <f t="shared" ref="AP305" si="4083">TRUNC($M305 * AO305,2)</f>
        <v>0</v>
      </c>
      <c r="AQ305" s="38"/>
      <c r="AR305" s="38">
        <f t="shared" ref="AR305" si="4084">TRUNC($M305 * AQ305,2)</f>
        <v>0</v>
      </c>
      <c r="AS305" s="38"/>
      <c r="AT305" s="38">
        <f t="shared" ref="AT305" si="4085">TRUNC($M305 * AS305,2)</f>
        <v>0</v>
      </c>
      <c r="AU305" s="38"/>
      <c r="AV305" s="38">
        <f t="shared" ref="AV305" si="4086">TRUNC($M305 * AU305,2)</f>
        <v>0</v>
      </c>
      <c r="AW305" s="38"/>
      <c r="AX305" s="37">
        <f t="shared" ref="AX305" si="4087">TRUNC($M305 * AW305,2)</f>
        <v>0</v>
      </c>
      <c r="AY305" s="36">
        <f t="shared" si="3779"/>
        <v>0</v>
      </c>
      <c r="AZ305" s="38">
        <f t="shared" ref="AZ305" si="4088">TRUNC($M305 * AY305,2)</f>
        <v>0</v>
      </c>
      <c r="BA305" s="38">
        <f t="shared" si="3781"/>
        <v>1</v>
      </c>
      <c r="BB305" s="37">
        <f t="shared" ref="BB305" si="4089">TRUNC($M305 * BA305,2)</f>
        <v>82.32</v>
      </c>
    </row>
    <row r="306" spans="1:54" ht="39" customHeight="1" x14ac:dyDescent="0.25">
      <c r="A306" s="31" t="s">
        <v>1119</v>
      </c>
      <c r="B306" s="31" t="s">
        <v>639</v>
      </c>
      <c r="C306" s="31" t="s">
        <v>34</v>
      </c>
      <c r="D306" s="31" t="s">
        <v>640</v>
      </c>
      <c r="E306" s="32" t="s">
        <v>218</v>
      </c>
      <c r="F306" s="33">
        <v>11.5</v>
      </c>
      <c r="G306" s="34">
        <v>156.72</v>
      </c>
      <c r="H306" s="34">
        <f t="shared" si="3759"/>
        <v>144.29</v>
      </c>
      <c r="I306" s="34">
        <f t="shared" si="3760"/>
        <v>1659.33</v>
      </c>
      <c r="J306" s="34">
        <f>(TRUNC(H306 * L14,2) + H306)</f>
        <v>173.63</v>
      </c>
      <c r="K306" s="34">
        <f t="shared" si="3936"/>
        <v>1996.74</v>
      </c>
      <c r="L306" s="35">
        <f>K306 / L13</f>
        <v>6.8853103448275848E-4</v>
      </c>
      <c r="M306" s="36">
        <v>112.9</v>
      </c>
      <c r="N306" s="37">
        <f t="shared" si="3761"/>
        <v>1298.3499999999999</v>
      </c>
      <c r="O306" s="36"/>
      <c r="P306" s="38">
        <f t="shared" si="3762"/>
        <v>0</v>
      </c>
      <c r="Q306" s="38"/>
      <c r="R306" s="38">
        <f t="shared" si="3762"/>
        <v>0</v>
      </c>
      <c r="S306" s="38">
        <f t="shared" si="3763"/>
        <v>11.5</v>
      </c>
      <c r="T306" s="37">
        <f t="shared" ref="T306:V306" si="4090">TRUNC($M306 * S306,2)</f>
        <v>1298.3499999999999</v>
      </c>
      <c r="U306" s="36"/>
      <c r="V306" s="38">
        <f t="shared" si="4090"/>
        <v>0</v>
      </c>
      <c r="W306" s="38"/>
      <c r="X306" s="38">
        <f t="shared" ref="X306" si="4091">TRUNC($M306 * W306,2)</f>
        <v>0</v>
      </c>
      <c r="Y306" s="38"/>
      <c r="Z306" s="38">
        <f t="shared" ref="Z306" si="4092">TRUNC($M306 * Y306,2)</f>
        <v>0</v>
      </c>
      <c r="AA306" s="38"/>
      <c r="AB306" s="38">
        <f t="shared" ref="AB306" si="4093">TRUNC($M306 * AA306,2)</f>
        <v>0</v>
      </c>
      <c r="AC306" s="38"/>
      <c r="AD306" s="38">
        <f t="shared" ref="AD306" si="4094">TRUNC($M306 * AC306,2)</f>
        <v>0</v>
      </c>
      <c r="AE306" s="38"/>
      <c r="AF306" s="38">
        <f t="shared" ref="AF306" si="4095">TRUNC($M306 * AE306,2)</f>
        <v>0</v>
      </c>
      <c r="AG306" s="38"/>
      <c r="AH306" s="38">
        <f t="shared" ref="AH306" si="4096">TRUNC($M306 * AG306,2)</f>
        <v>0</v>
      </c>
      <c r="AI306" s="38"/>
      <c r="AJ306" s="38">
        <f t="shared" ref="AJ306" si="4097">TRUNC($M306 * AI306,2)</f>
        <v>0</v>
      </c>
      <c r="AK306" s="38"/>
      <c r="AL306" s="38">
        <f t="shared" ref="AL306" si="4098">TRUNC($M306 * AK306,2)</f>
        <v>0</v>
      </c>
      <c r="AM306" s="38"/>
      <c r="AN306" s="38">
        <f t="shared" ref="AN306" si="4099">TRUNC($M306 * AM306,2)</f>
        <v>0</v>
      </c>
      <c r="AO306" s="38"/>
      <c r="AP306" s="38">
        <f t="shared" ref="AP306" si="4100">TRUNC($M306 * AO306,2)</f>
        <v>0</v>
      </c>
      <c r="AQ306" s="38"/>
      <c r="AR306" s="38">
        <f t="shared" ref="AR306" si="4101">TRUNC($M306 * AQ306,2)</f>
        <v>0</v>
      </c>
      <c r="AS306" s="38"/>
      <c r="AT306" s="38">
        <f t="shared" ref="AT306" si="4102">TRUNC($M306 * AS306,2)</f>
        <v>0</v>
      </c>
      <c r="AU306" s="38"/>
      <c r="AV306" s="38">
        <f t="shared" ref="AV306" si="4103">TRUNC($M306 * AU306,2)</f>
        <v>0</v>
      </c>
      <c r="AW306" s="38"/>
      <c r="AX306" s="37">
        <f t="shared" ref="AX306" si="4104">TRUNC($M306 * AW306,2)</f>
        <v>0</v>
      </c>
      <c r="AY306" s="36">
        <f t="shared" si="3779"/>
        <v>0</v>
      </c>
      <c r="AZ306" s="38">
        <f t="shared" ref="AZ306" si="4105">TRUNC($M306 * AY306,2)</f>
        <v>0</v>
      </c>
      <c r="BA306" s="38">
        <f t="shared" si="3781"/>
        <v>11.5</v>
      </c>
      <c r="BB306" s="37">
        <f t="shared" ref="BB306" si="4106">TRUNC($M306 * BA306,2)</f>
        <v>1298.3499999999999</v>
      </c>
    </row>
    <row r="307" spans="1:54" ht="39" customHeight="1" x14ac:dyDescent="0.25">
      <c r="A307" s="31" t="s">
        <v>1120</v>
      </c>
      <c r="B307" s="31" t="s">
        <v>641</v>
      </c>
      <c r="C307" s="31" t="s">
        <v>34</v>
      </c>
      <c r="D307" s="31" t="s">
        <v>642</v>
      </c>
      <c r="E307" s="32" t="s">
        <v>36</v>
      </c>
      <c r="F307" s="33">
        <v>2</v>
      </c>
      <c r="G307" s="34">
        <v>11.7</v>
      </c>
      <c r="H307" s="34">
        <f t="shared" si="3759"/>
        <v>10.77</v>
      </c>
      <c r="I307" s="34">
        <f t="shared" si="3760"/>
        <v>21.54</v>
      </c>
      <c r="J307" s="34">
        <f>(TRUNC(H307 * L14,2) + H307)</f>
        <v>12.959999999999999</v>
      </c>
      <c r="K307" s="34">
        <f t="shared" si="3936"/>
        <v>25.92</v>
      </c>
      <c r="L307" s="35">
        <f>K307 / L13</f>
        <v>8.9379310344827581E-6</v>
      </c>
      <c r="M307" s="36">
        <v>12.21</v>
      </c>
      <c r="N307" s="37">
        <f t="shared" si="3761"/>
        <v>24.42</v>
      </c>
      <c r="O307" s="36"/>
      <c r="P307" s="38">
        <f t="shared" si="3762"/>
        <v>0</v>
      </c>
      <c r="Q307" s="38"/>
      <c r="R307" s="38">
        <f t="shared" si="3762"/>
        <v>0</v>
      </c>
      <c r="S307" s="38">
        <f t="shared" si="3763"/>
        <v>2</v>
      </c>
      <c r="T307" s="37">
        <f t="shared" ref="T307:V307" si="4107">TRUNC($M307 * S307,2)</f>
        <v>24.42</v>
      </c>
      <c r="U307" s="36"/>
      <c r="V307" s="38">
        <f t="shared" si="4107"/>
        <v>0</v>
      </c>
      <c r="W307" s="38"/>
      <c r="X307" s="38">
        <f t="shared" ref="X307" si="4108">TRUNC($M307 * W307,2)</f>
        <v>0</v>
      </c>
      <c r="Y307" s="38"/>
      <c r="Z307" s="38">
        <f t="shared" ref="Z307" si="4109">TRUNC($M307 * Y307,2)</f>
        <v>0</v>
      </c>
      <c r="AA307" s="38"/>
      <c r="AB307" s="38">
        <f t="shared" ref="AB307" si="4110">TRUNC($M307 * AA307,2)</f>
        <v>0</v>
      </c>
      <c r="AC307" s="38"/>
      <c r="AD307" s="38">
        <f t="shared" ref="AD307" si="4111">TRUNC($M307 * AC307,2)</f>
        <v>0</v>
      </c>
      <c r="AE307" s="38"/>
      <c r="AF307" s="38">
        <f t="shared" ref="AF307" si="4112">TRUNC($M307 * AE307,2)</f>
        <v>0</v>
      </c>
      <c r="AG307" s="38"/>
      <c r="AH307" s="38">
        <f t="shared" ref="AH307" si="4113">TRUNC($M307 * AG307,2)</f>
        <v>0</v>
      </c>
      <c r="AI307" s="38"/>
      <c r="AJ307" s="38">
        <f t="shared" ref="AJ307" si="4114">TRUNC($M307 * AI307,2)</f>
        <v>0</v>
      </c>
      <c r="AK307" s="38"/>
      <c r="AL307" s="38">
        <f t="shared" ref="AL307" si="4115">TRUNC($M307 * AK307,2)</f>
        <v>0</v>
      </c>
      <c r="AM307" s="38"/>
      <c r="AN307" s="38">
        <f t="shared" ref="AN307" si="4116">TRUNC($M307 * AM307,2)</f>
        <v>0</v>
      </c>
      <c r="AO307" s="38"/>
      <c r="AP307" s="38">
        <f t="shared" ref="AP307" si="4117">TRUNC($M307 * AO307,2)</f>
        <v>0</v>
      </c>
      <c r="AQ307" s="38"/>
      <c r="AR307" s="38">
        <f t="shared" ref="AR307" si="4118">TRUNC($M307 * AQ307,2)</f>
        <v>0</v>
      </c>
      <c r="AS307" s="38"/>
      <c r="AT307" s="38">
        <f t="shared" ref="AT307" si="4119">TRUNC($M307 * AS307,2)</f>
        <v>0</v>
      </c>
      <c r="AU307" s="38"/>
      <c r="AV307" s="38">
        <f t="shared" ref="AV307" si="4120">TRUNC($M307 * AU307,2)</f>
        <v>0</v>
      </c>
      <c r="AW307" s="38"/>
      <c r="AX307" s="37">
        <f t="shared" ref="AX307" si="4121">TRUNC($M307 * AW307,2)</f>
        <v>0</v>
      </c>
      <c r="AY307" s="36">
        <f t="shared" si="3779"/>
        <v>0</v>
      </c>
      <c r="AZ307" s="38">
        <f t="shared" ref="AZ307" si="4122">TRUNC($M307 * AY307,2)</f>
        <v>0</v>
      </c>
      <c r="BA307" s="38">
        <f t="shared" si="3781"/>
        <v>2</v>
      </c>
      <c r="BB307" s="37">
        <f t="shared" ref="BB307" si="4123">TRUNC($M307 * BA307,2)</f>
        <v>24.42</v>
      </c>
    </row>
    <row r="308" spans="1:54" ht="39" customHeight="1" x14ac:dyDescent="0.25">
      <c r="A308" s="31" t="s">
        <v>1121</v>
      </c>
      <c r="B308" s="31" t="s">
        <v>622</v>
      </c>
      <c r="C308" s="31" t="s">
        <v>34</v>
      </c>
      <c r="D308" s="31" t="s">
        <v>623</v>
      </c>
      <c r="E308" s="32" t="s">
        <v>36</v>
      </c>
      <c r="F308" s="33">
        <v>11</v>
      </c>
      <c r="G308" s="34">
        <v>9.9600000000000009</v>
      </c>
      <c r="H308" s="34">
        <f t="shared" si="3759"/>
        <v>9.17</v>
      </c>
      <c r="I308" s="34">
        <f t="shared" si="3760"/>
        <v>100.87</v>
      </c>
      <c r="J308" s="34">
        <f>(TRUNC(H308 * L14,2) + H308)</f>
        <v>11.03</v>
      </c>
      <c r="K308" s="34">
        <f t="shared" si="3936"/>
        <v>121.33</v>
      </c>
      <c r="L308" s="35">
        <f>K308 / L13</f>
        <v>4.1837931034482751E-5</v>
      </c>
      <c r="M308" s="36">
        <v>11.54</v>
      </c>
      <c r="N308" s="37">
        <f t="shared" si="3761"/>
        <v>126.94</v>
      </c>
      <c r="O308" s="36"/>
      <c r="P308" s="38">
        <f t="shared" si="3762"/>
        <v>0</v>
      </c>
      <c r="Q308" s="38"/>
      <c r="R308" s="38">
        <f t="shared" si="3762"/>
        <v>0</v>
      </c>
      <c r="S308" s="38">
        <f t="shared" si="3763"/>
        <v>11</v>
      </c>
      <c r="T308" s="37">
        <f t="shared" ref="T308:V308" si="4124">TRUNC($M308 * S308,2)</f>
        <v>126.94</v>
      </c>
      <c r="U308" s="36"/>
      <c r="V308" s="38">
        <f t="shared" si="4124"/>
        <v>0</v>
      </c>
      <c r="W308" s="38"/>
      <c r="X308" s="38">
        <f t="shared" ref="X308" si="4125">TRUNC($M308 * W308,2)</f>
        <v>0</v>
      </c>
      <c r="Y308" s="38"/>
      <c r="Z308" s="38">
        <f t="shared" ref="Z308" si="4126">TRUNC($M308 * Y308,2)</f>
        <v>0</v>
      </c>
      <c r="AA308" s="38"/>
      <c r="AB308" s="38">
        <f t="shared" ref="AB308" si="4127">TRUNC($M308 * AA308,2)</f>
        <v>0</v>
      </c>
      <c r="AC308" s="38"/>
      <c r="AD308" s="38">
        <f t="shared" ref="AD308" si="4128">TRUNC($M308 * AC308,2)</f>
        <v>0</v>
      </c>
      <c r="AE308" s="38"/>
      <c r="AF308" s="38">
        <f t="shared" ref="AF308" si="4129">TRUNC($M308 * AE308,2)</f>
        <v>0</v>
      </c>
      <c r="AG308" s="38"/>
      <c r="AH308" s="38">
        <f t="shared" ref="AH308" si="4130">TRUNC($M308 * AG308,2)</f>
        <v>0</v>
      </c>
      <c r="AI308" s="38"/>
      <c r="AJ308" s="38">
        <f t="shared" ref="AJ308" si="4131">TRUNC($M308 * AI308,2)</f>
        <v>0</v>
      </c>
      <c r="AK308" s="38"/>
      <c r="AL308" s="38">
        <f t="shared" ref="AL308" si="4132">TRUNC($M308 * AK308,2)</f>
        <v>0</v>
      </c>
      <c r="AM308" s="38"/>
      <c r="AN308" s="38">
        <f t="shared" ref="AN308" si="4133">TRUNC($M308 * AM308,2)</f>
        <v>0</v>
      </c>
      <c r="AO308" s="38"/>
      <c r="AP308" s="38">
        <f t="shared" ref="AP308" si="4134">TRUNC($M308 * AO308,2)</f>
        <v>0</v>
      </c>
      <c r="AQ308" s="38"/>
      <c r="AR308" s="38">
        <f t="shared" ref="AR308" si="4135">TRUNC($M308 * AQ308,2)</f>
        <v>0</v>
      </c>
      <c r="AS308" s="38"/>
      <c r="AT308" s="38">
        <f t="shared" ref="AT308" si="4136">TRUNC($M308 * AS308,2)</f>
        <v>0</v>
      </c>
      <c r="AU308" s="38"/>
      <c r="AV308" s="38">
        <f t="shared" ref="AV308" si="4137">TRUNC($M308 * AU308,2)</f>
        <v>0</v>
      </c>
      <c r="AW308" s="38"/>
      <c r="AX308" s="37">
        <f t="shared" ref="AX308" si="4138">TRUNC($M308 * AW308,2)</f>
        <v>0</v>
      </c>
      <c r="AY308" s="36">
        <f t="shared" si="3779"/>
        <v>0</v>
      </c>
      <c r="AZ308" s="38">
        <f t="shared" ref="AZ308" si="4139">TRUNC($M308 * AY308,2)</f>
        <v>0</v>
      </c>
      <c r="BA308" s="38">
        <f t="shared" si="3781"/>
        <v>11</v>
      </c>
      <c r="BB308" s="37">
        <f t="shared" ref="BB308" si="4140">TRUNC($M308 * BA308,2)</f>
        <v>126.94</v>
      </c>
    </row>
    <row r="309" spans="1:54" ht="39" customHeight="1" x14ac:dyDescent="0.25">
      <c r="A309" s="31" t="s">
        <v>1122</v>
      </c>
      <c r="B309" s="31" t="s">
        <v>531</v>
      </c>
      <c r="C309" s="31" t="s">
        <v>34</v>
      </c>
      <c r="D309" s="31" t="s">
        <v>532</v>
      </c>
      <c r="E309" s="32" t="s">
        <v>218</v>
      </c>
      <c r="F309" s="33">
        <v>114.8</v>
      </c>
      <c r="G309" s="34">
        <v>27.63</v>
      </c>
      <c r="H309" s="34">
        <f t="shared" si="3759"/>
        <v>25.44</v>
      </c>
      <c r="I309" s="34">
        <f t="shared" si="3760"/>
        <v>2920.51</v>
      </c>
      <c r="J309" s="34">
        <f>(TRUNC(H309 * L14,2) + H309)</f>
        <v>30.61</v>
      </c>
      <c r="K309" s="34">
        <f t="shared" si="3936"/>
        <v>3514.02</v>
      </c>
      <c r="L309" s="35">
        <f>K309 / L13</f>
        <v>1.2117310344827584E-3</v>
      </c>
      <c r="M309" s="36">
        <v>32.08</v>
      </c>
      <c r="N309" s="37">
        <f t="shared" si="3761"/>
        <v>3682.78</v>
      </c>
      <c r="O309" s="36"/>
      <c r="P309" s="38">
        <f t="shared" si="3762"/>
        <v>0</v>
      </c>
      <c r="Q309" s="38"/>
      <c r="R309" s="38">
        <f t="shared" si="3762"/>
        <v>0</v>
      </c>
      <c r="S309" s="38">
        <f t="shared" si="3763"/>
        <v>114.8</v>
      </c>
      <c r="T309" s="37">
        <f t="shared" ref="T309:V309" si="4141">TRUNC($M309 * S309,2)</f>
        <v>3682.78</v>
      </c>
      <c r="U309" s="36"/>
      <c r="V309" s="38">
        <f t="shared" si="4141"/>
        <v>0</v>
      </c>
      <c r="W309" s="38"/>
      <c r="X309" s="38">
        <f t="shared" ref="X309" si="4142">TRUNC($M309 * W309,2)</f>
        <v>0</v>
      </c>
      <c r="Y309" s="38"/>
      <c r="Z309" s="38">
        <f t="shared" ref="Z309" si="4143">TRUNC($M309 * Y309,2)</f>
        <v>0</v>
      </c>
      <c r="AA309" s="38"/>
      <c r="AB309" s="38">
        <f t="shared" ref="AB309" si="4144">TRUNC($M309 * AA309,2)</f>
        <v>0</v>
      </c>
      <c r="AC309" s="38"/>
      <c r="AD309" s="38">
        <f t="shared" ref="AD309" si="4145">TRUNC($M309 * AC309,2)</f>
        <v>0</v>
      </c>
      <c r="AE309" s="38"/>
      <c r="AF309" s="38">
        <f t="shared" ref="AF309" si="4146">TRUNC($M309 * AE309,2)</f>
        <v>0</v>
      </c>
      <c r="AG309" s="38"/>
      <c r="AH309" s="38">
        <f t="shared" ref="AH309" si="4147">TRUNC($M309 * AG309,2)</f>
        <v>0</v>
      </c>
      <c r="AI309" s="38"/>
      <c r="AJ309" s="38">
        <f t="shared" ref="AJ309" si="4148">TRUNC($M309 * AI309,2)</f>
        <v>0</v>
      </c>
      <c r="AK309" s="38"/>
      <c r="AL309" s="38">
        <f t="shared" ref="AL309" si="4149">TRUNC($M309 * AK309,2)</f>
        <v>0</v>
      </c>
      <c r="AM309" s="38"/>
      <c r="AN309" s="38">
        <f t="shared" ref="AN309" si="4150">TRUNC($M309 * AM309,2)</f>
        <v>0</v>
      </c>
      <c r="AO309" s="38"/>
      <c r="AP309" s="38">
        <f t="shared" ref="AP309" si="4151">TRUNC($M309 * AO309,2)</f>
        <v>0</v>
      </c>
      <c r="AQ309" s="38"/>
      <c r="AR309" s="38">
        <f t="shared" ref="AR309" si="4152">TRUNC($M309 * AQ309,2)</f>
        <v>0</v>
      </c>
      <c r="AS309" s="38"/>
      <c r="AT309" s="38">
        <f t="shared" ref="AT309" si="4153">TRUNC($M309 * AS309,2)</f>
        <v>0</v>
      </c>
      <c r="AU309" s="38"/>
      <c r="AV309" s="38">
        <f t="shared" ref="AV309" si="4154">TRUNC($M309 * AU309,2)</f>
        <v>0</v>
      </c>
      <c r="AW309" s="38"/>
      <c r="AX309" s="37">
        <f t="shared" ref="AX309" si="4155">TRUNC($M309 * AW309,2)</f>
        <v>0</v>
      </c>
      <c r="AY309" s="36">
        <f t="shared" si="3779"/>
        <v>0</v>
      </c>
      <c r="AZ309" s="38">
        <f t="shared" ref="AZ309" si="4156">TRUNC($M309 * AY309,2)</f>
        <v>0</v>
      </c>
      <c r="BA309" s="38">
        <f t="shared" si="3781"/>
        <v>114.8</v>
      </c>
      <c r="BB309" s="37">
        <f t="shared" ref="BB309" si="4157">TRUNC($M309 * BA309,2)</f>
        <v>3682.78</v>
      </c>
    </row>
    <row r="310" spans="1:54" ht="39" customHeight="1" x14ac:dyDescent="0.25">
      <c r="A310" s="31" t="s">
        <v>1123</v>
      </c>
      <c r="B310" s="31" t="s">
        <v>533</v>
      </c>
      <c r="C310" s="31" t="s">
        <v>34</v>
      </c>
      <c r="D310" s="31" t="s">
        <v>534</v>
      </c>
      <c r="E310" s="32" t="s">
        <v>36</v>
      </c>
      <c r="F310" s="33">
        <v>11</v>
      </c>
      <c r="G310" s="34">
        <v>11.53</v>
      </c>
      <c r="H310" s="34">
        <f t="shared" si="3759"/>
        <v>10.61</v>
      </c>
      <c r="I310" s="34">
        <f t="shared" si="3760"/>
        <v>116.71</v>
      </c>
      <c r="J310" s="34">
        <f>(TRUNC(H310 * L14,2) + H310)</f>
        <v>12.76</v>
      </c>
      <c r="K310" s="34">
        <f t="shared" si="3936"/>
        <v>140.36000000000001</v>
      </c>
      <c r="L310" s="35">
        <f>K310 / L13</f>
        <v>4.8399999999999997E-5</v>
      </c>
      <c r="M310" s="36">
        <v>11.5</v>
      </c>
      <c r="N310" s="37">
        <f t="shared" si="3761"/>
        <v>126.5</v>
      </c>
      <c r="O310" s="36"/>
      <c r="P310" s="38">
        <f t="shared" si="3762"/>
        <v>0</v>
      </c>
      <c r="Q310" s="38"/>
      <c r="R310" s="38">
        <f t="shared" si="3762"/>
        <v>0</v>
      </c>
      <c r="S310" s="38">
        <f t="shared" si="3763"/>
        <v>11</v>
      </c>
      <c r="T310" s="37">
        <f t="shared" ref="T310:V310" si="4158">TRUNC($M310 * S310,2)</f>
        <v>126.5</v>
      </c>
      <c r="U310" s="36"/>
      <c r="V310" s="38">
        <f t="shared" si="4158"/>
        <v>0</v>
      </c>
      <c r="W310" s="38"/>
      <c r="X310" s="38">
        <f t="shared" ref="X310" si="4159">TRUNC($M310 * W310,2)</f>
        <v>0</v>
      </c>
      <c r="Y310" s="38"/>
      <c r="Z310" s="38">
        <f t="shared" ref="Z310" si="4160">TRUNC($M310 * Y310,2)</f>
        <v>0</v>
      </c>
      <c r="AA310" s="38"/>
      <c r="AB310" s="38">
        <f t="shared" ref="AB310" si="4161">TRUNC($M310 * AA310,2)</f>
        <v>0</v>
      </c>
      <c r="AC310" s="38"/>
      <c r="AD310" s="38">
        <f t="shared" ref="AD310" si="4162">TRUNC($M310 * AC310,2)</f>
        <v>0</v>
      </c>
      <c r="AE310" s="38"/>
      <c r="AF310" s="38">
        <f t="shared" ref="AF310" si="4163">TRUNC($M310 * AE310,2)</f>
        <v>0</v>
      </c>
      <c r="AG310" s="38"/>
      <c r="AH310" s="38">
        <f t="shared" ref="AH310" si="4164">TRUNC($M310 * AG310,2)</f>
        <v>0</v>
      </c>
      <c r="AI310" s="38"/>
      <c r="AJ310" s="38">
        <f t="shared" ref="AJ310" si="4165">TRUNC($M310 * AI310,2)</f>
        <v>0</v>
      </c>
      <c r="AK310" s="38"/>
      <c r="AL310" s="38">
        <f t="shared" ref="AL310" si="4166">TRUNC($M310 * AK310,2)</f>
        <v>0</v>
      </c>
      <c r="AM310" s="38"/>
      <c r="AN310" s="38">
        <f t="shared" ref="AN310" si="4167">TRUNC($M310 * AM310,2)</f>
        <v>0</v>
      </c>
      <c r="AO310" s="38"/>
      <c r="AP310" s="38">
        <f t="shared" ref="AP310" si="4168">TRUNC($M310 * AO310,2)</f>
        <v>0</v>
      </c>
      <c r="AQ310" s="38"/>
      <c r="AR310" s="38">
        <f t="shared" ref="AR310" si="4169">TRUNC($M310 * AQ310,2)</f>
        <v>0</v>
      </c>
      <c r="AS310" s="38"/>
      <c r="AT310" s="38">
        <f t="shared" ref="AT310" si="4170">TRUNC($M310 * AS310,2)</f>
        <v>0</v>
      </c>
      <c r="AU310" s="38"/>
      <c r="AV310" s="38">
        <f t="shared" ref="AV310" si="4171">TRUNC($M310 * AU310,2)</f>
        <v>0</v>
      </c>
      <c r="AW310" s="38"/>
      <c r="AX310" s="37">
        <f t="shared" ref="AX310" si="4172">TRUNC($M310 * AW310,2)</f>
        <v>0</v>
      </c>
      <c r="AY310" s="36">
        <f t="shared" si="3779"/>
        <v>0</v>
      </c>
      <c r="AZ310" s="38">
        <f t="shared" ref="AZ310" si="4173">TRUNC($M310 * AY310,2)</f>
        <v>0</v>
      </c>
      <c r="BA310" s="38">
        <f t="shared" si="3781"/>
        <v>11</v>
      </c>
      <c r="BB310" s="37">
        <f t="shared" ref="BB310" si="4174">TRUNC($M310 * BA310,2)</f>
        <v>126.5</v>
      </c>
    </row>
    <row r="311" spans="1:54" ht="51.9" customHeight="1" x14ac:dyDescent="0.25">
      <c r="A311" s="31" t="s">
        <v>1124</v>
      </c>
      <c r="B311" s="31" t="s">
        <v>584</v>
      </c>
      <c r="C311" s="31" t="s">
        <v>34</v>
      </c>
      <c r="D311" s="31" t="s">
        <v>585</v>
      </c>
      <c r="E311" s="32" t="s">
        <v>36</v>
      </c>
      <c r="F311" s="33">
        <v>1</v>
      </c>
      <c r="G311" s="34">
        <v>16.55</v>
      </c>
      <c r="H311" s="34">
        <f t="shared" si="3759"/>
        <v>15.23</v>
      </c>
      <c r="I311" s="34">
        <f t="shared" si="3760"/>
        <v>15.23</v>
      </c>
      <c r="J311" s="34">
        <f>(TRUNC(H311 * L14,2) + H311)</f>
        <v>18.32</v>
      </c>
      <c r="K311" s="34">
        <f t="shared" si="3936"/>
        <v>18.32</v>
      </c>
      <c r="L311" s="35">
        <f>K311 / L13</f>
        <v>6.3172413793103441E-6</v>
      </c>
      <c r="M311" s="36">
        <v>14.84</v>
      </c>
      <c r="N311" s="37">
        <f t="shared" si="3761"/>
        <v>14.84</v>
      </c>
      <c r="O311" s="36"/>
      <c r="P311" s="38">
        <f t="shared" si="3762"/>
        <v>0</v>
      </c>
      <c r="Q311" s="38"/>
      <c r="R311" s="38">
        <f t="shared" si="3762"/>
        <v>0</v>
      </c>
      <c r="S311" s="38">
        <f t="shared" si="3763"/>
        <v>1</v>
      </c>
      <c r="T311" s="37">
        <f t="shared" ref="T311:V311" si="4175">TRUNC($M311 * S311,2)</f>
        <v>14.84</v>
      </c>
      <c r="U311" s="36"/>
      <c r="V311" s="38">
        <f t="shared" si="4175"/>
        <v>0</v>
      </c>
      <c r="W311" s="38"/>
      <c r="X311" s="38">
        <f t="shared" ref="X311" si="4176">TRUNC($M311 * W311,2)</f>
        <v>0</v>
      </c>
      <c r="Y311" s="38"/>
      <c r="Z311" s="38">
        <f t="shared" ref="Z311" si="4177">TRUNC($M311 * Y311,2)</f>
        <v>0</v>
      </c>
      <c r="AA311" s="38"/>
      <c r="AB311" s="38">
        <f t="shared" ref="AB311" si="4178">TRUNC($M311 * AA311,2)</f>
        <v>0</v>
      </c>
      <c r="AC311" s="38"/>
      <c r="AD311" s="38">
        <f t="shared" ref="AD311" si="4179">TRUNC($M311 * AC311,2)</f>
        <v>0</v>
      </c>
      <c r="AE311" s="38"/>
      <c r="AF311" s="38">
        <f t="shared" ref="AF311" si="4180">TRUNC($M311 * AE311,2)</f>
        <v>0</v>
      </c>
      <c r="AG311" s="38"/>
      <c r="AH311" s="38">
        <f t="shared" ref="AH311" si="4181">TRUNC($M311 * AG311,2)</f>
        <v>0</v>
      </c>
      <c r="AI311" s="38"/>
      <c r="AJ311" s="38">
        <f t="shared" ref="AJ311" si="4182">TRUNC($M311 * AI311,2)</f>
        <v>0</v>
      </c>
      <c r="AK311" s="38"/>
      <c r="AL311" s="38">
        <f t="shared" ref="AL311" si="4183">TRUNC($M311 * AK311,2)</f>
        <v>0</v>
      </c>
      <c r="AM311" s="38"/>
      <c r="AN311" s="38">
        <f t="shared" ref="AN311" si="4184">TRUNC($M311 * AM311,2)</f>
        <v>0</v>
      </c>
      <c r="AO311" s="38"/>
      <c r="AP311" s="38">
        <f t="shared" ref="AP311" si="4185">TRUNC($M311 * AO311,2)</f>
        <v>0</v>
      </c>
      <c r="AQ311" s="38"/>
      <c r="AR311" s="38">
        <f t="shared" ref="AR311" si="4186">TRUNC($M311 * AQ311,2)</f>
        <v>0</v>
      </c>
      <c r="AS311" s="38"/>
      <c r="AT311" s="38">
        <f t="shared" ref="AT311" si="4187">TRUNC($M311 * AS311,2)</f>
        <v>0</v>
      </c>
      <c r="AU311" s="38"/>
      <c r="AV311" s="38">
        <f t="shared" ref="AV311" si="4188">TRUNC($M311 * AU311,2)</f>
        <v>0</v>
      </c>
      <c r="AW311" s="38"/>
      <c r="AX311" s="37">
        <f t="shared" ref="AX311" si="4189">TRUNC($M311 * AW311,2)</f>
        <v>0</v>
      </c>
      <c r="AY311" s="36">
        <f t="shared" si="3779"/>
        <v>0</v>
      </c>
      <c r="AZ311" s="38">
        <f t="shared" ref="AZ311" si="4190">TRUNC($M311 * AY311,2)</f>
        <v>0</v>
      </c>
      <c r="BA311" s="38">
        <f t="shared" si="3781"/>
        <v>1</v>
      </c>
      <c r="BB311" s="37">
        <f t="shared" ref="BB311" si="4191">TRUNC($M311 * BA311,2)</f>
        <v>14.84</v>
      </c>
    </row>
    <row r="312" spans="1:54" ht="51.9" customHeight="1" x14ac:dyDescent="0.25">
      <c r="A312" s="31" t="s">
        <v>1125</v>
      </c>
      <c r="B312" s="31" t="s">
        <v>588</v>
      </c>
      <c r="C312" s="31" t="s">
        <v>34</v>
      </c>
      <c r="D312" s="31" t="s">
        <v>589</v>
      </c>
      <c r="E312" s="32" t="s">
        <v>36</v>
      </c>
      <c r="F312" s="33">
        <v>59</v>
      </c>
      <c r="G312" s="34">
        <v>15.77</v>
      </c>
      <c r="H312" s="34">
        <f t="shared" si="3759"/>
        <v>14.52</v>
      </c>
      <c r="I312" s="34">
        <f t="shared" si="3760"/>
        <v>856.68</v>
      </c>
      <c r="J312" s="34">
        <f>(TRUNC(H312 * L14,2) + H312)</f>
        <v>17.47</v>
      </c>
      <c r="K312" s="34">
        <f t="shared" si="3936"/>
        <v>1030.73</v>
      </c>
      <c r="L312" s="35">
        <f>K312 / L13</f>
        <v>3.5542413793103445E-4</v>
      </c>
      <c r="M312" s="36">
        <v>14.29</v>
      </c>
      <c r="N312" s="37">
        <f t="shared" si="3761"/>
        <v>843.11</v>
      </c>
      <c r="O312" s="36"/>
      <c r="P312" s="38">
        <f t="shared" si="3762"/>
        <v>0</v>
      </c>
      <c r="Q312" s="38"/>
      <c r="R312" s="38">
        <f t="shared" si="3762"/>
        <v>0</v>
      </c>
      <c r="S312" s="38">
        <f t="shared" si="3763"/>
        <v>59</v>
      </c>
      <c r="T312" s="37">
        <f t="shared" ref="T312:V312" si="4192">TRUNC($M312 * S312,2)</f>
        <v>843.11</v>
      </c>
      <c r="U312" s="36"/>
      <c r="V312" s="38">
        <f t="shared" si="4192"/>
        <v>0</v>
      </c>
      <c r="W312" s="38"/>
      <c r="X312" s="38">
        <f t="shared" ref="X312" si="4193">TRUNC($M312 * W312,2)</f>
        <v>0</v>
      </c>
      <c r="Y312" s="38"/>
      <c r="Z312" s="38">
        <f t="shared" ref="Z312" si="4194">TRUNC($M312 * Y312,2)</f>
        <v>0</v>
      </c>
      <c r="AA312" s="38"/>
      <c r="AB312" s="38">
        <f t="shared" ref="AB312" si="4195">TRUNC($M312 * AA312,2)</f>
        <v>0</v>
      </c>
      <c r="AC312" s="38"/>
      <c r="AD312" s="38">
        <f t="shared" ref="AD312" si="4196">TRUNC($M312 * AC312,2)</f>
        <v>0</v>
      </c>
      <c r="AE312" s="38"/>
      <c r="AF312" s="38">
        <f t="shared" ref="AF312" si="4197">TRUNC($M312 * AE312,2)</f>
        <v>0</v>
      </c>
      <c r="AG312" s="38"/>
      <c r="AH312" s="38">
        <f t="shared" ref="AH312" si="4198">TRUNC($M312 * AG312,2)</f>
        <v>0</v>
      </c>
      <c r="AI312" s="38"/>
      <c r="AJ312" s="38">
        <f t="shared" ref="AJ312" si="4199">TRUNC($M312 * AI312,2)</f>
        <v>0</v>
      </c>
      <c r="AK312" s="38"/>
      <c r="AL312" s="38">
        <f t="shared" ref="AL312" si="4200">TRUNC($M312 * AK312,2)</f>
        <v>0</v>
      </c>
      <c r="AM312" s="38"/>
      <c r="AN312" s="38">
        <f t="shared" ref="AN312" si="4201">TRUNC($M312 * AM312,2)</f>
        <v>0</v>
      </c>
      <c r="AO312" s="38"/>
      <c r="AP312" s="38">
        <f t="shared" ref="AP312" si="4202">TRUNC($M312 * AO312,2)</f>
        <v>0</v>
      </c>
      <c r="AQ312" s="38"/>
      <c r="AR312" s="38">
        <f t="shared" ref="AR312" si="4203">TRUNC($M312 * AQ312,2)</f>
        <v>0</v>
      </c>
      <c r="AS312" s="38"/>
      <c r="AT312" s="38">
        <f t="shared" ref="AT312" si="4204">TRUNC($M312 * AS312,2)</f>
        <v>0</v>
      </c>
      <c r="AU312" s="38"/>
      <c r="AV312" s="38">
        <f t="shared" ref="AV312" si="4205">TRUNC($M312 * AU312,2)</f>
        <v>0</v>
      </c>
      <c r="AW312" s="38"/>
      <c r="AX312" s="37">
        <f t="shared" ref="AX312" si="4206">TRUNC($M312 * AW312,2)</f>
        <v>0</v>
      </c>
      <c r="AY312" s="36">
        <f t="shared" si="3779"/>
        <v>0</v>
      </c>
      <c r="AZ312" s="38">
        <f t="shared" ref="AZ312" si="4207">TRUNC($M312 * AY312,2)</f>
        <v>0</v>
      </c>
      <c r="BA312" s="38">
        <f t="shared" si="3781"/>
        <v>59</v>
      </c>
      <c r="BB312" s="37">
        <f t="shared" ref="BB312" si="4208">TRUNC($M312 * BA312,2)</f>
        <v>843.11</v>
      </c>
    </row>
    <row r="313" spans="1:54" ht="39" customHeight="1" x14ac:dyDescent="0.25">
      <c r="A313" s="31" t="s">
        <v>1126</v>
      </c>
      <c r="B313" s="31" t="s">
        <v>616</v>
      </c>
      <c r="C313" s="31" t="s">
        <v>19</v>
      </c>
      <c r="D313" s="31" t="s">
        <v>617</v>
      </c>
      <c r="E313" s="32" t="s">
        <v>69</v>
      </c>
      <c r="F313" s="33">
        <v>117</v>
      </c>
      <c r="G313" s="34">
        <v>40.08</v>
      </c>
      <c r="H313" s="34">
        <f t="shared" si="3759"/>
        <v>36.9</v>
      </c>
      <c r="I313" s="34">
        <f t="shared" si="3760"/>
        <v>4317.3</v>
      </c>
      <c r="J313" s="34">
        <f>(TRUNC(H313 * L14,2) + H313)</f>
        <v>44.4</v>
      </c>
      <c r="K313" s="34">
        <f t="shared" si="3936"/>
        <v>5194.8</v>
      </c>
      <c r="L313" s="35">
        <f>K313 / L13</f>
        <v>1.7913103448275859E-3</v>
      </c>
      <c r="M313" s="36">
        <v>39.79</v>
      </c>
      <c r="N313" s="37">
        <f t="shared" si="3761"/>
        <v>4655.43</v>
      </c>
      <c r="O313" s="36"/>
      <c r="P313" s="38">
        <f t="shared" si="3762"/>
        <v>0</v>
      </c>
      <c r="Q313" s="38"/>
      <c r="R313" s="38">
        <f t="shared" si="3762"/>
        <v>0</v>
      </c>
      <c r="S313" s="38">
        <f t="shared" si="3763"/>
        <v>117</v>
      </c>
      <c r="T313" s="37">
        <f t="shared" ref="T313:V313" si="4209">TRUNC($M313 * S313,2)</f>
        <v>4655.43</v>
      </c>
      <c r="U313" s="36"/>
      <c r="V313" s="38">
        <f t="shared" si="4209"/>
        <v>0</v>
      </c>
      <c r="W313" s="38"/>
      <c r="X313" s="38">
        <f t="shared" ref="X313" si="4210">TRUNC($M313 * W313,2)</f>
        <v>0</v>
      </c>
      <c r="Y313" s="38"/>
      <c r="Z313" s="38">
        <f t="shared" ref="Z313" si="4211">TRUNC($M313 * Y313,2)</f>
        <v>0</v>
      </c>
      <c r="AA313" s="38"/>
      <c r="AB313" s="38">
        <f t="shared" ref="AB313" si="4212">TRUNC($M313 * AA313,2)</f>
        <v>0</v>
      </c>
      <c r="AC313" s="38"/>
      <c r="AD313" s="38">
        <f t="shared" ref="AD313" si="4213">TRUNC($M313 * AC313,2)</f>
        <v>0</v>
      </c>
      <c r="AE313" s="38"/>
      <c r="AF313" s="38">
        <f t="shared" ref="AF313" si="4214">TRUNC($M313 * AE313,2)</f>
        <v>0</v>
      </c>
      <c r="AG313" s="38"/>
      <c r="AH313" s="38">
        <f t="shared" ref="AH313" si="4215">TRUNC($M313 * AG313,2)</f>
        <v>0</v>
      </c>
      <c r="AI313" s="38"/>
      <c r="AJ313" s="38">
        <f t="shared" ref="AJ313" si="4216">TRUNC($M313 * AI313,2)</f>
        <v>0</v>
      </c>
      <c r="AK313" s="38"/>
      <c r="AL313" s="38">
        <f t="shared" ref="AL313" si="4217">TRUNC($M313 * AK313,2)</f>
        <v>0</v>
      </c>
      <c r="AM313" s="38"/>
      <c r="AN313" s="38">
        <f t="shared" ref="AN313" si="4218">TRUNC($M313 * AM313,2)</f>
        <v>0</v>
      </c>
      <c r="AO313" s="38"/>
      <c r="AP313" s="38">
        <f t="shared" ref="AP313" si="4219">TRUNC($M313 * AO313,2)</f>
        <v>0</v>
      </c>
      <c r="AQ313" s="38"/>
      <c r="AR313" s="38">
        <f t="shared" ref="AR313" si="4220">TRUNC($M313 * AQ313,2)</f>
        <v>0</v>
      </c>
      <c r="AS313" s="38"/>
      <c r="AT313" s="38">
        <f t="shared" ref="AT313" si="4221">TRUNC($M313 * AS313,2)</f>
        <v>0</v>
      </c>
      <c r="AU313" s="38"/>
      <c r="AV313" s="38">
        <f t="shared" ref="AV313" si="4222">TRUNC($M313 * AU313,2)</f>
        <v>0</v>
      </c>
      <c r="AW313" s="38"/>
      <c r="AX313" s="37">
        <f t="shared" ref="AX313" si="4223">TRUNC($M313 * AW313,2)</f>
        <v>0</v>
      </c>
      <c r="AY313" s="36">
        <f t="shared" si="3779"/>
        <v>0</v>
      </c>
      <c r="AZ313" s="38">
        <f t="shared" ref="AZ313" si="4224">TRUNC($M313 * AY313,2)</f>
        <v>0</v>
      </c>
      <c r="BA313" s="38">
        <f t="shared" si="3781"/>
        <v>117</v>
      </c>
      <c r="BB313" s="37">
        <f t="shared" ref="BB313" si="4225">TRUNC($M313 * BA313,2)</f>
        <v>4655.43</v>
      </c>
    </row>
    <row r="314" spans="1:54" ht="39" customHeight="1" x14ac:dyDescent="0.25">
      <c r="A314" s="31" t="s">
        <v>1127</v>
      </c>
      <c r="B314" s="31" t="s">
        <v>643</v>
      </c>
      <c r="C314" s="31" t="s">
        <v>34</v>
      </c>
      <c r="D314" s="31" t="s">
        <v>644</v>
      </c>
      <c r="E314" s="32" t="s">
        <v>36</v>
      </c>
      <c r="F314" s="33">
        <v>25</v>
      </c>
      <c r="G314" s="34">
        <v>16.96</v>
      </c>
      <c r="H314" s="34">
        <f t="shared" si="3759"/>
        <v>15.61</v>
      </c>
      <c r="I314" s="34">
        <f t="shared" si="3760"/>
        <v>390.25</v>
      </c>
      <c r="J314" s="34">
        <f>(TRUNC(H314 * L14,2) + H314)</f>
        <v>18.78</v>
      </c>
      <c r="K314" s="34">
        <f t="shared" si="3936"/>
        <v>469.5</v>
      </c>
      <c r="L314" s="35">
        <f>K314 / L13</f>
        <v>1.6189655172413792E-4</v>
      </c>
      <c r="M314" s="36">
        <v>14.33</v>
      </c>
      <c r="N314" s="37">
        <f t="shared" si="3761"/>
        <v>358.25</v>
      </c>
      <c r="O314" s="36"/>
      <c r="P314" s="38">
        <f t="shared" si="3762"/>
        <v>0</v>
      </c>
      <c r="Q314" s="38"/>
      <c r="R314" s="38">
        <f t="shared" si="3762"/>
        <v>0</v>
      </c>
      <c r="S314" s="38">
        <f t="shared" si="3763"/>
        <v>25</v>
      </c>
      <c r="T314" s="37">
        <f t="shared" ref="T314:V314" si="4226">TRUNC($M314 * S314,2)</f>
        <v>358.25</v>
      </c>
      <c r="U314" s="36"/>
      <c r="V314" s="38">
        <f t="shared" si="4226"/>
        <v>0</v>
      </c>
      <c r="W314" s="38"/>
      <c r="X314" s="38">
        <f t="shared" ref="X314" si="4227">TRUNC($M314 * W314,2)</f>
        <v>0</v>
      </c>
      <c r="Y314" s="38"/>
      <c r="Z314" s="38">
        <f t="shared" ref="Z314" si="4228">TRUNC($M314 * Y314,2)</f>
        <v>0</v>
      </c>
      <c r="AA314" s="38"/>
      <c r="AB314" s="38">
        <f t="shared" ref="AB314" si="4229">TRUNC($M314 * AA314,2)</f>
        <v>0</v>
      </c>
      <c r="AC314" s="38"/>
      <c r="AD314" s="38">
        <f t="shared" ref="AD314" si="4230">TRUNC($M314 * AC314,2)</f>
        <v>0</v>
      </c>
      <c r="AE314" s="38"/>
      <c r="AF314" s="38">
        <f t="shared" ref="AF314" si="4231">TRUNC($M314 * AE314,2)</f>
        <v>0</v>
      </c>
      <c r="AG314" s="38"/>
      <c r="AH314" s="38">
        <f t="shared" ref="AH314" si="4232">TRUNC($M314 * AG314,2)</f>
        <v>0</v>
      </c>
      <c r="AI314" s="38"/>
      <c r="AJ314" s="38">
        <f t="shared" ref="AJ314" si="4233">TRUNC($M314 * AI314,2)</f>
        <v>0</v>
      </c>
      <c r="AK314" s="38"/>
      <c r="AL314" s="38">
        <f t="shared" ref="AL314" si="4234">TRUNC($M314 * AK314,2)</f>
        <v>0</v>
      </c>
      <c r="AM314" s="38"/>
      <c r="AN314" s="38">
        <f t="shared" ref="AN314" si="4235">TRUNC($M314 * AM314,2)</f>
        <v>0</v>
      </c>
      <c r="AO314" s="38"/>
      <c r="AP314" s="38">
        <f t="shared" ref="AP314" si="4236">TRUNC($M314 * AO314,2)</f>
        <v>0</v>
      </c>
      <c r="AQ314" s="38"/>
      <c r="AR314" s="38">
        <f t="shared" ref="AR314" si="4237">TRUNC($M314 * AQ314,2)</f>
        <v>0</v>
      </c>
      <c r="AS314" s="38"/>
      <c r="AT314" s="38">
        <f t="shared" ref="AT314" si="4238">TRUNC($M314 * AS314,2)</f>
        <v>0</v>
      </c>
      <c r="AU314" s="38"/>
      <c r="AV314" s="38">
        <f t="shared" ref="AV314" si="4239">TRUNC($M314 * AU314,2)</f>
        <v>0</v>
      </c>
      <c r="AW314" s="38"/>
      <c r="AX314" s="37">
        <f t="shared" ref="AX314" si="4240">TRUNC($M314 * AW314,2)</f>
        <v>0</v>
      </c>
      <c r="AY314" s="36">
        <f t="shared" si="3779"/>
        <v>0</v>
      </c>
      <c r="AZ314" s="38">
        <f t="shared" ref="AZ314" si="4241">TRUNC($M314 * AY314,2)</f>
        <v>0</v>
      </c>
      <c r="BA314" s="38">
        <f t="shared" si="3781"/>
        <v>25</v>
      </c>
      <c r="BB314" s="37">
        <f t="shared" ref="BB314" si="4242">TRUNC($M314 * BA314,2)</f>
        <v>358.25</v>
      </c>
    </row>
    <row r="315" spans="1:54" ht="51.9" customHeight="1" x14ac:dyDescent="0.25">
      <c r="A315" s="31" t="s">
        <v>1128</v>
      </c>
      <c r="B315" s="31" t="s">
        <v>645</v>
      </c>
      <c r="C315" s="31" t="s">
        <v>34</v>
      </c>
      <c r="D315" s="31" t="s">
        <v>646</v>
      </c>
      <c r="E315" s="32" t="s">
        <v>36</v>
      </c>
      <c r="F315" s="33">
        <v>2</v>
      </c>
      <c r="G315" s="34">
        <v>3947.68</v>
      </c>
      <c r="H315" s="34">
        <f t="shared" si="3759"/>
        <v>3634.79</v>
      </c>
      <c r="I315" s="34">
        <f t="shared" si="3760"/>
        <v>7269.58</v>
      </c>
      <c r="J315" s="34">
        <f>(TRUNC(H315 * L14,2) + H315)</f>
        <v>4374.1000000000004</v>
      </c>
      <c r="K315" s="34">
        <f t="shared" si="3936"/>
        <v>8748.2000000000007</v>
      </c>
      <c r="L315" s="35">
        <f>K315 / L13</f>
        <v>3.0166206896551722E-3</v>
      </c>
      <c r="M315" s="36">
        <v>3425.34</v>
      </c>
      <c r="N315" s="37">
        <f t="shared" si="3761"/>
        <v>6850.68</v>
      </c>
      <c r="O315" s="36"/>
      <c r="P315" s="38">
        <f t="shared" si="3762"/>
        <v>0</v>
      </c>
      <c r="Q315" s="38"/>
      <c r="R315" s="38">
        <f t="shared" si="3762"/>
        <v>0</v>
      </c>
      <c r="S315" s="38">
        <f t="shared" si="3763"/>
        <v>2</v>
      </c>
      <c r="T315" s="37">
        <f t="shared" ref="T315:V315" si="4243">TRUNC($M315 * S315,2)</f>
        <v>6850.68</v>
      </c>
      <c r="U315" s="36"/>
      <c r="V315" s="38">
        <f t="shared" si="4243"/>
        <v>0</v>
      </c>
      <c r="W315" s="38"/>
      <c r="X315" s="38">
        <f t="shared" ref="X315" si="4244">TRUNC($M315 * W315,2)</f>
        <v>0</v>
      </c>
      <c r="Y315" s="38"/>
      <c r="Z315" s="38">
        <f t="shared" ref="Z315" si="4245">TRUNC($M315 * Y315,2)</f>
        <v>0</v>
      </c>
      <c r="AA315" s="38"/>
      <c r="AB315" s="38">
        <f t="shared" ref="AB315" si="4246">TRUNC($M315 * AA315,2)</f>
        <v>0</v>
      </c>
      <c r="AC315" s="38"/>
      <c r="AD315" s="38">
        <f t="shared" ref="AD315" si="4247">TRUNC($M315 * AC315,2)</f>
        <v>0</v>
      </c>
      <c r="AE315" s="38"/>
      <c r="AF315" s="38">
        <f t="shared" ref="AF315" si="4248">TRUNC($M315 * AE315,2)</f>
        <v>0</v>
      </c>
      <c r="AG315" s="38"/>
      <c r="AH315" s="38">
        <f t="shared" ref="AH315" si="4249">TRUNC($M315 * AG315,2)</f>
        <v>0</v>
      </c>
      <c r="AI315" s="38"/>
      <c r="AJ315" s="38">
        <f t="shared" ref="AJ315" si="4250">TRUNC($M315 * AI315,2)</f>
        <v>0</v>
      </c>
      <c r="AK315" s="38"/>
      <c r="AL315" s="38">
        <f t="shared" ref="AL315" si="4251">TRUNC($M315 * AK315,2)</f>
        <v>0</v>
      </c>
      <c r="AM315" s="38"/>
      <c r="AN315" s="38">
        <f t="shared" ref="AN315" si="4252">TRUNC($M315 * AM315,2)</f>
        <v>0</v>
      </c>
      <c r="AO315" s="38"/>
      <c r="AP315" s="38">
        <f t="shared" ref="AP315" si="4253">TRUNC($M315 * AO315,2)</f>
        <v>0</v>
      </c>
      <c r="AQ315" s="38"/>
      <c r="AR315" s="38">
        <f t="shared" ref="AR315" si="4254">TRUNC($M315 * AQ315,2)</f>
        <v>0</v>
      </c>
      <c r="AS315" s="38"/>
      <c r="AT315" s="38">
        <f t="shared" ref="AT315" si="4255">TRUNC($M315 * AS315,2)</f>
        <v>0</v>
      </c>
      <c r="AU315" s="38"/>
      <c r="AV315" s="38">
        <f t="shared" ref="AV315" si="4256">TRUNC($M315 * AU315,2)</f>
        <v>0</v>
      </c>
      <c r="AW315" s="38"/>
      <c r="AX315" s="37">
        <f t="shared" ref="AX315" si="4257">TRUNC($M315 * AW315,2)</f>
        <v>0</v>
      </c>
      <c r="AY315" s="36">
        <f t="shared" si="3779"/>
        <v>0</v>
      </c>
      <c r="AZ315" s="38">
        <f t="shared" ref="AZ315" si="4258">TRUNC($M315 * AY315,2)</f>
        <v>0</v>
      </c>
      <c r="BA315" s="38">
        <f t="shared" si="3781"/>
        <v>2</v>
      </c>
      <c r="BB315" s="37">
        <f t="shared" ref="BB315" si="4259">TRUNC($M315 * BA315,2)</f>
        <v>6850.68</v>
      </c>
    </row>
    <row r="316" spans="1:54" ht="39" customHeight="1" x14ac:dyDescent="0.25">
      <c r="A316" s="31" t="s">
        <v>1129</v>
      </c>
      <c r="B316" s="31" t="s">
        <v>647</v>
      </c>
      <c r="C316" s="31" t="s">
        <v>34</v>
      </c>
      <c r="D316" s="31" t="s">
        <v>648</v>
      </c>
      <c r="E316" s="32" t="s">
        <v>51</v>
      </c>
      <c r="F316" s="33">
        <v>2.7</v>
      </c>
      <c r="G316" s="34">
        <v>152.16999999999999</v>
      </c>
      <c r="H316" s="34">
        <f t="shared" si="3759"/>
        <v>140.1</v>
      </c>
      <c r="I316" s="34">
        <f t="shared" si="3760"/>
        <v>378.27</v>
      </c>
      <c r="J316" s="34">
        <f>(TRUNC(H316 * L14,2) + H316)</f>
        <v>168.59</v>
      </c>
      <c r="K316" s="34">
        <f t="shared" si="3936"/>
        <v>455.19</v>
      </c>
      <c r="L316" s="35">
        <f>K316 / L13</f>
        <v>1.5696206896551721E-4</v>
      </c>
      <c r="M316" s="36">
        <v>130.79</v>
      </c>
      <c r="N316" s="37">
        <f t="shared" si="3761"/>
        <v>353.13</v>
      </c>
      <c r="O316" s="36"/>
      <c r="P316" s="38">
        <f t="shared" si="3762"/>
        <v>0</v>
      </c>
      <c r="Q316" s="38"/>
      <c r="R316" s="38">
        <f t="shared" si="3762"/>
        <v>0</v>
      </c>
      <c r="S316" s="38">
        <f t="shared" si="3763"/>
        <v>2.7</v>
      </c>
      <c r="T316" s="37">
        <f t="shared" ref="T316:V316" si="4260">TRUNC($M316 * S316,2)</f>
        <v>353.13</v>
      </c>
      <c r="U316" s="36"/>
      <c r="V316" s="38">
        <f t="shared" si="4260"/>
        <v>0</v>
      </c>
      <c r="W316" s="38"/>
      <c r="X316" s="38">
        <f t="shared" ref="X316" si="4261">TRUNC($M316 * W316,2)</f>
        <v>0</v>
      </c>
      <c r="Y316" s="38"/>
      <c r="Z316" s="38">
        <f t="shared" ref="Z316" si="4262">TRUNC($M316 * Y316,2)</f>
        <v>0</v>
      </c>
      <c r="AA316" s="38"/>
      <c r="AB316" s="38">
        <f t="shared" ref="AB316" si="4263">TRUNC($M316 * AA316,2)</f>
        <v>0</v>
      </c>
      <c r="AC316" s="38"/>
      <c r="AD316" s="38">
        <f t="shared" ref="AD316" si="4264">TRUNC($M316 * AC316,2)</f>
        <v>0</v>
      </c>
      <c r="AE316" s="38"/>
      <c r="AF316" s="38">
        <f t="shared" ref="AF316" si="4265">TRUNC($M316 * AE316,2)</f>
        <v>0</v>
      </c>
      <c r="AG316" s="38"/>
      <c r="AH316" s="38">
        <f t="shared" ref="AH316" si="4266">TRUNC($M316 * AG316,2)</f>
        <v>0</v>
      </c>
      <c r="AI316" s="38"/>
      <c r="AJ316" s="38">
        <f t="shared" ref="AJ316" si="4267">TRUNC($M316 * AI316,2)</f>
        <v>0</v>
      </c>
      <c r="AK316" s="38"/>
      <c r="AL316" s="38">
        <f t="shared" ref="AL316" si="4268">TRUNC($M316 * AK316,2)</f>
        <v>0</v>
      </c>
      <c r="AM316" s="38"/>
      <c r="AN316" s="38">
        <f t="shared" ref="AN316" si="4269">TRUNC($M316 * AM316,2)</f>
        <v>0</v>
      </c>
      <c r="AO316" s="38"/>
      <c r="AP316" s="38">
        <f t="shared" ref="AP316" si="4270">TRUNC($M316 * AO316,2)</f>
        <v>0</v>
      </c>
      <c r="AQ316" s="38"/>
      <c r="AR316" s="38">
        <f t="shared" ref="AR316" si="4271">TRUNC($M316 * AQ316,2)</f>
        <v>0</v>
      </c>
      <c r="AS316" s="38"/>
      <c r="AT316" s="38">
        <f t="shared" ref="AT316" si="4272">TRUNC($M316 * AS316,2)</f>
        <v>0</v>
      </c>
      <c r="AU316" s="38"/>
      <c r="AV316" s="38">
        <f t="shared" ref="AV316" si="4273">TRUNC($M316 * AU316,2)</f>
        <v>0</v>
      </c>
      <c r="AW316" s="38"/>
      <c r="AX316" s="37">
        <f t="shared" ref="AX316" si="4274">TRUNC($M316 * AW316,2)</f>
        <v>0</v>
      </c>
      <c r="AY316" s="36">
        <f t="shared" si="3779"/>
        <v>0</v>
      </c>
      <c r="AZ316" s="38">
        <f t="shared" ref="AZ316" si="4275">TRUNC($M316 * AY316,2)</f>
        <v>0</v>
      </c>
      <c r="BA316" s="38">
        <f t="shared" si="3781"/>
        <v>2.7</v>
      </c>
      <c r="BB316" s="37">
        <f t="shared" ref="BB316" si="4276">TRUNC($M316 * BA316,2)</f>
        <v>353.13</v>
      </c>
    </row>
    <row r="317" spans="1:54" ht="39" customHeight="1" x14ac:dyDescent="0.25">
      <c r="A317" s="39" t="s">
        <v>1130</v>
      </c>
      <c r="B317" s="39" t="s">
        <v>649</v>
      </c>
      <c r="C317" s="39" t="s">
        <v>34</v>
      </c>
      <c r="D317" s="39" t="s">
        <v>650</v>
      </c>
      <c r="E317" s="40" t="s">
        <v>36</v>
      </c>
      <c r="F317" s="41">
        <v>2</v>
      </c>
      <c r="G317" s="42">
        <v>540.51</v>
      </c>
      <c r="H317" s="42">
        <f t="shared" si="3759"/>
        <v>497.66</v>
      </c>
      <c r="I317" s="42">
        <f t="shared" si="3760"/>
        <v>995.32</v>
      </c>
      <c r="J317" s="42">
        <f>(TRUNC(H317 * L14,2) + H317)</f>
        <v>598.88</v>
      </c>
      <c r="K317" s="42">
        <f t="shared" si="3936"/>
        <v>1197.76</v>
      </c>
      <c r="L317" s="44">
        <f>K317 / L13</f>
        <v>4.1302068965517233E-4</v>
      </c>
      <c r="M317" s="45">
        <v>598.88</v>
      </c>
      <c r="N317" s="46">
        <f t="shared" si="3761"/>
        <v>1197.76</v>
      </c>
      <c r="O317" s="45"/>
      <c r="P317" s="47">
        <f t="shared" si="3762"/>
        <v>0</v>
      </c>
      <c r="Q317" s="47"/>
      <c r="R317" s="47">
        <f t="shared" si="3762"/>
        <v>0</v>
      </c>
      <c r="S317" s="47">
        <f t="shared" si="3763"/>
        <v>2</v>
      </c>
      <c r="T317" s="46">
        <f t="shared" ref="T317:V317" si="4277">TRUNC($M317 * S317,2)</f>
        <v>1197.76</v>
      </c>
      <c r="U317" s="45"/>
      <c r="V317" s="47">
        <f t="shared" si="4277"/>
        <v>0</v>
      </c>
      <c r="W317" s="47"/>
      <c r="X317" s="47">
        <f t="shared" ref="X317" si="4278">TRUNC($M317 * W317,2)</f>
        <v>0</v>
      </c>
      <c r="Y317" s="47"/>
      <c r="Z317" s="47">
        <f t="shared" ref="Z317" si="4279">TRUNC($M317 * Y317,2)</f>
        <v>0</v>
      </c>
      <c r="AA317" s="47"/>
      <c r="AB317" s="47">
        <f t="shared" ref="AB317" si="4280">TRUNC($M317 * AA317,2)</f>
        <v>0</v>
      </c>
      <c r="AC317" s="47"/>
      <c r="AD317" s="47">
        <f t="shared" ref="AD317" si="4281">TRUNC($M317 * AC317,2)</f>
        <v>0</v>
      </c>
      <c r="AE317" s="47"/>
      <c r="AF317" s="47">
        <f t="shared" ref="AF317" si="4282">TRUNC($M317 * AE317,2)</f>
        <v>0</v>
      </c>
      <c r="AG317" s="47"/>
      <c r="AH317" s="47">
        <f t="shared" ref="AH317" si="4283">TRUNC($M317 * AG317,2)</f>
        <v>0</v>
      </c>
      <c r="AI317" s="47"/>
      <c r="AJ317" s="47">
        <f t="shared" ref="AJ317" si="4284">TRUNC($M317 * AI317,2)</f>
        <v>0</v>
      </c>
      <c r="AK317" s="47"/>
      <c r="AL317" s="47">
        <f t="shared" ref="AL317" si="4285">TRUNC($M317 * AK317,2)</f>
        <v>0</v>
      </c>
      <c r="AM317" s="47"/>
      <c r="AN317" s="47">
        <f t="shared" ref="AN317" si="4286">TRUNC($M317 * AM317,2)</f>
        <v>0</v>
      </c>
      <c r="AO317" s="47"/>
      <c r="AP317" s="47">
        <f t="shared" ref="AP317" si="4287">TRUNC($M317 * AO317,2)</f>
        <v>0</v>
      </c>
      <c r="AQ317" s="47"/>
      <c r="AR317" s="47">
        <f t="shared" ref="AR317" si="4288">TRUNC($M317 * AQ317,2)</f>
        <v>0</v>
      </c>
      <c r="AS317" s="47"/>
      <c r="AT317" s="47">
        <f t="shared" ref="AT317" si="4289">TRUNC($M317 * AS317,2)</f>
        <v>0</v>
      </c>
      <c r="AU317" s="47"/>
      <c r="AV317" s="47">
        <f t="shared" ref="AV317" si="4290">TRUNC($M317 * AU317,2)</f>
        <v>0</v>
      </c>
      <c r="AW317" s="47"/>
      <c r="AX317" s="46">
        <f t="shared" ref="AX317" si="4291">TRUNC($M317 * AW317,2)</f>
        <v>0</v>
      </c>
      <c r="AY317" s="45">
        <f t="shared" si="3779"/>
        <v>0</v>
      </c>
      <c r="AZ317" s="47">
        <f t="shared" ref="AZ317" si="4292">TRUNC($M317 * AY317,2)</f>
        <v>0</v>
      </c>
      <c r="BA317" s="47">
        <f t="shared" si="3781"/>
        <v>2</v>
      </c>
      <c r="BB317" s="46">
        <f t="shared" ref="BB317" si="4293">TRUNC($M317 * BA317,2)</f>
        <v>1197.76</v>
      </c>
    </row>
    <row r="318" spans="1:54" ht="24" customHeight="1" x14ac:dyDescent="0.25">
      <c r="A318" s="4" t="s">
        <v>1131</v>
      </c>
      <c r="B318" s="4" t="s">
        <v>12</v>
      </c>
      <c r="C318" s="4"/>
      <c r="D318" s="4" t="s">
        <v>651</v>
      </c>
      <c r="E318" s="5"/>
      <c r="F318" s="14"/>
      <c r="G318" s="6"/>
      <c r="H318" s="6"/>
      <c r="I318" s="7">
        <f>SUM(I319:I330)</f>
        <v>7161.82</v>
      </c>
      <c r="J318" s="7"/>
      <c r="K318" s="7">
        <f>SUM(K319:K330)</f>
        <v>8617.94</v>
      </c>
      <c r="L318" s="22">
        <f>K318 / L13</f>
        <v>2.9717034482758618E-3</v>
      </c>
      <c r="M318" s="25"/>
      <c r="N318" s="26">
        <f>SUM(N319:N330)</f>
        <v>5340.64</v>
      </c>
      <c r="O318" s="25"/>
      <c r="P318" s="30">
        <f>SUM(P319:P330)</f>
        <v>0</v>
      </c>
      <c r="Q318" s="30"/>
      <c r="R318" s="30">
        <f>SUM(R319:R330)</f>
        <v>0</v>
      </c>
      <c r="S318" s="30"/>
      <c r="T318" s="26">
        <f>SUM(T319:T330)</f>
        <v>5340.64</v>
      </c>
      <c r="U318" s="25"/>
      <c r="V318" s="30">
        <f>SUM(V319:V330)</f>
        <v>0</v>
      </c>
      <c r="W318" s="30"/>
      <c r="X318" s="30">
        <f>SUM(X319:X330)</f>
        <v>0</v>
      </c>
      <c r="Y318" s="30"/>
      <c r="Z318" s="30">
        <f>SUM(Z319:Z330)</f>
        <v>0</v>
      </c>
      <c r="AA318" s="30"/>
      <c r="AB318" s="30">
        <f>SUM(AB319:AB330)</f>
        <v>0</v>
      </c>
      <c r="AC318" s="30"/>
      <c r="AD318" s="30">
        <f>SUM(AD319:AD330)</f>
        <v>0</v>
      </c>
      <c r="AE318" s="30"/>
      <c r="AF318" s="30">
        <f>SUM(AF319:AF330)</f>
        <v>0</v>
      </c>
      <c r="AG318" s="30"/>
      <c r="AH318" s="30">
        <f>SUM(AH319:AH330)</f>
        <v>0</v>
      </c>
      <c r="AI318" s="30"/>
      <c r="AJ318" s="30">
        <f>SUM(AJ319:AJ330)</f>
        <v>0</v>
      </c>
      <c r="AK318" s="30"/>
      <c r="AL318" s="30">
        <f>SUM(AL319:AL330)</f>
        <v>0</v>
      </c>
      <c r="AM318" s="30"/>
      <c r="AN318" s="30">
        <f>SUM(AN319:AN330)</f>
        <v>0</v>
      </c>
      <c r="AO318" s="30"/>
      <c r="AP318" s="30">
        <f>SUM(AP319:AP330)</f>
        <v>0</v>
      </c>
      <c r="AQ318" s="30"/>
      <c r="AR318" s="30">
        <f>SUM(AR319:AR330)</f>
        <v>0</v>
      </c>
      <c r="AS318" s="30"/>
      <c r="AT318" s="30">
        <f>SUM(AT319:AT330)</f>
        <v>0</v>
      </c>
      <c r="AU318" s="30"/>
      <c r="AV318" s="30">
        <f>SUM(AV319:AV330)</f>
        <v>0</v>
      </c>
      <c r="AW318" s="30"/>
      <c r="AX318" s="26">
        <f>SUM(AX319:AX330)</f>
        <v>0</v>
      </c>
      <c r="AY318" s="25"/>
      <c r="AZ318" s="30">
        <f>SUM(AZ319:AZ330)</f>
        <v>0</v>
      </c>
      <c r="BA318" s="30"/>
      <c r="BB318" s="26">
        <f>SUM(BB319:BB330)</f>
        <v>5340.64</v>
      </c>
    </row>
    <row r="319" spans="1:54" ht="39" customHeight="1" x14ac:dyDescent="0.25">
      <c r="A319" s="31" t="s">
        <v>1132</v>
      </c>
      <c r="B319" s="31" t="s">
        <v>652</v>
      </c>
      <c r="C319" s="31" t="s">
        <v>24</v>
      </c>
      <c r="D319" s="31" t="s">
        <v>653</v>
      </c>
      <c r="E319" s="32" t="s">
        <v>171</v>
      </c>
      <c r="F319" s="33">
        <v>5</v>
      </c>
      <c r="G319" s="34">
        <v>17.850000000000001</v>
      </c>
      <c r="H319" s="34">
        <f t="shared" si="3759"/>
        <v>16.43</v>
      </c>
      <c r="I319" s="34">
        <f t="shared" si="3760"/>
        <v>82.15</v>
      </c>
      <c r="J319" s="34">
        <f>(TRUNC(H319 * L14,2) + H319)</f>
        <v>19.77</v>
      </c>
      <c r="K319" s="34">
        <f t="shared" ref="K319:K330" si="4294">TRUNC(F319 * J319,2)</f>
        <v>98.85</v>
      </c>
      <c r="L319" s="35">
        <f>K319 / L13</f>
        <v>3.4086206896551715E-5</v>
      </c>
      <c r="M319" s="36">
        <v>14.13</v>
      </c>
      <c r="N319" s="37">
        <f t="shared" si="3761"/>
        <v>70.650000000000006</v>
      </c>
      <c r="O319" s="36"/>
      <c r="P319" s="38">
        <f t="shared" si="3762"/>
        <v>0</v>
      </c>
      <c r="Q319" s="38"/>
      <c r="R319" s="38">
        <f t="shared" si="3762"/>
        <v>0</v>
      </c>
      <c r="S319" s="38">
        <f t="shared" si="3763"/>
        <v>5</v>
      </c>
      <c r="T319" s="37">
        <f t="shared" ref="T319:V319" si="4295">TRUNC($M319 * S319,2)</f>
        <v>70.650000000000006</v>
      </c>
      <c r="U319" s="36"/>
      <c r="V319" s="38">
        <f t="shared" si="4295"/>
        <v>0</v>
      </c>
      <c r="W319" s="38"/>
      <c r="X319" s="38">
        <f t="shared" ref="X319" si="4296">TRUNC($M319 * W319,2)</f>
        <v>0</v>
      </c>
      <c r="Y319" s="38"/>
      <c r="Z319" s="38">
        <f t="shared" ref="Z319" si="4297">TRUNC($M319 * Y319,2)</f>
        <v>0</v>
      </c>
      <c r="AA319" s="38"/>
      <c r="AB319" s="38">
        <f t="shared" ref="AB319" si="4298">TRUNC($M319 * AA319,2)</f>
        <v>0</v>
      </c>
      <c r="AC319" s="38"/>
      <c r="AD319" s="38">
        <f t="shared" ref="AD319" si="4299">TRUNC($M319 * AC319,2)</f>
        <v>0</v>
      </c>
      <c r="AE319" s="38"/>
      <c r="AF319" s="38">
        <f t="shared" ref="AF319" si="4300">TRUNC($M319 * AE319,2)</f>
        <v>0</v>
      </c>
      <c r="AG319" s="38"/>
      <c r="AH319" s="38">
        <f t="shared" ref="AH319" si="4301">TRUNC($M319 * AG319,2)</f>
        <v>0</v>
      </c>
      <c r="AI319" s="38"/>
      <c r="AJ319" s="38">
        <f t="shared" ref="AJ319" si="4302">TRUNC($M319 * AI319,2)</f>
        <v>0</v>
      </c>
      <c r="AK319" s="38"/>
      <c r="AL319" s="38">
        <f t="shared" ref="AL319" si="4303">TRUNC($M319 * AK319,2)</f>
        <v>0</v>
      </c>
      <c r="AM319" s="38"/>
      <c r="AN319" s="38">
        <f t="shared" ref="AN319" si="4304">TRUNC($M319 * AM319,2)</f>
        <v>0</v>
      </c>
      <c r="AO319" s="38"/>
      <c r="AP319" s="38">
        <f t="shared" ref="AP319" si="4305">TRUNC($M319 * AO319,2)</f>
        <v>0</v>
      </c>
      <c r="AQ319" s="38"/>
      <c r="AR319" s="38">
        <f t="shared" ref="AR319" si="4306">TRUNC($M319 * AQ319,2)</f>
        <v>0</v>
      </c>
      <c r="AS319" s="38"/>
      <c r="AT319" s="38">
        <f t="shared" ref="AT319" si="4307">TRUNC($M319 * AS319,2)</f>
        <v>0</v>
      </c>
      <c r="AU319" s="38"/>
      <c r="AV319" s="38">
        <f t="shared" ref="AV319" si="4308">TRUNC($M319 * AU319,2)</f>
        <v>0</v>
      </c>
      <c r="AW319" s="38"/>
      <c r="AX319" s="37">
        <f t="shared" ref="AX319" si="4309">TRUNC($M319 * AW319,2)</f>
        <v>0</v>
      </c>
      <c r="AY319" s="36">
        <f t="shared" si="3779"/>
        <v>0</v>
      </c>
      <c r="AZ319" s="38">
        <f t="shared" ref="AZ319" si="4310">TRUNC($M319 * AY319,2)</f>
        <v>0</v>
      </c>
      <c r="BA319" s="38">
        <f t="shared" si="3781"/>
        <v>5</v>
      </c>
      <c r="BB319" s="37">
        <f t="shared" ref="BB319" si="4311">TRUNC($M319 * BA319,2)</f>
        <v>70.650000000000006</v>
      </c>
    </row>
    <row r="320" spans="1:54" ht="39" customHeight="1" x14ac:dyDescent="0.25">
      <c r="A320" s="31" t="s">
        <v>1133</v>
      </c>
      <c r="B320" s="31" t="s">
        <v>654</v>
      </c>
      <c r="C320" s="31" t="s">
        <v>34</v>
      </c>
      <c r="D320" s="31" t="s">
        <v>655</v>
      </c>
      <c r="E320" s="32" t="s">
        <v>36</v>
      </c>
      <c r="F320" s="33">
        <v>10</v>
      </c>
      <c r="G320" s="34">
        <v>302.27</v>
      </c>
      <c r="H320" s="34">
        <f t="shared" si="3759"/>
        <v>278.31</v>
      </c>
      <c r="I320" s="34">
        <f t="shared" si="3760"/>
        <v>2783.1</v>
      </c>
      <c r="J320" s="34">
        <f>(TRUNC(H320 * L14,2) + H320)</f>
        <v>334.91</v>
      </c>
      <c r="K320" s="34">
        <f t="shared" si="4294"/>
        <v>3349.1</v>
      </c>
      <c r="L320" s="35">
        <f>K320 / L13</f>
        <v>1.1548620689655171E-3</v>
      </c>
      <c r="M320" s="36">
        <v>223.82</v>
      </c>
      <c r="N320" s="37">
        <f t="shared" si="3761"/>
        <v>2238.1999999999998</v>
      </c>
      <c r="O320" s="36"/>
      <c r="P320" s="38">
        <f t="shared" si="3762"/>
        <v>0</v>
      </c>
      <c r="Q320" s="38"/>
      <c r="R320" s="38">
        <f t="shared" si="3762"/>
        <v>0</v>
      </c>
      <c r="S320" s="38">
        <f t="shared" si="3763"/>
        <v>10</v>
      </c>
      <c r="T320" s="37">
        <f t="shared" ref="T320:V320" si="4312">TRUNC($M320 * S320,2)</f>
        <v>2238.1999999999998</v>
      </c>
      <c r="U320" s="36"/>
      <c r="V320" s="38">
        <f t="shared" si="4312"/>
        <v>0</v>
      </c>
      <c r="W320" s="38"/>
      <c r="X320" s="38">
        <f t="shared" ref="X320" si="4313">TRUNC($M320 * W320,2)</f>
        <v>0</v>
      </c>
      <c r="Y320" s="38"/>
      <c r="Z320" s="38">
        <f t="shared" ref="Z320" si="4314">TRUNC($M320 * Y320,2)</f>
        <v>0</v>
      </c>
      <c r="AA320" s="38"/>
      <c r="AB320" s="38">
        <f t="shared" ref="AB320" si="4315">TRUNC($M320 * AA320,2)</f>
        <v>0</v>
      </c>
      <c r="AC320" s="38"/>
      <c r="AD320" s="38">
        <f t="shared" ref="AD320" si="4316">TRUNC($M320 * AC320,2)</f>
        <v>0</v>
      </c>
      <c r="AE320" s="38"/>
      <c r="AF320" s="38">
        <f t="shared" ref="AF320" si="4317">TRUNC($M320 * AE320,2)</f>
        <v>0</v>
      </c>
      <c r="AG320" s="38"/>
      <c r="AH320" s="38">
        <f t="shared" ref="AH320" si="4318">TRUNC($M320 * AG320,2)</f>
        <v>0</v>
      </c>
      <c r="AI320" s="38"/>
      <c r="AJ320" s="38">
        <f t="shared" ref="AJ320" si="4319">TRUNC($M320 * AI320,2)</f>
        <v>0</v>
      </c>
      <c r="AK320" s="38"/>
      <c r="AL320" s="38">
        <f t="shared" ref="AL320" si="4320">TRUNC($M320 * AK320,2)</f>
        <v>0</v>
      </c>
      <c r="AM320" s="38"/>
      <c r="AN320" s="38">
        <f t="shared" ref="AN320" si="4321">TRUNC($M320 * AM320,2)</f>
        <v>0</v>
      </c>
      <c r="AO320" s="38"/>
      <c r="AP320" s="38">
        <f t="shared" ref="AP320" si="4322">TRUNC($M320 * AO320,2)</f>
        <v>0</v>
      </c>
      <c r="AQ320" s="38"/>
      <c r="AR320" s="38">
        <f t="shared" ref="AR320" si="4323">TRUNC($M320 * AQ320,2)</f>
        <v>0</v>
      </c>
      <c r="AS320" s="38"/>
      <c r="AT320" s="38">
        <f t="shared" ref="AT320" si="4324">TRUNC($M320 * AS320,2)</f>
        <v>0</v>
      </c>
      <c r="AU320" s="38"/>
      <c r="AV320" s="38">
        <f t="shared" ref="AV320" si="4325">TRUNC($M320 * AU320,2)</f>
        <v>0</v>
      </c>
      <c r="AW320" s="38"/>
      <c r="AX320" s="37">
        <f t="shared" ref="AX320" si="4326">TRUNC($M320 * AW320,2)</f>
        <v>0</v>
      </c>
      <c r="AY320" s="36">
        <f t="shared" si="3779"/>
        <v>0</v>
      </c>
      <c r="AZ320" s="38">
        <f t="shared" ref="AZ320" si="4327">TRUNC($M320 * AY320,2)</f>
        <v>0</v>
      </c>
      <c r="BA320" s="38">
        <f t="shared" si="3781"/>
        <v>10</v>
      </c>
      <c r="BB320" s="37">
        <f t="shared" ref="BB320" si="4328">TRUNC($M320 * BA320,2)</f>
        <v>2238.1999999999998</v>
      </c>
    </row>
    <row r="321" spans="1:54" ht="39" customHeight="1" x14ac:dyDescent="0.25">
      <c r="A321" s="31" t="s">
        <v>1134</v>
      </c>
      <c r="B321" s="31" t="s">
        <v>656</v>
      </c>
      <c r="C321" s="31" t="s">
        <v>24</v>
      </c>
      <c r="D321" s="31" t="s">
        <v>657</v>
      </c>
      <c r="E321" s="32" t="s">
        <v>171</v>
      </c>
      <c r="F321" s="33">
        <v>10</v>
      </c>
      <c r="G321" s="34">
        <v>16.489999999999998</v>
      </c>
      <c r="H321" s="34">
        <f t="shared" si="3759"/>
        <v>15.18</v>
      </c>
      <c r="I321" s="34">
        <f t="shared" si="3760"/>
        <v>151.80000000000001</v>
      </c>
      <c r="J321" s="34">
        <f>(TRUNC(H321 * L14,2) + H321)</f>
        <v>18.259999999999998</v>
      </c>
      <c r="K321" s="34">
        <f t="shared" si="4294"/>
        <v>182.6</v>
      </c>
      <c r="L321" s="35">
        <f>K321 / L13</f>
        <v>6.2965517241379303E-5</v>
      </c>
      <c r="M321" s="36">
        <v>13.44</v>
      </c>
      <c r="N321" s="37">
        <f t="shared" si="3761"/>
        <v>134.4</v>
      </c>
      <c r="O321" s="36"/>
      <c r="P321" s="38">
        <f t="shared" si="3762"/>
        <v>0</v>
      </c>
      <c r="Q321" s="38"/>
      <c r="R321" s="38">
        <f t="shared" si="3762"/>
        <v>0</v>
      </c>
      <c r="S321" s="38">
        <f t="shared" si="3763"/>
        <v>10</v>
      </c>
      <c r="T321" s="37">
        <f t="shared" ref="T321:V321" si="4329">TRUNC($M321 * S321,2)</f>
        <v>134.4</v>
      </c>
      <c r="U321" s="36"/>
      <c r="V321" s="38">
        <f t="shared" si="4329"/>
        <v>0</v>
      </c>
      <c r="W321" s="38"/>
      <c r="X321" s="38">
        <f t="shared" ref="X321" si="4330">TRUNC($M321 * W321,2)</f>
        <v>0</v>
      </c>
      <c r="Y321" s="38"/>
      <c r="Z321" s="38">
        <f t="shared" ref="Z321" si="4331">TRUNC($M321 * Y321,2)</f>
        <v>0</v>
      </c>
      <c r="AA321" s="38"/>
      <c r="AB321" s="38">
        <f t="shared" ref="AB321" si="4332">TRUNC($M321 * AA321,2)</f>
        <v>0</v>
      </c>
      <c r="AC321" s="38"/>
      <c r="AD321" s="38">
        <f t="shared" ref="AD321" si="4333">TRUNC($M321 * AC321,2)</f>
        <v>0</v>
      </c>
      <c r="AE321" s="38"/>
      <c r="AF321" s="38">
        <f t="shared" ref="AF321" si="4334">TRUNC($M321 * AE321,2)</f>
        <v>0</v>
      </c>
      <c r="AG321" s="38"/>
      <c r="AH321" s="38">
        <f t="shared" ref="AH321" si="4335">TRUNC($M321 * AG321,2)</f>
        <v>0</v>
      </c>
      <c r="AI321" s="38"/>
      <c r="AJ321" s="38">
        <f t="shared" ref="AJ321" si="4336">TRUNC($M321 * AI321,2)</f>
        <v>0</v>
      </c>
      <c r="AK321" s="38"/>
      <c r="AL321" s="38">
        <f t="shared" ref="AL321" si="4337">TRUNC($M321 * AK321,2)</f>
        <v>0</v>
      </c>
      <c r="AM321" s="38"/>
      <c r="AN321" s="38">
        <f t="shared" ref="AN321" si="4338">TRUNC($M321 * AM321,2)</f>
        <v>0</v>
      </c>
      <c r="AO321" s="38"/>
      <c r="AP321" s="38">
        <f t="shared" ref="AP321" si="4339">TRUNC($M321 * AO321,2)</f>
        <v>0</v>
      </c>
      <c r="AQ321" s="38"/>
      <c r="AR321" s="38">
        <f t="shared" ref="AR321" si="4340">TRUNC($M321 * AQ321,2)</f>
        <v>0</v>
      </c>
      <c r="AS321" s="38"/>
      <c r="AT321" s="38">
        <f t="shared" ref="AT321" si="4341">TRUNC($M321 * AS321,2)</f>
        <v>0</v>
      </c>
      <c r="AU321" s="38"/>
      <c r="AV321" s="38">
        <f t="shared" ref="AV321" si="4342">TRUNC($M321 * AU321,2)</f>
        <v>0</v>
      </c>
      <c r="AW321" s="38"/>
      <c r="AX321" s="37">
        <f t="shared" ref="AX321" si="4343">TRUNC($M321 * AW321,2)</f>
        <v>0</v>
      </c>
      <c r="AY321" s="36">
        <f t="shared" si="3779"/>
        <v>0</v>
      </c>
      <c r="AZ321" s="38">
        <f t="shared" ref="AZ321" si="4344">TRUNC($M321 * AY321,2)</f>
        <v>0</v>
      </c>
      <c r="BA321" s="38">
        <f t="shared" si="3781"/>
        <v>10</v>
      </c>
      <c r="BB321" s="37">
        <f t="shared" ref="BB321" si="4345">TRUNC($M321 * BA321,2)</f>
        <v>134.4</v>
      </c>
    </row>
    <row r="322" spans="1:54" ht="24" customHeight="1" x14ac:dyDescent="0.25">
      <c r="A322" s="31" t="s">
        <v>1135</v>
      </c>
      <c r="B322" s="31" t="s">
        <v>658</v>
      </c>
      <c r="C322" s="31" t="s">
        <v>19</v>
      </c>
      <c r="D322" s="31" t="s">
        <v>659</v>
      </c>
      <c r="E322" s="32" t="s">
        <v>171</v>
      </c>
      <c r="F322" s="33">
        <v>1</v>
      </c>
      <c r="G322" s="34">
        <v>219.23</v>
      </c>
      <c r="H322" s="34">
        <f t="shared" si="3759"/>
        <v>201.85</v>
      </c>
      <c r="I322" s="34">
        <f t="shared" si="3760"/>
        <v>201.85</v>
      </c>
      <c r="J322" s="34">
        <f>(TRUNC(H322 * L14,2) + H322)</f>
        <v>242.89999999999998</v>
      </c>
      <c r="K322" s="34">
        <f t="shared" si="4294"/>
        <v>242.9</v>
      </c>
      <c r="L322" s="35">
        <f>K322 / L13</f>
        <v>8.3758620689655157E-5</v>
      </c>
      <c r="M322" s="36">
        <v>157.15</v>
      </c>
      <c r="N322" s="37">
        <f t="shared" si="3761"/>
        <v>157.15</v>
      </c>
      <c r="O322" s="36"/>
      <c r="P322" s="38">
        <f t="shared" si="3762"/>
        <v>0</v>
      </c>
      <c r="Q322" s="38"/>
      <c r="R322" s="38">
        <f t="shared" si="3762"/>
        <v>0</v>
      </c>
      <c r="S322" s="38">
        <f t="shared" si="3763"/>
        <v>1</v>
      </c>
      <c r="T322" s="37">
        <f t="shared" ref="T322:V322" si="4346">TRUNC($M322 * S322,2)</f>
        <v>157.15</v>
      </c>
      <c r="U322" s="36"/>
      <c r="V322" s="38">
        <f t="shared" si="4346"/>
        <v>0</v>
      </c>
      <c r="W322" s="38"/>
      <c r="X322" s="38">
        <f t="shared" ref="X322" si="4347">TRUNC($M322 * W322,2)</f>
        <v>0</v>
      </c>
      <c r="Y322" s="38"/>
      <c r="Z322" s="38">
        <f t="shared" ref="Z322" si="4348">TRUNC($M322 * Y322,2)</f>
        <v>0</v>
      </c>
      <c r="AA322" s="38"/>
      <c r="AB322" s="38">
        <f t="shared" ref="AB322" si="4349">TRUNC($M322 * AA322,2)</f>
        <v>0</v>
      </c>
      <c r="AC322" s="38"/>
      <c r="AD322" s="38">
        <f t="shared" ref="AD322" si="4350">TRUNC($M322 * AC322,2)</f>
        <v>0</v>
      </c>
      <c r="AE322" s="38"/>
      <c r="AF322" s="38">
        <f t="shared" ref="AF322" si="4351">TRUNC($M322 * AE322,2)</f>
        <v>0</v>
      </c>
      <c r="AG322" s="38"/>
      <c r="AH322" s="38">
        <f t="shared" ref="AH322" si="4352">TRUNC($M322 * AG322,2)</f>
        <v>0</v>
      </c>
      <c r="AI322" s="38"/>
      <c r="AJ322" s="38">
        <f t="shared" ref="AJ322" si="4353">TRUNC($M322 * AI322,2)</f>
        <v>0</v>
      </c>
      <c r="AK322" s="38"/>
      <c r="AL322" s="38">
        <f t="shared" ref="AL322" si="4354">TRUNC($M322 * AK322,2)</f>
        <v>0</v>
      </c>
      <c r="AM322" s="38"/>
      <c r="AN322" s="38">
        <f t="shared" ref="AN322" si="4355">TRUNC($M322 * AM322,2)</f>
        <v>0</v>
      </c>
      <c r="AO322" s="38"/>
      <c r="AP322" s="38">
        <f t="shared" ref="AP322" si="4356">TRUNC($M322 * AO322,2)</f>
        <v>0</v>
      </c>
      <c r="AQ322" s="38"/>
      <c r="AR322" s="38">
        <f t="shared" ref="AR322" si="4357">TRUNC($M322 * AQ322,2)</f>
        <v>0</v>
      </c>
      <c r="AS322" s="38"/>
      <c r="AT322" s="38">
        <f t="shared" ref="AT322" si="4358">TRUNC($M322 * AS322,2)</f>
        <v>0</v>
      </c>
      <c r="AU322" s="38"/>
      <c r="AV322" s="38">
        <f t="shared" ref="AV322" si="4359">TRUNC($M322 * AU322,2)</f>
        <v>0</v>
      </c>
      <c r="AW322" s="38"/>
      <c r="AX322" s="37">
        <f t="shared" ref="AX322" si="4360">TRUNC($M322 * AW322,2)</f>
        <v>0</v>
      </c>
      <c r="AY322" s="36">
        <f t="shared" si="3779"/>
        <v>0</v>
      </c>
      <c r="AZ322" s="38">
        <f t="shared" ref="AZ322" si="4361">TRUNC($M322 * AY322,2)</f>
        <v>0</v>
      </c>
      <c r="BA322" s="38">
        <f t="shared" si="3781"/>
        <v>1</v>
      </c>
      <c r="BB322" s="37">
        <f t="shared" ref="BB322" si="4362">TRUNC($M322 * BA322,2)</f>
        <v>157.15</v>
      </c>
    </row>
    <row r="323" spans="1:54" ht="51.9" customHeight="1" x14ac:dyDescent="0.25">
      <c r="A323" s="31" t="s">
        <v>1136</v>
      </c>
      <c r="B323" s="31" t="s">
        <v>660</v>
      </c>
      <c r="C323" s="31" t="s">
        <v>24</v>
      </c>
      <c r="D323" s="31" t="s">
        <v>661</v>
      </c>
      <c r="E323" s="32" t="s">
        <v>662</v>
      </c>
      <c r="F323" s="33">
        <v>6</v>
      </c>
      <c r="G323" s="34">
        <v>46.61</v>
      </c>
      <c r="H323" s="34">
        <f t="shared" si="3759"/>
        <v>42.91</v>
      </c>
      <c r="I323" s="34">
        <f t="shared" si="3760"/>
        <v>257.45999999999998</v>
      </c>
      <c r="J323" s="34">
        <f>(TRUNC(H323 * L14,2) + H323)</f>
        <v>51.629999999999995</v>
      </c>
      <c r="K323" s="34">
        <f t="shared" si="4294"/>
        <v>309.77999999999997</v>
      </c>
      <c r="L323" s="35">
        <f>K323 / L13</f>
        <v>1.0682068965517239E-4</v>
      </c>
      <c r="M323" s="36">
        <v>33.03</v>
      </c>
      <c r="N323" s="37">
        <f t="shared" si="3761"/>
        <v>198.18</v>
      </c>
      <c r="O323" s="36"/>
      <c r="P323" s="38">
        <f t="shared" si="3762"/>
        <v>0</v>
      </c>
      <c r="Q323" s="38"/>
      <c r="R323" s="38">
        <f t="shared" si="3762"/>
        <v>0</v>
      </c>
      <c r="S323" s="38">
        <f t="shared" si="3763"/>
        <v>6</v>
      </c>
      <c r="T323" s="37">
        <f t="shared" ref="T323:V323" si="4363">TRUNC($M323 * S323,2)</f>
        <v>198.18</v>
      </c>
      <c r="U323" s="36"/>
      <c r="V323" s="38">
        <f t="shared" si="4363"/>
        <v>0</v>
      </c>
      <c r="W323" s="38"/>
      <c r="X323" s="38">
        <f t="shared" ref="X323" si="4364">TRUNC($M323 * W323,2)</f>
        <v>0</v>
      </c>
      <c r="Y323" s="38"/>
      <c r="Z323" s="38">
        <f t="shared" ref="Z323" si="4365">TRUNC($M323 * Y323,2)</f>
        <v>0</v>
      </c>
      <c r="AA323" s="38"/>
      <c r="AB323" s="38">
        <f t="shared" ref="AB323" si="4366">TRUNC($M323 * AA323,2)</f>
        <v>0</v>
      </c>
      <c r="AC323" s="38"/>
      <c r="AD323" s="38">
        <f t="shared" ref="AD323" si="4367">TRUNC($M323 * AC323,2)</f>
        <v>0</v>
      </c>
      <c r="AE323" s="38"/>
      <c r="AF323" s="38">
        <f t="shared" ref="AF323" si="4368">TRUNC($M323 * AE323,2)</f>
        <v>0</v>
      </c>
      <c r="AG323" s="38"/>
      <c r="AH323" s="38">
        <f t="shared" ref="AH323" si="4369">TRUNC($M323 * AG323,2)</f>
        <v>0</v>
      </c>
      <c r="AI323" s="38"/>
      <c r="AJ323" s="38">
        <f t="shared" ref="AJ323" si="4370">TRUNC($M323 * AI323,2)</f>
        <v>0</v>
      </c>
      <c r="AK323" s="38"/>
      <c r="AL323" s="38">
        <f t="shared" ref="AL323" si="4371">TRUNC($M323 * AK323,2)</f>
        <v>0</v>
      </c>
      <c r="AM323" s="38"/>
      <c r="AN323" s="38">
        <f t="shared" ref="AN323" si="4372">TRUNC($M323 * AM323,2)</f>
        <v>0</v>
      </c>
      <c r="AO323" s="38"/>
      <c r="AP323" s="38">
        <f t="shared" ref="AP323" si="4373">TRUNC($M323 * AO323,2)</f>
        <v>0</v>
      </c>
      <c r="AQ323" s="38"/>
      <c r="AR323" s="38">
        <f t="shared" ref="AR323" si="4374">TRUNC($M323 * AQ323,2)</f>
        <v>0</v>
      </c>
      <c r="AS323" s="38"/>
      <c r="AT323" s="38">
        <f t="shared" ref="AT323" si="4375">TRUNC($M323 * AS323,2)</f>
        <v>0</v>
      </c>
      <c r="AU323" s="38"/>
      <c r="AV323" s="38">
        <f t="shared" ref="AV323" si="4376">TRUNC($M323 * AU323,2)</f>
        <v>0</v>
      </c>
      <c r="AW323" s="38"/>
      <c r="AX323" s="37">
        <f t="shared" ref="AX323" si="4377">TRUNC($M323 * AW323,2)</f>
        <v>0</v>
      </c>
      <c r="AY323" s="36">
        <f t="shared" si="3779"/>
        <v>0</v>
      </c>
      <c r="AZ323" s="38">
        <f t="shared" ref="AZ323" si="4378">TRUNC($M323 * AY323,2)</f>
        <v>0</v>
      </c>
      <c r="BA323" s="38">
        <f t="shared" si="3781"/>
        <v>6</v>
      </c>
      <c r="BB323" s="37">
        <f t="shared" ref="BB323" si="4379">TRUNC($M323 * BA323,2)</f>
        <v>198.18</v>
      </c>
    </row>
    <row r="324" spans="1:54" ht="26.1" customHeight="1" x14ac:dyDescent="0.25">
      <c r="A324" s="31" t="s">
        <v>1137</v>
      </c>
      <c r="B324" s="31" t="s">
        <v>663</v>
      </c>
      <c r="C324" s="31" t="s">
        <v>19</v>
      </c>
      <c r="D324" s="31" t="s">
        <v>664</v>
      </c>
      <c r="E324" s="32" t="s">
        <v>171</v>
      </c>
      <c r="F324" s="33">
        <v>2</v>
      </c>
      <c r="G324" s="34">
        <v>14.6</v>
      </c>
      <c r="H324" s="34">
        <f t="shared" si="3759"/>
        <v>13.44</v>
      </c>
      <c r="I324" s="34">
        <f t="shared" si="3760"/>
        <v>26.88</v>
      </c>
      <c r="J324" s="34">
        <f>(TRUNC(H324 * L14,2) + H324)</f>
        <v>16.169999999999998</v>
      </c>
      <c r="K324" s="34">
        <f t="shared" si="4294"/>
        <v>32.340000000000003</v>
      </c>
      <c r="L324" s="35">
        <f>K324 / L13</f>
        <v>1.1151724137931034E-5</v>
      </c>
      <c r="M324" s="36">
        <v>13.32</v>
      </c>
      <c r="N324" s="37">
        <f t="shared" si="3761"/>
        <v>26.64</v>
      </c>
      <c r="O324" s="36"/>
      <c r="P324" s="38">
        <f t="shared" si="3762"/>
        <v>0</v>
      </c>
      <c r="Q324" s="38"/>
      <c r="R324" s="38">
        <f t="shared" si="3762"/>
        <v>0</v>
      </c>
      <c r="S324" s="38">
        <f t="shared" si="3763"/>
        <v>2</v>
      </c>
      <c r="T324" s="37">
        <f t="shared" ref="T324:V324" si="4380">TRUNC($M324 * S324,2)</f>
        <v>26.64</v>
      </c>
      <c r="U324" s="36"/>
      <c r="V324" s="38">
        <f t="shared" si="4380"/>
        <v>0</v>
      </c>
      <c r="W324" s="38"/>
      <c r="X324" s="38">
        <f t="shared" ref="X324" si="4381">TRUNC($M324 * W324,2)</f>
        <v>0</v>
      </c>
      <c r="Y324" s="38"/>
      <c r="Z324" s="38">
        <f t="shared" ref="Z324" si="4382">TRUNC($M324 * Y324,2)</f>
        <v>0</v>
      </c>
      <c r="AA324" s="38"/>
      <c r="AB324" s="38">
        <f t="shared" ref="AB324" si="4383">TRUNC($M324 * AA324,2)</f>
        <v>0</v>
      </c>
      <c r="AC324" s="38"/>
      <c r="AD324" s="38">
        <f t="shared" ref="AD324" si="4384">TRUNC($M324 * AC324,2)</f>
        <v>0</v>
      </c>
      <c r="AE324" s="38"/>
      <c r="AF324" s="38">
        <f t="shared" ref="AF324" si="4385">TRUNC($M324 * AE324,2)</f>
        <v>0</v>
      </c>
      <c r="AG324" s="38"/>
      <c r="AH324" s="38">
        <f t="shared" ref="AH324" si="4386">TRUNC($M324 * AG324,2)</f>
        <v>0</v>
      </c>
      <c r="AI324" s="38"/>
      <c r="AJ324" s="38">
        <f t="shared" ref="AJ324" si="4387">TRUNC($M324 * AI324,2)</f>
        <v>0</v>
      </c>
      <c r="AK324" s="38"/>
      <c r="AL324" s="38">
        <f t="shared" ref="AL324" si="4388">TRUNC($M324 * AK324,2)</f>
        <v>0</v>
      </c>
      <c r="AM324" s="38"/>
      <c r="AN324" s="38">
        <f t="shared" ref="AN324" si="4389">TRUNC($M324 * AM324,2)</f>
        <v>0</v>
      </c>
      <c r="AO324" s="38"/>
      <c r="AP324" s="38">
        <f t="shared" ref="AP324" si="4390">TRUNC($M324 * AO324,2)</f>
        <v>0</v>
      </c>
      <c r="AQ324" s="38"/>
      <c r="AR324" s="38">
        <f t="shared" ref="AR324" si="4391">TRUNC($M324 * AQ324,2)</f>
        <v>0</v>
      </c>
      <c r="AS324" s="38"/>
      <c r="AT324" s="38">
        <f t="shared" ref="AT324" si="4392">TRUNC($M324 * AS324,2)</f>
        <v>0</v>
      </c>
      <c r="AU324" s="38"/>
      <c r="AV324" s="38">
        <f t="shared" ref="AV324" si="4393">TRUNC($M324 * AU324,2)</f>
        <v>0</v>
      </c>
      <c r="AW324" s="38"/>
      <c r="AX324" s="37">
        <f t="shared" ref="AX324" si="4394">TRUNC($M324 * AW324,2)</f>
        <v>0</v>
      </c>
      <c r="AY324" s="36">
        <f t="shared" si="3779"/>
        <v>0</v>
      </c>
      <c r="AZ324" s="38">
        <f t="shared" ref="AZ324" si="4395">TRUNC($M324 * AY324,2)</f>
        <v>0</v>
      </c>
      <c r="BA324" s="38">
        <f t="shared" si="3781"/>
        <v>2</v>
      </c>
      <c r="BB324" s="37">
        <f t="shared" ref="BB324" si="4396">TRUNC($M324 * BA324,2)</f>
        <v>26.64</v>
      </c>
    </row>
    <row r="325" spans="1:54" ht="39" customHeight="1" x14ac:dyDescent="0.25">
      <c r="A325" s="31" t="s">
        <v>1138</v>
      </c>
      <c r="B325" s="31" t="s">
        <v>665</v>
      </c>
      <c r="C325" s="31" t="s">
        <v>24</v>
      </c>
      <c r="D325" s="31" t="s">
        <v>666</v>
      </c>
      <c r="E325" s="32" t="s">
        <v>171</v>
      </c>
      <c r="F325" s="33">
        <v>39</v>
      </c>
      <c r="G325" s="34">
        <v>23.63</v>
      </c>
      <c r="H325" s="34">
        <f t="shared" si="3759"/>
        <v>21.75</v>
      </c>
      <c r="I325" s="34">
        <f t="shared" si="3760"/>
        <v>848.25</v>
      </c>
      <c r="J325" s="34">
        <f>(TRUNC(H325 * L14,2) + H325)</f>
        <v>26.17</v>
      </c>
      <c r="K325" s="34">
        <f t="shared" si="4294"/>
        <v>1020.63</v>
      </c>
      <c r="L325" s="35">
        <f>K325 / L13</f>
        <v>3.5194137931034478E-4</v>
      </c>
      <c r="M325" s="36">
        <v>18.5</v>
      </c>
      <c r="N325" s="37">
        <f t="shared" si="3761"/>
        <v>721.5</v>
      </c>
      <c r="O325" s="36"/>
      <c r="P325" s="38">
        <f t="shared" si="3762"/>
        <v>0</v>
      </c>
      <c r="Q325" s="38"/>
      <c r="R325" s="38">
        <f t="shared" si="3762"/>
        <v>0</v>
      </c>
      <c r="S325" s="38">
        <f t="shared" si="3763"/>
        <v>39</v>
      </c>
      <c r="T325" s="37">
        <f t="shared" ref="T325:V325" si="4397">TRUNC($M325 * S325,2)</f>
        <v>721.5</v>
      </c>
      <c r="U325" s="36"/>
      <c r="V325" s="38">
        <f t="shared" si="4397"/>
        <v>0</v>
      </c>
      <c r="W325" s="38"/>
      <c r="X325" s="38">
        <f t="shared" ref="X325" si="4398">TRUNC($M325 * W325,2)</f>
        <v>0</v>
      </c>
      <c r="Y325" s="38"/>
      <c r="Z325" s="38">
        <f t="shared" ref="Z325" si="4399">TRUNC($M325 * Y325,2)</f>
        <v>0</v>
      </c>
      <c r="AA325" s="38"/>
      <c r="AB325" s="38">
        <f t="shared" ref="AB325" si="4400">TRUNC($M325 * AA325,2)</f>
        <v>0</v>
      </c>
      <c r="AC325" s="38"/>
      <c r="AD325" s="38">
        <f t="shared" ref="AD325" si="4401">TRUNC($M325 * AC325,2)</f>
        <v>0</v>
      </c>
      <c r="AE325" s="38"/>
      <c r="AF325" s="38">
        <f t="shared" ref="AF325" si="4402">TRUNC($M325 * AE325,2)</f>
        <v>0</v>
      </c>
      <c r="AG325" s="38"/>
      <c r="AH325" s="38">
        <f t="shared" ref="AH325" si="4403">TRUNC($M325 * AG325,2)</f>
        <v>0</v>
      </c>
      <c r="AI325" s="38"/>
      <c r="AJ325" s="38">
        <f t="shared" ref="AJ325" si="4404">TRUNC($M325 * AI325,2)</f>
        <v>0</v>
      </c>
      <c r="AK325" s="38"/>
      <c r="AL325" s="38">
        <f t="shared" ref="AL325" si="4405">TRUNC($M325 * AK325,2)</f>
        <v>0</v>
      </c>
      <c r="AM325" s="38"/>
      <c r="AN325" s="38">
        <f t="shared" ref="AN325" si="4406">TRUNC($M325 * AM325,2)</f>
        <v>0</v>
      </c>
      <c r="AO325" s="38"/>
      <c r="AP325" s="38">
        <f t="shared" ref="AP325" si="4407">TRUNC($M325 * AO325,2)</f>
        <v>0</v>
      </c>
      <c r="AQ325" s="38"/>
      <c r="AR325" s="38">
        <f t="shared" ref="AR325" si="4408">TRUNC($M325 * AQ325,2)</f>
        <v>0</v>
      </c>
      <c r="AS325" s="38"/>
      <c r="AT325" s="38">
        <f t="shared" ref="AT325" si="4409">TRUNC($M325 * AS325,2)</f>
        <v>0</v>
      </c>
      <c r="AU325" s="38"/>
      <c r="AV325" s="38">
        <f t="shared" ref="AV325" si="4410">TRUNC($M325 * AU325,2)</f>
        <v>0</v>
      </c>
      <c r="AW325" s="38"/>
      <c r="AX325" s="37">
        <f t="shared" ref="AX325" si="4411">TRUNC($M325 * AW325,2)</f>
        <v>0</v>
      </c>
      <c r="AY325" s="36">
        <f t="shared" si="3779"/>
        <v>0</v>
      </c>
      <c r="AZ325" s="38">
        <f t="shared" ref="AZ325" si="4412">TRUNC($M325 * AY325,2)</f>
        <v>0</v>
      </c>
      <c r="BA325" s="38">
        <f t="shared" si="3781"/>
        <v>39</v>
      </c>
      <c r="BB325" s="37">
        <f t="shared" ref="BB325" si="4413">TRUNC($M325 * BA325,2)</f>
        <v>721.5</v>
      </c>
    </row>
    <row r="326" spans="1:54" ht="26.1" customHeight="1" x14ac:dyDescent="0.25">
      <c r="A326" s="31" t="s">
        <v>1139</v>
      </c>
      <c r="B326" s="31" t="s">
        <v>667</v>
      </c>
      <c r="C326" s="31" t="s">
        <v>245</v>
      </c>
      <c r="D326" s="31" t="s">
        <v>668</v>
      </c>
      <c r="E326" s="32" t="s">
        <v>36</v>
      </c>
      <c r="F326" s="33">
        <v>33</v>
      </c>
      <c r="G326" s="34">
        <v>29.83</v>
      </c>
      <c r="H326" s="34">
        <f t="shared" si="3759"/>
        <v>27.46</v>
      </c>
      <c r="I326" s="34">
        <f t="shared" si="3760"/>
        <v>906.18</v>
      </c>
      <c r="J326" s="34">
        <f>(TRUNC(H326 * L14,2) + H326)</f>
        <v>33.04</v>
      </c>
      <c r="K326" s="34">
        <f t="shared" si="4294"/>
        <v>1090.32</v>
      </c>
      <c r="L326" s="35">
        <f>K326 / L13</f>
        <v>3.7597241379310338E-4</v>
      </c>
      <c r="M326" s="36">
        <v>6.23</v>
      </c>
      <c r="N326" s="37">
        <f t="shared" si="3761"/>
        <v>205.59</v>
      </c>
      <c r="O326" s="36"/>
      <c r="P326" s="38">
        <f t="shared" si="3762"/>
        <v>0</v>
      </c>
      <c r="Q326" s="38"/>
      <c r="R326" s="38">
        <f t="shared" si="3762"/>
        <v>0</v>
      </c>
      <c r="S326" s="38">
        <f t="shared" si="3763"/>
        <v>33</v>
      </c>
      <c r="T326" s="37">
        <f t="shared" ref="T326:V326" si="4414">TRUNC($M326 * S326,2)</f>
        <v>205.59</v>
      </c>
      <c r="U326" s="36"/>
      <c r="V326" s="38">
        <f t="shared" si="4414"/>
        <v>0</v>
      </c>
      <c r="W326" s="38"/>
      <c r="X326" s="38">
        <f t="shared" ref="X326" si="4415">TRUNC($M326 * W326,2)</f>
        <v>0</v>
      </c>
      <c r="Y326" s="38"/>
      <c r="Z326" s="38">
        <f t="shared" ref="Z326" si="4416">TRUNC($M326 * Y326,2)</f>
        <v>0</v>
      </c>
      <c r="AA326" s="38"/>
      <c r="AB326" s="38">
        <f t="shared" ref="AB326" si="4417">TRUNC($M326 * AA326,2)</f>
        <v>0</v>
      </c>
      <c r="AC326" s="38"/>
      <c r="AD326" s="38">
        <f t="shared" ref="AD326" si="4418">TRUNC($M326 * AC326,2)</f>
        <v>0</v>
      </c>
      <c r="AE326" s="38"/>
      <c r="AF326" s="38">
        <f t="shared" ref="AF326" si="4419">TRUNC($M326 * AE326,2)</f>
        <v>0</v>
      </c>
      <c r="AG326" s="38"/>
      <c r="AH326" s="38">
        <f t="shared" ref="AH326" si="4420">TRUNC($M326 * AG326,2)</f>
        <v>0</v>
      </c>
      <c r="AI326" s="38"/>
      <c r="AJ326" s="38">
        <f t="shared" ref="AJ326" si="4421">TRUNC($M326 * AI326,2)</f>
        <v>0</v>
      </c>
      <c r="AK326" s="38"/>
      <c r="AL326" s="38">
        <f t="shared" ref="AL326" si="4422">TRUNC($M326 * AK326,2)</f>
        <v>0</v>
      </c>
      <c r="AM326" s="38"/>
      <c r="AN326" s="38">
        <f t="shared" ref="AN326" si="4423">TRUNC($M326 * AM326,2)</f>
        <v>0</v>
      </c>
      <c r="AO326" s="38"/>
      <c r="AP326" s="38">
        <f t="shared" ref="AP326" si="4424">TRUNC($M326 * AO326,2)</f>
        <v>0</v>
      </c>
      <c r="AQ326" s="38"/>
      <c r="AR326" s="38">
        <f t="shared" ref="AR326" si="4425">TRUNC($M326 * AQ326,2)</f>
        <v>0</v>
      </c>
      <c r="AS326" s="38"/>
      <c r="AT326" s="38">
        <f t="shared" ref="AT326" si="4426">TRUNC($M326 * AS326,2)</f>
        <v>0</v>
      </c>
      <c r="AU326" s="38"/>
      <c r="AV326" s="38">
        <f t="shared" ref="AV326" si="4427">TRUNC($M326 * AU326,2)</f>
        <v>0</v>
      </c>
      <c r="AW326" s="38"/>
      <c r="AX326" s="37">
        <f t="shared" ref="AX326" si="4428">TRUNC($M326 * AW326,2)</f>
        <v>0</v>
      </c>
      <c r="AY326" s="36">
        <f t="shared" si="3779"/>
        <v>0</v>
      </c>
      <c r="AZ326" s="38">
        <f t="shared" ref="AZ326" si="4429">TRUNC($M326 * AY326,2)</f>
        <v>0</v>
      </c>
      <c r="BA326" s="38">
        <f t="shared" si="3781"/>
        <v>33</v>
      </c>
      <c r="BB326" s="37">
        <f t="shared" ref="BB326" si="4430">TRUNC($M326 * BA326,2)</f>
        <v>205.59</v>
      </c>
    </row>
    <row r="327" spans="1:54" ht="39" customHeight="1" x14ac:dyDescent="0.25">
      <c r="A327" s="31" t="s">
        <v>1140</v>
      </c>
      <c r="B327" s="31" t="s">
        <v>669</v>
      </c>
      <c r="C327" s="31" t="s">
        <v>19</v>
      </c>
      <c r="D327" s="31" t="s">
        <v>670</v>
      </c>
      <c r="E327" s="32" t="s">
        <v>171</v>
      </c>
      <c r="F327" s="33">
        <v>1</v>
      </c>
      <c r="G327" s="34">
        <v>236.86</v>
      </c>
      <c r="H327" s="34">
        <f t="shared" si="3759"/>
        <v>218.08</v>
      </c>
      <c r="I327" s="34">
        <f t="shared" si="3760"/>
        <v>218.08</v>
      </c>
      <c r="J327" s="34">
        <f>(TRUNC(H327 * L14,2) + H327)</f>
        <v>262.43</v>
      </c>
      <c r="K327" s="34">
        <f t="shared" si="4294"/>
        <v>262.43</v>
      </c>
      <c r="L327" s="35">
        <f>K327 / L13</f>
        <v>9.0493103448275854E-5</v>
      </c>
      <c r="M327" s="36">
        <v>175.21</v>
      </c>
      <c r="N327" s="37">
        <f t="shared" si="3761"/>
        <v>175.21</v>
      </c>
      <c r="O327" s="36"/>
      <c r="P327" s="38">
        <f t="shared" si="3762"/>
        <v>0</v>
      </c>
      <c r="Q327" s="38"/>
      <c r="R327" s="38">
        <f t="shared" si="3762"/>
        <v>0</v>
      </c>
      <c r="S327" s="38">
        <f t="shared" si="3763"/>
        <v>1</v>
      </c>
      <c r="T327" s="37">
        <f t="shared" ref="T327:V327" si="4431">TRUNC($M327 * S327,2)</f>
        <v>175.21</v>
      </c>
      <c r="U327" s="36"/>
      <c r="V327" s="38">
        <f t="shared" si="4431"/>
        <v>0</v>
      </c>
      <c r="W327" s="38"/>
      <c r="X327" s="38">
        <f t="shared" ref="X327" si="4432">TRUNC($M327 * W327,2)</f>
        <v>0</v>
      </c>
      <c r="Y327" s="38"/>
      <c r="Z327" s="38">
        <f t="shared" ref="Z327" si="4433">TRUNC($M327 * Y327,2)</f>
        <v>0</v>
      </c>
      <c r="AA327" s="38"/>
      <c r="AB327" s="38">
        <f t="shared" ref="AB327" si="4434">TRUNC($M327 * AA327,2)</f>
        <v>0</v>
      </c>
      <c r="AC327" s="38"/>
      <c r="AD327" s="38">
        <f t="shared" ref="AD327" si="4435">TRUNC($M327 * AC327,2)</f>
        <v>0</v>
      </c>
      <c r="AE327" s="38"/>
      <c r="AF327" s="38">
        <f t="shared" ref="AF327" si="4436">TRUNC($M327 * AE327,2)</f>
        <v>0</v>
      </c>
      <c r="AG327" s="38"/>
      <c r="AH327" s="38">
        <f t="shared" ref="AH327" si="4437">TRUNC($M327 * AG327,2)</f>
        <v>0</v>
      </c>
      <c r="AI327" s="38"/>
      <c r="AJ327" s="38">
        <f t="shared" ref="AJ327" si="4438">TRUNC($M327 * AI327,2)</f>
        <v>0</v>
      </c>
      <c r="AK327" s="38"/>
      <c r="AL327" s="38">
        <f t="shared" ref="AL327" si="4439">TRUNC($M327 * AK327,2)</f>
        <v>0</v>
      </c>
      <c r="AM327" s="38"/>
      <c r="AN327" s="38">
        <f t="shared" ref="AN327" si="4440">TRUNC($M327 * AM327,2)</f>
        <v>0</v>
      </c>
      <c r="AO327" s="38"/>
      <c r="AP327" s="38">
        <f t="shared" ref="AP327" si="4441">TRUNC($M327 * AO327,2)</f>
        <v>0</v>
      </c>
      <c r="AQ327" s="38"/>
      <c r="AR327" s="38">
        <f t="shared" ref="AR327" si="4442">TRUNC($M327 * AQ327,2)</f>
        <v>0</v>
      </c>
      <c r="AS327" s="38"/>
      <c r="AT327" s="38">
        <f t="shared" ref="AT327" si="4443">TRUNC($M327 * AS327,2)</f>
        <v>0</v>
      </c>
      <c r="AU327" s="38"/>
      <c r="AV327" s="38">
        <f t="shared" ref="AV327" si="4444">TRUNC($M327 * AU327,2)</f>
        <v>0</v>
      </c>
      <c r="AW327" s="38"/>
      <c r="AX327" s="37">
        <f t="shared" ref="AX327" si="4445">TRUNC($M327 * AW327,2)</f>
        <v>0</v>
      </c>
      <c r="AY327" s="36">
        <f t="shared" si="3779"/>
        <v>0</v>
      </c>
      <c r="AZ327" s="38">
        <f t="shared" ref="AZ327" si="4446">TRUNC($M327 * AY327,2)</f>
        <v>0</v>
      </c>
      <c r="BA327" s="38">
        <f t="shared" si="3781"/>
        <v>1</v>
      </c>
      <c r="BB327" s="37">
        <f t="shared" ref="BB327" si="4447">TRUNC($M327 * BA327,2)</f>
        <v>175.21</v>
      </c>
    </row>
    <row r="328" spans="1:54" ht="39" customHeight="1" x14ac:dyDescent="0.25">
      <c r="A328" s="31" t="s">
        <v>1141</v>
      </c>
      <c r="B328" s="31" t="s">
        <v>671</v>
      </c>
      <c r="C328" s="31" t="s">
        <v>24</v>
      </c>
      <c r="D328" s="31" t="s">
        <v>672</v>
      </c>
      <c r="E328" s="32" t="s">
        <v>171</v>
      </c>
      <c r="F328" s="33">
        <v>5</v>
      </c>
      <c r="G328" s="34">
        <v>353.29</v>
      </c>
      <c r="H328" s="34">
        <f t="shared" si="3759"/>
        <v>325.27999999999997</v>
      </c>
      <c r="I328" s="34">
        <f t="shared" si="3760"/>
        <v>1626.4</v>
      </c>
      <c r="J328" s="34">
        <f>(TRUNC(H328 * L14,2) + H328)</f>
        <v>391.43999999999994</v>
      </c>
      <c r="K328" s="34">
        <f t="shared" si="4294"/>
        <v>1957.2</v>
      </c>
      <c r="L328" s="35">
        <f>K328 / L13</f>
        <v>6.7489655172413786E-4</v>
      </c>
      <c r="M328" s="36">
        <v>270.02999999999997</v>
      </c>
      <c r="N328" s="37">
        <f t="shared" si="3761"/>
        <v>1350.15</v>
      </c>
      <c r="O328" s="36"/>
      <c r="P328" s="38">
        <f t="shared" si="3762"/>
        <v>0</v>
      </c>
      <c r="Q328" s="38"/>
      <c r="R328" s="38">
        <f t="shared" si="3762"/>
        <v>0</v>
      </c>
      <c r="S328" s="38">
        <f t="shared" si="3763"/>
        <v>5</v>
      </c>
      <c r="T328" s="37">
        <f t="shared" ref="T328:V328" si="4448">TRUNC($M328 * S328,2)</f>
        <v>1350.15</v>
      </c>
      <c r="U328" s="36"/>
      <c r="V328" s="38">
        <f t="shared" si="4448"/>
        <v>0</v>
      </c>
      <c r="W328" s="38"/>
      <c r="X328" s="38">
        <f t="shared" ref="X328" si="4449">TRUNC($M328 * W328,2)</f>
        <v>0</v>
      </c>
      <c r="Y328" s="38"/>
      <c r="Z328" s="38">
        <f t="shared" ref="Z328" si="4450">TRUNC($M328 * Y328,2)</f>
        <v>0</v>
      </c>
      <c r="AA328" s="38"/>
      <c r="AB328" s="38">
        <f t="shared" ref="AB328" si="4451">TRUNC($M328 * AA328,2)</f>
        <v>0</v>
      </c>
      <c r="AC328" s="38"/>
      <c r="AD328" s="38">
        <f t="shared" ref="AD328" si="4452">TRUNC($M328 * AC328,2)</f>
        <v>0</v>
      </c>
      <c r="AE328" s="38"/>
      <c r="AF328" s="38">
        <f t="shared" ref="AF328" si="4453">TRUNC($M328 * AE328,2)</f>
        <v>0</v>
      </c>
      <c r="AG328" s="38"/>
      <c r="AH328" s="38">
        <f t="shared" ref="AH328" si="4454">TRUNC($M328 * AG328,2)</f>
        <v>0</v>
      </c>
      <c r="AI328" s="38"/>
      <c r="AJ328" s="38">
        <f t="shared" ref="AJ328" si="4455">TRUNC($M328 * AI328,2)</f>
        <v>0</v>
      </c>
      <c r="AK328" s="38"/>
      <c r="AL328" s="38">
        <f t="shared" ref="AL328" si="4456">TRUNC($M328 * AK328,2)</f>
        <v>0</v>
      </c>
      <c r="AM328" s="38"/>
      <c r="AN328" s="38">
        <f t="shared" ref="AN328" si="4457">TRUNC($M328 * AM328,2)</f>
        <v>0</v>
      </c>
      <c r="AO328" s="38"/>
      <c r="AP328" s="38">
        <f t="shared" ref="AP328" si="4458">TRUNC($M328 * AO328,2)</f>
        <v>0</v>
      </c>
      <c r="AQ328" s="38"/>
      <c r="AR328" s="38">
        <f t="shared" ref="AR328" si="4459">TRUNC($M328 * AQ328,2)</f>
        <v>0</v>
      </c>
      <c r="AS328" s="38"/>
      <c r="AT328" s="38">
        <f t="shared" ref="AT328" si="4460">TRUNC($M328 * AS328,2)</f>
        <v>0</v>
      </c>
      <c r="AU328" s="38"/>
      <c r="AV328" s="38">
        <f t="shared" ref="AV328" si="4461">TRUNC($M328 * AU328,2)</f>
        <v>0</v>
      </c>
      <c r="AW328" s="38"/>
      <c r="AX328" s="37">
        <f t="shared" ref="AX328" si="4462">TRUNC($M328 * AW328,2)</f>
        <v>0</v>
      </c>
      <c r="AY328" s="36">
        <f t="shared" si="3779"/>
        <v>0</v>
      </c>
      <c r="AZ328" s="38">
        <f t="shared" ref="AZ328" si="4463">TRUNC($M328 * AY328,2)</f>
        <v>0</v>
      </c>
      <c r="BA328" s="38">
        <f t="shared" si="3781"/>
        <v>5</v>
      </c>
      <c r="BB328" s="37">
        <f t="shared" ref="BB328" si="4464">TRUNC($M328 * BA328,2)</f>
        <v>1350.15</v>
      </c>
    </row>
    <row r="329" spans="1:54" ht="39" customHeight="1" x14ac:dyDescent="0.25">
      <c r="A329" s="31" t="s">
        <v>1142</v>
      </c>
      <c r="B329" s="31" t="s">
        <v>673</v>
      </c>
      <c r="C329" s="31" t="s">
        <v>446</v>
      </c>
      <c r="D329" s="31" t="s">
        <v>674</v>
      </c>
      <c r="E329" s="32" t="s">
        <v>448</v>
      </c>
      <c r="F329" s="33">
        <v>2</v>
      </c>
      <c r="G329" s="34">
        <v>26.83</v>
      </c>
      <c r="H329" s="34">
        <f t="shared" si="3759"/>
        <v>24.7</v>
      </c>
      <c r="I329" s="34">
        <f t="shared" si="3760"/>
        <v>49.4</v>
      </c>
      <c r="J329" s="34">
        <f>(TRUNC(H329 * L14,2) + H329)</f>
        <v>29.72</v>
      </c>
      <c r="K329" s="34">
        <f t="shared" si="4294"/>
        <v>59.44</v>
      </c>
      <c r="L329" s="35">
        <f>K329 / L13</f>
        <v>2.0496551724137929E-5</v>
      </c>
      <c r="M329" s="36">
        <v>26.29</v>
      </c>
      <c r="N329" s="37">
        <f t="shared" si="3761"/>
        <v>52.58</v>
      </c>
      <c r="O329" s="36"/>
      <c r="P329" s="38">
        <f t="shared" si="3762"/>
        <v>0</v>
      </c>
      <c r="Q329" s="38"/>
      <c r="R329" s="38">
        <f t="shared" si="3762"/>
        <v>0</v>
      </c>
      <c r="S329" s="38">
        <f t="shared" si="3763"/>
        <v>2</v>
      </c>
      <c r="T329" s="37">
        <f t="shared" ref="T329:V329" si="4465">TRUNC($M329 * S329,2)</f>
        <v>52.58</v>
      </c>
      <c r="U329" s="36"/>
      <c r="V329" s="38">
        <f t="shared" si="4465"/>
        <v>0</v>
      </c>
      <c r="W329" s="38"/>
      <c r="X329" s="38">
        <f t="shared" ref="X329" si="4466">TRUNC($M329 * W329,2)</f>
        <v>0</v>
      </c>
      <c r="Y329" s="38"/>
      <c r="Z329" s="38">
        <f t="shared" ref="Z329" si="4467">TRUNC($M329 * Y329,2)</f>
        <v>0</v>
      </c>
      <c r="AA329" s="38"/>
      <c r="AB329" s="38">
        <f t="shared" ref="AB329" si="4468">TRUNC($M329 * AA329,2)</f>
        <v>0</v>
      </c>
      <c r="AC329" s="38"/>
      <c r="AD329" s="38">
        <f t="shared" ref="AD329" si="4469">TRUNC($M329 * AC329,2)</f>
        <v>0</v>
      </c>
      <c r="AE329" s="38"/>
      <c r="AF329" s="38">
        <f t="shared" ref="AF329" si="4470">TRUNC($M329 * AE329,2)</f>
        <v>0</v>
      </c>
      <c r="AG329" s="38"/>
      <c r="AH329" s="38">
        <f t="shared" ref="AH329" si="4471">TRUNC($M329 * AG329,2)</f>
        <v>0</v>
      </c>
      <c r="AI329" s="38"/>
      <c r="AJ329" s="38">
        <f t="shared" ref="AJ329" si="4472">TRUNC($M329 * AI329,2)</f>
        <v>0</v>
      </c>
      <c r="AK329" s="38"/>
      <c r="AL329" s="38">
        <f t="shared" ref="AL329" si="4473">TRUNC($M329 * AK329,2)</f>
        <v>0</v>
      </c>
      <c r="AM329" s="38"/>
      <c r="AN329" s="38">
        <f t="shared" ref="AN329" si="4474">TRUNC($M329 * AM329,2)</f>
        <v>0</v>
      </c>
      <c r="AO329" s="38"/>
      <c r="AP329" s="38">
        <f t="shared" ref="AP329" si="4475">TRUNC($M329 * AO329,2)</f>
        <v>0</v>
      </c>
      <c r="AQ329" s="38"/>
      <c r="AR329" s="38">
        <f t="shared" ref="AR329" si="4476">TRUNC($M329 * AQ329,2)</f>
        <v>0</v>
      </c>
      <c r="AS329" s="38"/>
      <c r="AT329" s="38">
        <f t="shared" ref="AT329" si="4477">TRUNC($M329 * AS329,2)</f>
        <v>0</v>
      </c>
      <c r="AU329" s="38"/>
      <c r="AV329" s="38">
        <f t="shared" ref="AV329" si="4478">TRUNC($M329 * AU329,2)</f>
        <v>0</v>
      </c>
      <c r="AW329" s="38"/>
      <c r="AX329" s="37">
        <f t="shared" ref="AX329" si="4479">TRUNC($M329 * AW329,2)</f>
        <v>0</v>
      </c>
      <c r="AY329" s="36">
        <f t="shared" si="3779"/>
        <v>0</v>
      </c>
      <c r="AZ329" s="38">
        <f t="shared" ref="AZ329" si="4480">TRUNC($M329 * AY329,2)</f>
        <v>0</v>
      </c>
      <c r="BA329" s="38">
        <f t="shared" si="3781"/>
        <v>2</v>
      </c>
      <c r="BB329" s="37">
        <f t="shared" ref="BB329" si="4481">TRUNC($M329 * BA329,2)</f>
        <v>52.58</v>
      </c>
    </row>
    <row r="330" spans="1:54" ht="78" customHeight="1" x14ac:dyDescent="0.25">
      <c r="A330" s="31" t="s">
        <v>1143</v>
      </c>
      <c r="B330" s="31" t="s">
        <v>675</v>
      </c>
      <c r="C330" s="31" t="s">
        <v>316</v>
      </c>
      <c r="D330" s="31" t="s">
        <v>676</v>
      </c>
      <c r="E330" s="32" t="s">
        <v>36</v>
      </c>
      <c r="F330" s="33">
        <v>1</v>
      </c>
      <c r="G330" s="34">
        <v>11.16</v>
      </c>
      <c r="H330" s="34">
        <f t="shared" si="3759"/>
        <v>10.27</v>
      </c>
      <c r="I330" s="34">
        <f t="shared" si="3760"/>
        <v>10.27</v>
      </c>
      <c r="J330" s="34">
        <f>(TRUNC(H330 * L14,2) + H330)</f>
        <v>12.35</v>
      </c>
      <c r="K330" s="34">
        <f t="shared" si="4294"/>
        <v>12.35</v>
      </c>
      <c r="L330" s="35">
        <f>K330 / L13</f>
        <v>4.2586206896551717E-6</v>
      </c>
      <c r="M330" s="36">
        <v>10.39</v>
      </c>
      <c r="N330" s="37">
        <f t="shared" si="3761"/>
        <v>10.39</v>
      </c>
      <c r="O330" s="36"/>
      <c r="P330" s="38">
        <f t="shared" si="3762"/>
        <v>0</v>
      </c>
      <c r="Q330" s="38"/>
      <c r="R330" s="38">
        <f t="shared" si="3762"/>
        <v>0</v>
      </c>
      <c r="S330" s="38">
        <f t="shared" si="3763"/>
        <v>1</v>
      </c>
      <c r="T330" s="37">
        <f t="shared" ref="T330:V330" si="4482">TRUNC($M330 * S330,2)</f>
        <v>10.39</v>
      </c>
      <c r="U330" s="36"/>
      <c r="V330" s="38">
        <f t="shared" si="4482"/>
        <v>0</v>
      </c>
      <c r="W330" s="38"/>
      <c r="X330" s="38">
        <f t="shared" ref="X330" si="4483">TRUNC($M330 * W330,2)</f>
        <v>0</v>
      </c>
      <c r="Y330" s="38"/>
      <c r="Z330" s="38">
        <f t="shared" ref="Z330" si="4484">TRUNC($M330 * Y330,2)</f>
        <v>0</v>
      </c>
      <c r="AA330" s="38"/>
      <c r="AB330" s="38">
        <f t="shared" ref="AB330" si="4485">TRUNC($M330 * AA330,2)</f>
        <v>0</v>
      </c>
      <c r="AC330" s="38"/>
      <c r="AD330" s="38">
        <f t="shared" ref="AD330" si="4486">TRUNC($M330 * AC330,2)</f>
        <v>0</v>
      </c>
      <c r="AE330" s="38"/>
      <c r="AF330" s="38">
        <f t="shared" ref="AF330" si="4487">TRUNC($M330 * AE330,2)</f>
        <v>0</v>
      </c>
      <c r="AG330" s="38"/>
      <c r="AH330" s="38">
        <f t="shared" ref="AH330" si="4488">TRUNC($M330 * AG330,2)</f>
        <v>0</v>
      </c>
      <c r="AI330" s="38"/>
      <c r="AJ330" s="38">
        <f t="shared" ref="AJ330" si="4489">TRUNC($M330 * AI330,2)</f>
        <v>0</v>
      </c>
      <c r="AK330" s="38"/>
      <c r="AL330" s="38">
        <f t="shared" ref="AL330" si="4490">TRUNC($M330 * AK330,2)</f>
        <v>0</v>
      </c>
      <c r="AM330" s="38"/>
      <c r="AN330" s="38">
        <f t="shared" ref="AN330" si="4491">TRUNC($M330 * AM330,2)</f>
        <v>0</v>
      </c>
      <c r="AO330" s="38"/>
      <c r="AP330" s="38">
        <f t="shared" ref="AP330" si="4492">TRUNC($M330 * AO330,2)</f>
        <v>0</v>
      </c>
      <c r="AQ330" s="38"/>
      <c r="AR330" s="38">
        <f t="shared" ref="AR330" si="4493">TRUNC($M330 * AQ330,2)</f>
        <v>0</v>
      </c>
      <c r="AS330" s="38"/>
      <c r="AT330" s="38">
        <f t="shared" ref="AT330" si="4494">TRUNC($M330 * AS330,2)</f>
        <v>0</v>
      </c>
      <c r="AU330" s="38"/>
      <c r="AV330" s="38">
        <f t="shared" ref="AV330" si="4495">TRUNC($M330 * AU330,2)</f>
        <v>0</v>
      </c>
      <c r="AW330" s="38"/>
      <c r="AX330" s="37">
        <f t="shared" ref="AX330" si="4496">TRUNC($M330 * AW330,2)</f>
        <v>0</v>
      </c>
      <c r="AY330" s="36">
        <f t="shared" si="3779"/>
        <v>0</v>
      </c>
      <c r="AZ330" s="38">
        <f t="shared" ref="AZ330" si="4497">TRUNC($M330 * AY330,2)</f>
        <v>0</v>
      </c>
      <c r="BA330" s="38">
        <f t="shared" si="3781"/>
        <v>1</v>
      </c>
      <c r="BB330" s="37">
        <f t="shared" ref="BB330" si="4498">TRUNC($M330 * BA330,2)</f>
        <v>10.39</v>
      </c>
    </row>
    <row r="331" spans="1:54" ht="24" customHeight="1" x14ac:dyDescent="0.25">
      <c r="A331" s="4">
        <v>16</v>
      </c>
      <c r="B331" s="4" t="s">
        <v>12</v>
      </c>
      <c r="C331" s="4"/>
      <c r="D331" s="4" t="s">
        <v>677</v>
      </c>
      <c r="E331" s="5"/>
      <c r="F331" s="14"/>
      <c r="G331" s="6"/>
      <c r="H331" s="6"/>
      <c r="I331" s="7">
        <f>SUM(I332,I418,I424)</f>
        <v>208185.31999999998</v>
      </c>
      <c r="J331" s="7"/>
      <c r="K331" s="7">
        <f>SUM(K332,K418,K424)</f>
        <v>250482.75</v>
      </c>
      <c r="L331" s="22">
        <f>K331 / L13</f>
        <v>8.6373362068965509E-2</v>
      </c>
      <c r="M331" s="25"/>
      <c r="N331" s="26">
        <f>SUM(N332,N418,N424)</f>
        <v>162083.08999999997</v>
      </c>
      <c r="O331" s="25"/>
      <c r="P331" s="30">
        <f>SUM(P332,P418,P424)</f>
        <v>0</v>
      </c>
      <c r="Q331" s="30"/>
      <c r="R331" s="30">
        <f>SUM(R332,R418,R424)</f>
        <v>0</v>
      </c>
      <c r="S331" s="30"/>
      <c r="T331" s="26">
        <f>SUM(T332,T418,T424)</f>
        <v>162083.08999999997</v>
      </c>
      <c r="U331" s="25"/>
      <c r="V331" s="30">
        <f>SUM(V332,V418,V424)</f>
        <v>0</v>
      </c>
      <c r="W331" s="30"/>
      <c r="X331" s="30">
        <f>SUM(X332,X418,X424)</f>
        <v>0</v>
      </c>
      <c r="Y331" s="30"/>
      <c r="Z331" s="30">
        <f>SUM(Z332,Z418,Z424)</f>
        <v>0</v>
      </c>
      <c r="AA331" s="30"/>
      <c r="AB331" s="30">
        <f>SUM(AB332,AB418,AB424)</f>
        <v>0</v>
      </c>
      <c r="AC331" s="30"/>
      <c r="AD331" s="30">
        <f>SUM(AD332,AD418,AD424)</f>
        <v>0</v>
      </c>
      <c r="AE331" s="30"/>
      <c r="AF331" s="30">
        <f>SUM(AF332,AF418,AF424)</f>
        <v>0</v>
      </c>
      <c r="AG331" s="30"/>
      <c r="AH331" s="30">
        <f>SUM(AH332,AH418,AH424)</f>
        <v>0</v>
      </c>
      <c r="AI331" s="30"/>
      <c r="AJ331" s="30">
        <f>SUM(AJ332,AJ418,AJ424)</f>
        <v>0</v>
      </c>
      <c r="AK331" s="30"/>
      <c r="AL331" s="30">
        <f>SUM(AL332,AL418,AL424)</f>
        <v>0</v>
      </c>
      <c r="AM331" s="30"/>
      <c r="AN331" s="30">
        <f>SUM(AN332,AN418,AN424)</f>
        <v>0</v>
      </c>
      <c r="AO331" s="30"/>
      <c r="AP331" s="30">
        <f>SUM(AP332,AP418,AP424)</f>
        <v>0</v>
      </c>
      <c r="AQ331" s="30"/>
      <c r="AR331" s="30">
        <f>SUM(AR332,AR418,AR424)</f>
        <v>0</v>
      </c>
      <c r="AS331" s="30"/>
      <c r="AT331" s="30">
        <f>SUM(AT332,AT418,AT424)</f>
        <v>0</v>
      </c>
      <c r="AU331" s="30"/>
      <c r="AV331" s="30">
        <f>SUM(AV332,AV418,AV424)</f>
        <v>0</v>
      </c>
      <c r="AW331" s="30"/>
      <c r="AX331" s="26">
        <f>SUM(AX332,AX418,AX424)</f>
        <v>0</v>
      </c>
      <c r="AY331" s="25"/>
      <c r="AZ331" s="30">
        <f>SUM(AZ332,AZ418,AZ424)</f>
        <v>0</v>
      </c>
      <c r="BA331" s="30"/>
      <c r="BB331" s="26">
        <f>SUM(BB332,BB418,BB424)</f>
        <v>162083.08999999997</v>
      </c>
    </row>
    <row r="332" spans="1:54" ht="24" customHeight="1" x14ac:dyDescent="0.25">
      <c r="A332" s="4" t="s">
        <v>1144</v>
      </c>
      <c r="B332" s="4" t="s">
        <v>12</v>
      </c>
      <c r="C332" s="4"/>
      <c r="D332" s="4" t="s">
        <v>56</v>
      </c>
      <c r="E332" s="5"/>
      <c r="F332" s="14"/>
      <c r="G332" s="6"/>
      <c r="H332" s="6"/>
      <c r="I332" s="7">
        <f>SUM(I333:I417)</f>
        <v>148253.09</v>
      </c>
      <c r="J332" s="7"/>
      <c r="K332" s="7">
        <f>SUM(K333:K417)</f>
        <v>178364.56999999998</v>
      </c>
      <c r="L332" s="22">
        <f>K332 / L13</f>
        <v>6.1505024137931019E-2</v>
      </c>
      <c r="M332" s="25"/>
      <c r="N332" s="26">
        <f>SUM(N333:N417)</f>
        <v>125329.99999999997</v>
      </c>
      <c r="O332" s="25"/>
      <c r="P332" s="30">
        <f>SUM(P333:P417)</f>
        <v>0</v>
      </c>
      <c r="Q332" s="30"/>
      <c r="R332" s="30">
        <f>SUM(R333:R417)</f>
        <v>0</v>
      </c>
      <c r="S332" s="30"/>
      <c r="T332" s="26">
        <f>SUM(T333:T417)</f>
        <v>125329.99999999997</v>
      </c>
      <c r="U332" s="25"/>
      <c r="V332" s="30">
        <f>SUM(V333:V417)</f>
        <v>0</v>
      </c>
      <c r="W332" s="30"/>
      <c r="X332" s="30">
        <f>SUM(X333:X417)</f>
        <v>0</v>
      </c>
      <c r="Y332" s="30"/>
      <c r="Z332" s="30">
        <f>SUM(Z333:Z417)</f>
        <v>0</v>
      </c>
      <c r="AA332" s="30"/>
      <c r="AB332" s="30">
        <f>SUM(AB333:AB417)</f>
        <v>0</v>
      </c>
      <c r="AC332" s="30"/>
      <c r="AD332" s="30">
        <f>SUM(AD333:AD417)</f>
        <v>0</v>
      </c>
      <c r="AE332" s="30"/>
      <c r="AF332" s="30">
        <f>SUM(AF333:AF417)</f>
        <v>0</v>
      </c>
      <c r="AG332" s="30"/>
      <c r="AH332" s="30">
        <f>SUM(AH333:AH417)</f>
        <v>0</v>
      </c>
      <c r="AI332" s="30"/>
      <c r="AJ332" s="30">
        <f>SUM(AJ333:AJ417)</f>
        <v>0</v>
      </c>
      <c r="AK332" s="30"/>
      <c r="AL332" s="30">
        <f>SUM(AL333:AL417)</f>
        <v>0</v>
      </c>
      <c r="AM332" s="30"/>
      <c r="AN332" s="30">
        <f>SUM(AN333:AN417)</f>
        <v>0</v>
      </c>
      <c r="AO332" s="30"/>
      <c r="AP332" s="30">
        <f>SUM(AP333:AP417)</f>
        <v>0</v>
      </c>
      <c r="AQ332" s="30"/>
      <c r="AR332" s="30">
        <f>SUM(AR333:AR417)</f>
        <v>0</v>
      </c>
      <c r="AS332" s="30"/>
      <c r="AT332" s="30">
        <f>SUM(AT333:AT417)</f>
        <v>0</v>
      </c>
      <c r="AU332" s="30"/>
      <c r="AV332" s="30">
        <f>SUM(AV333:AV417)</f>
        <v>0</v>
      </c>
      <c r="AW332" s="30"/>
      <c r="AX332" s="26">
        <f>SUM(AX333:AX417)</f>
        <v>0</v>
      </c>
      <c r="AY332" s="25"/>
      <c r="AZ332" s="30">
        <f>SUM(AZ333:AZ417)</f>
        <v>0</v>
      </c>
      <c r="BA332" s="30"/>
      <c r="BB332" s="26">
        <f>SUM(BB333:BB417)</f>
        <v>125329.99999999997</v>
      </c>
    </row>
    <row r="333" spans="1:54" ht="26.1" customHeight="1" x14ac:dyDescent="0.25">
      <c r="A333" s="31" t="s">
        <v>1145</v>
      </c>
      <c r="B333" s="31" t="s">
        <v>678</v>
      </c>
      <c r="C333" s="31" t="s">
        <v>24</v>
      </c>
      <c r="D333" s="31" t="s">
        <v>679</v>
      </c>
      <c r="E333" s="32" t="s">
        <v>171</v>
      </c>
      <c r="F333" s="33">
        <v>1</v>
      </c>
      <c r="G333" s="34">
        <v>1.94</v>
      </c>
      <c r="H333" s="34">
        <f t="shared" ref="H333:H394" si="4499">TRUNC(G333*$L$1,2)</f>
        <v>1.78</v>
      </c>
      <c r="I333" s="34">
        <f t="shared" ref="I333:I394" si="4500">TRUNC(F333 * H333,2)</f>
        <v>1.78</v>
      </c>
      <c r="J333" s="34">
        <f>(TRUNC(H333 * L14,2) + H333)</f>
        <v>2.14</v>
      </c>
      <c r="K333" s="34">
        <f t="shared" ref="K333:K364" si="4501">TRUNC(F333 * J333,2)</f>
        <v>2.14</v>
      </c>
      <c r="L333" s="35">
        <f>K333 / L13</f>
        <v>7.3793103448275858E-7</v>
      </c>
      <c r="M333" s="36">
        <v>1.58</v>
      </c>
      <c r="N333" s="37">
        <f t="shared" ref="N333:N394" si="4502">TRUNC(F333 * M333,2)</f>
        <v>1.58</v>
      </c>
      <c r="O333" s="36"/>
      <c r="P333" s="38">
        <f t="shared" ref="P333:R396" si="4503">TRUNC($M333 * O333,2)</f>
        <v>0</v>
      </c>
      <c r="Q333" s="38"/>
      <c r="R333" s="38">
        <f t="shared" si="4503"/>
        <v>0</v>
      </c>
      <c r="S333" s="38">
        <f t="shared" ref="S333:S396" si="4504">F333+O333-Q333</f>
        <v>1</v>
      </c>
      <c r="T333" s="37">
        <f t="shared" ref="T333:V333" si="4505">TRUNC($M333 * S333,2)</f>
        <v>1.58</v>
      </c>
      <c r="U333" s="36"/>
      <c r="V333" s="38">
        <f t="shared" si="4505"/>
        <v>0</v>
      </c>
      <c r="W333" s="38"/>
      <c r="X333" s="38">
        <f t="shared" ref="X333" si="4506">TRUNC($M333 * W333,2)</f>
        <v>0</v>
      </c>
      <c r="Y333" s="38"/>
      <c r="Z333" s="38">
        <f t="shared" ref="Z333" si="4507">TRUNC($M333 * Y333,2)</f>
        <v>0</v>
      </c>
      <c r="AA333" s="38"/>
      <c r="AB333" s="38">
        <f t="shared" ref="AB333" si="4508">TRUNC($M333 * AA333,2)</f>
        <v>0</v>
      </c>
      <c r="AC333" s="38"/>
      <c r="AD333" s="38">
        <f t="shared" ref="AD333" si="4509">TRUNC($M333 * AC333,2)</f>
        <v>0</v>
      </c>
      <c r="AE333" s="38"/>
      <c r="AF333" s="38">
        <f t="shared" ref="AF333" si="4510">TRUNC($M333 * AE333,2)</f>
        <v>0</v>
      </c>
      <c r="AG333" s="38"/>
      <c r="AH333" s="38">
        <f t="shared" ref="AH333" si="4511">TRUNC($M333 * AG333,2)</f>
        <v>0</v>
      </c>
      <c r="AI333" s="38"/>
      <c r="AJ333" s="38">
        <f t="shared" ref="AJ333" si="4512">TRUNC($M333 * AI333,2)</f>
        <v>0</v>
      </c>
      <c r="AK333" s="38"/>
      <c r="AL333" s="38">
        <f t="shared" ref="AL333" si="4513">TRUNC($M333 * AK333,2)</f>
        <v>0</v>
      </c>
      <c r="AM333" s="38"/>
      <c r="AN333" s="38">
        <f t="shared" ref="AN333" si="4514">TRUNC($M333 * AM333,2)</f>
        <v>0</v>
      </c>
      <c r="AO333" s="38"/>
      <c r="AP333" s="38">
        <f t="shared" ref="AP333" si="4515">TRUNC($M333 * AO333,2)</f>
        <v>0</v>
      </c>
      <c r="AQ333" s="38"/>
      <c r="AR333" s="38">
        <f t="shared" ref="AR333" si="4516">TRUNC($M333 * AQ333,2)</f>
        <v>0</v>
      </c>
      <c r="AS333" s="38"/>
      <c r="AT333" s="38">
        <f t="shared" ref="AT333" si="4517">TRUNC($M333 * AS333,2)</f>
        <v>0</v>
      </c>
      <c r="AU333" s="38"/>
      <c r="AV333" s="38">
        <f t="shared" ref="AV333" si="4518">TRUNC($M333 * AU333,2)</f>
        <v>0</v>
      </c>
      <c r="AW333" s="38"/>
      <c r="AX333" s="37">
        <f t="shared" ref="AX333" si="4519">TRUNC($M333 * AW333,2)</f>
        <v>0</v>
      </c>
      <c r="AY333" s="36">
        <f t="shared" ref="AY333:AY396" si="4520">SUM(U333,W333,Y333,AA333,AC333,AE333,AG333,AI333,AK333,AM333,AO333,AQ333,AS333,AU333,AW333)</f>
        <v>0</v>
      </c>
      <c r="AZ333" s="38">
        <f t="shared" ref="AZ333" si="4521">TRUNC($M333 * AY333,2)</f>
        <v>0</v>
      </c>
      <c r="BA333" s="38">
        <f t="shared" ref="BA333:BA396" si="4522">S333-AY333</f>
        <v>1</v>
      </c>
      <c r="BB333" s="37">
        <f t="shared" ref="BB333" si="4523">TRUNC($M333 * BA333,2)</f>
        <v>1.58</v>
      </c>
    </row>
    <row r="334" spans="1:54" ht="39" customHeight="1" x14ac:dyDescent="0.25">
      <c r="A334" s="31" t="s">
        <v>1146</v>
      </c>
      <c r="B334" s="31" t="s">
        <v>680</v>
      </c>
      <c r="C334" s="31" t="s">
        <v>34</v>
      </c>
      <c r="D334" s="31" t="s">
        <v>681</v>
      </c>
      <c r="E334" s="32" t="s">
        <v>36</v>
      </c>
      <c r="F334" s="33">
        <v>274</v>
      </c>
      <c r="G334" s="34">
        <v>22.08</v>
      </c>
      <c r="H334" s="34">
        <f t="shared" si="4499"/>
        <v>20.32</v>
      </c>
      <c r="I334" s="34">
        <f t="shared" si="4500"/>
        <v>5567.68</v>
      </c>
      <c r="J334" s="34">
        <f>(TRUNC(H334 * L14,2) + H334)</f>
        <v>24.45</v>
      </c>
      <c r="K334" s="34">
        <f t="shared" si="4501"/>
        <v>6699.3</v>
      </c>
      <c r="L334" s="35">
        <f>K334 / L13</f>
        <v>2.3101034482758617E-3</v>
      </c>
      <c r="M334" s="36">
        <v>21.79</v>
      </c>
      <c r="N334" s="37">
        <f t="shared" si="4502"/>
        <v>5970.46</v>
      </c>
      <c r="O334" s="36"/>
      <c r="P334" s="38">
        <f t="shared" si="4503"/>
        <v>0</v>
      </c>
      <c r="Q334" s="38"/>
      <c r="R334" s="38">
        <f t="shared" si="4503"/>
        <v>0</v>
      </c>
      <c r="S334" s="38">
        <f t="shared" si="4504"/>
        <v>274</v>
      </c>
      <c r="T334" s="37">
        <f t="shared" ref="T334:V334" si="4524">TRUNC($M334 * S334,2)</f>
        <v>5970.46</v>
      </c>
      <c r="U334" s="36"/>
      <c r="V334" s="38">
        <f t="shared" si="4524"/>
        <v>0</v>
      </c>
      <c r="W334" s="38"/>
      <c r="X334" s="38">
        <f t="shared" ref="X334" si="4525">TRUNC($M334 * W334,2)</f>
        <v>0</v>
      </c>
      <c r="Y334" s="38"/>
      <c r="Z334" s="38">
        <f t="shared" ref="Z334" si="4526">TRUNC($M334 * Y334,2)</f>
        <v>0</v>
      </c>
      <c r="AA334" s="38"/>
      <c r="AB334" s="38">
        <f t="shared" ref="AB334" si="4527">TRUNC($M334 * AA334,2)</f>
        <v>0</v>
      </c>
      <c r="AC334" s="38"/>
      <c r="AD334" s="38">
        <f t="shared" ref="AD334" si="4528">TRUNC($M334 * AC334,2)</f>
        <v>0</v>
      </c>
      <c r="AE334" s="38"/>
      <c r="AF334" s="38">
        <f t="shared" ref="AF334" si="4529">TRUNC($M334 * AE334,2)</f>
        <v>0</v>
      </c>
      <c r="AG334" s="38"/>
      <c r="AH334" s="38">
        <f t="shared" ref="AH334" si="4530">TRUNC($M334 * AG334,2)</f>
        <v>0</v>
      </c>
      <c r="AI334" s="38"/>
      <c r="AJ334" s="38">
        <f t="shared" ref="AJ334" si="4531">TRUNC($M334 * AI334,2)</f>
        <v>0</v>
      </c>
      <c r="AK334" s="38"/>
      <c r="AL334" s="38">
        <f t="shared" ref="AL334" si="4532">TRUNC($M334 * AK334,2)</f>
        <v>0</v>
      </c>
      <c r="AM334" s="38"/>
      <c r="AN334" s="38">
        <f t="shared" ref="AN334" si="4533">TRUNC($M334 * AM334,2)</f>
        <v>0</v>
      </c>
      <c r="AO334" s="38"/>
      <c r="AP334" s="38">
        <f t="shared" ref="AP334" si="4534">TRUNC($M334 * AO334,2)</f>
        <v>0</v>
      </c>
      <c r="AQ334" s="38"/>
      <c r="AR334" s="38">
        <f t="shared" ref="AR334" si="4535">TRUNC($M334 * AQ334,2)</f>
        <v>0</v>
      </c>
      <c r="AS334" s="38"/>
      <c r="AT334" s="38">
        <f t="shared" ref="AT334" si="4536">TRUNC($M334 * AS334,2)</f>
        <v>0</v>
      </c>
      <c r="AU334" s="38"/>
      <c r="AV334" s="38">
        <f t="shared" ref="AV334" si="4537">TRUNC($M334 * AU334,2)</f>
        <v>0</v>
      </c>
      <c r="AW334" s="38"/>
      <c r="AX334" s="37">
        <f t="shared" ref="AX334" si="4538">TRUNC($M334 * AW334,2)</f>
        <v>0</v>
      </c>
      <c r="AY334" s="36">
        <f t="shared" si="4520"/>
        <v>0</v>
      </c>
      <c r="AZ334" s="38">
        <f t="shared" ref="AZ334" si="4539">TRUNC($M334 * AY334,2)</f>
        <v>0</v>
      </c>
      <c r="BA334" s="38">
        <f t="shared" si="4522"/>
        <v>274</v>
      </c>
      <c r="BB334" s="37">
        <f t="shared" ref="BB334" si="4540">TRUNC($M334 * BA334,2)</f>
        <v>5970.46</v>
      </c>
    </row>
    <row r="335" spans="1:54" ht="39" customHeight="1" x14ac:dyDescent="0.25">
      <c r="A335" s="31" t="s">
        <v>1147</v>
      </c>
      <c r="B335" s="31" t="s">
        <v>682</v>
      </c>
      <c r="C335" s="31" t="s">
        <v>34</v>
      </c>
      <c r="D335" s="31" t="s">
        <v>683</v>
      </c>
      <c r="E335" s="32" t="s">
        <v>36</v>
      </c>
      <c r="F335" s="33">
        <v>21</v>
      </c>
      <c r="G335" s="34">
        <v>24.85</v>
      </c>
      <c r="H335" s="34">
        <f t="shared" si="4499"/>
        <v>22.88</v>
      </c>
      <c r="I335" s="34">
        <f t="shared" si="4500"/>
        <v>480.48</v>
      </c>
      <c r="J335" s="34">
        <f>(TRUNC(H335 * L14,2) + H335)</f>
        <v>27.53</v>
      </c>
      <c r="K335" s="34">
        <f t="shared" si="4501"/>
        <v>578.13</v>
      </c>
      <c r="L335" s="35">
        <f>K335 / L13</f>
        <v>1.9935517241379306E-4</v>
      </c>
      <c r="M335" s="36">
        <v>24.05</v>
      </c>
      <c r="N335" s="37">
        <f t="shared" si="4502"/>
        <v>505.05</v>
      </c>
      <c r="O335" s="36"/>
      <c r="P335" s="38">
        <f t="shared" si="4503"/>
        <v>0</v>
      </c>
      <c r="Q335" s="38"/>
      <c r="R335" s="38">
        <f t="shared" si="4503"/>
        <v>0</v>
      </c>
      <c r="S335" s="38">
        <f t="shared" si="4504"/>
        <v>21</v>
      </c>
      <c r="T335" s="37">
        <f t="shared" ref="T335:V335" si="4541">TRUNC($M335 * S335,2)</f>
        <v>505.05</v>
      </c>
      <c r="U335" s="36"/>
      <c r="V335" s="38">
        <f t="shared" si="4541"/>
        <v>0</v>
      </c>
      <c r="W335" s="38"/>
      <c r="X335" s="38">
        <f t="shared" ref="X335" si="4542">TRUNC($M335 * W335,2)</f>
        <v>0</v>
      </c>
      <c r="Y335" s="38"/>
      <c r="Z335" s="38">
        <f t="shared" ref="Z335" si="4543">TRUNC($M335 * Y335,2)</f>
        <v>0</v>
      </c>
      <c r="AA335" s="38"/>
      <c r="AB335" s="38">
        <f t="shared" ref="AB335" si="4544">TRUNC($M335 * AA335,2)</f>
        <v>0</v>
      </c>
      <c r="AC335" s="38"/>
      <c r="AD335" s="38">
        <f t="shared" ref="AD335" si="4545">TRUNC($M335 * AC335,2)</f>
        <v>0</v>
      </c>
      <c r="AE335" s="38"/>
      <c r="AF335" s="38">
        <f t="shared" ref="AF335" si="4546">TRUNC($M335 * AE335,2)</f>
        <v>0</v>
      </c>
      <c r="AG335" s="38"/>
      <c r="AH335" s="38">
        <f t="shared" ref="AH335" si="4547">TRUNC($M335 * AG335,2)</f>
        <v>0</v>
      </c>
      <c r="AI335" s="38"/>
      <c r="AJ335" s="38">
        <f t="shared" ref="AJ335" si="4548">TRUNC($M335 * AI335,2)</f>
        <v>0</v>
      </c>
      <c r="AK335" s="38"/>
      <c r="AL335" s="38">
        <f t="shared" ref="AL335" si="4549">TRUNC($M335 * AK335,2)</f>
        <v>0</v>
      </c>
      <c r="AM335" s="38"/>
      <c r="AN335" s="38">
        <f t="shared" ref="AN335" si="4550">TRUNC($M335 * AM335,2)</f>
        <v>0</v>
      </c>
      <c r="AO335" s="38"/>
      <c r="AP335" s="38">
        <f t="shared" ref="AP335" si="4551">TRUNC($M335 * AO335,2)</f>
        <v>0</v>
      </c>
      <c r="AQ335" s="38"/>
      <c r="AR335" s="38">
        <f t="shared" ref="AR335" si="4552">TRUNC($M335 * AQ335,2)</f>
        <v>0</v>
      </c>
      <c r="AS335" s="38"/>
      <c r="AT335" s="38">
        <f t="shared" ref="AT335" si="4553">TRUNC($M335 * AS335,2)</f>
        <v>0</v>
      </c>
      <c r="AU335" s="38"/>
      <c r="AV335" s="38">
        <f t="shared" ref="AV335" si="4554">TRUNC($M335 * AU335,2)</f>
        <v>0</v>
      </c>
      <c r="AW335" s="38"/>
      <c r="AX335" s="37">
        <f t="shared" ref="AX335" si="4555">TRUNC($M335 * AW335,2)</f>
        <v>0</v>
      </c>
      <c r="AY335" s="36">
        <f t="shared" si="4520"/>
        <v>0</v>
      </c>
      <c r="AZ335" s="38">
        <f t="shared" ref="AZ335" si="4556">TRUNC($M335 * AY335,2)</f>
        <v>0</v>
      </c>
      <c r="BA335" s="38">
        <f t="shared" si="4522"/>
        <v>21</v>
      </c>
      <c r="BB335" s="37">
        <f t="shared" ref="BB335" si="4557">TRUNC($M335 * BA335,2)</f>
        <v>505.05</v>
      </c>
    </row>
    <row r="336" spans="1:54" ht="26.1" customHeight="1" x14ac:dyDescent="0.25">
      <c r="A336" s="31" t="s">
        <v>1148</v>
      </c>
      <c r="B336" s="31" t="s">
        <v>684</v>
      </c>
      <c r="C336" s="31" t="s">
        <v>34</v>
      </c>
      <c r="D336" s="31" t="s">
        <v>685</v>
      </c>
      <c r="E336" s="32" t="s">
        <v>36</v>
      </c>
      <c r="F336" s="33">
        <v>99</v>
      </c>
      <c r="G336" s="34">
        <v>18.399999999999999</v>
      </c>
      <c r="H336" s="34">
        <f t="shared" si="4499"/>
        <v>16.940000000000001</v>
      </c>
      <c r="I336" s="34">
        <f t="shared" si="4500"/>
        <v>1677.06</v>
      </c>
      <c r="J336" s="34">
        <f>(TRUNC(H336 * L14,2) + H336)</f>
        <v>20.380000000000003</v>
      </c>
      <c r="K336" s="34">
        <f t="shared" si="4501"/>
        <v>2017.62</v>
      </c>
      <c r="L336" s="35">
        <f>K336 / L13</f>
        <v>6.9573103448275844E-4</v>
      </c>
      <c r="M336" s="36">
        <v>17.75</v>
      </c>
      <c r="N336" s="37">
        <f t="shared" si="4502"/>
        <v>1757.25</v>
      </c>
      <c r="O336" s="36"/>
      <c r="P336" s="38">
        <f t="shared" si="4503"/>
        <v>0</v>
      </c>
      <c r="Q336" s="38"/>
      <c r="R336" s="38">
        <f t="shared" si="4503"/>
        <v>0</v>
      </c>
      <c r="S336" s="38">
        <f t="shared" si="4504"/>
        <v>99</v>
      </c>
      <c r="T336" s="37">
        <f t="shared" ref="T336:V336" si="4558">TRUNC($M336 * S336,2)</f>
        <v>1757.25</v>
      </c>
      <c r="U336" s="36"/>
      <c r="V336" s="38">
        <f t="shared" si="4558"/>
        <v>0</v>
      </c>
      <c r="W336" s="38"/>
      <c r="X336" s="38">
        <f t="shared" ref="X336" si="4559">TRUNC($M336 * W336,2)</f>
        <v>0</v>
      </c>
      <c r="Y336" s="38"/>
      <c r="Z336" s="38">
        <f t="shared" ref="Z336" si="4560">TRUNC($M336 * Y336,2)</f>
        <v>0</v>
      </c>
      <c r="AA336" s="38"/>
      <c r="AB336" s="38">
        <f t="shared" ref="AB336" si="4561">TRUNC($M336 * AA336,2)</f>
        <v>0</v>
      </c>
      <c r="AC336" s="38"/>
      <c r="AD336" s="38">
        <f t="shared" ref="AD336" si="4562">TRUNC($M336 * AC336,2)</f>
        <v>0</v>
      </c>
      <c r="AE336" s="38"/>
      <c r="AF336" s="38">
        <f t="shared" ref="AF336" si="4563">TRUNC($M336 * AE336,2)</f>
        <v>0</v>
      </c>
      <c r="AG336" s="38"/>
      <c r="AH336" s="38">
        <f t="shared" ref="AH336" si="4564">TRUNC($M336 * AG336,2)</f>
        <v>0</v>
      </c>
      <c r="AI336" s="38"/>
      <c r="AJ336" s="38">
        <f t="shared" ref="AJ336" si="4565">TRUNC($M336 * AI336,2)</f>
        <v>0</v>
      </c>
      <c r="AK336" s="38"/>
      <c r="AL336" s="38">
        <f t="shared" ref="AL336" si="4566">TRUNC($M336 * AK336,2)</f>
        <v>0</v>
      </c>
      <c r="AM336" s="38"/>
      <c r="AN336" s="38">
        <f t="shared" ref="AN336" si="4567">TRUNC($M336 * AM336,2)</f>
        <v>0</v>
      </c>
      <c r="AO336" s="38"/>
      <c r="AP336" s="38">
        <f t="shared" ref="AP336" si="4568">TRUNC($M336 * AO336,2)</f>
        <v>0</v>
      </c>
      <c r="AQ336" s="38"/>
      <c r="AR336" s="38">
        <f t="shared" ref="AR336" si="4569">TRUNC($M336 * AQ336,2)</f>
        <v>0</v>
      </c>
      <c r="AS336" s="38"/>
      <c r="AT336" s="38">
        <f t="shared" ref="AT336" si="4570">TRUNC($M336 * AS336,2)</f>
        <v>0</v>
      </c>
      <c r="AU336" s="38"/>
      <c r="AV336" s="38">
        <f t="shared" ref="AV336" si="4571">TRUNC($M336 * AU336,2)</f>
        <v>0</v>
      </c>
      <c r="AW336" s="38"/>
      <c r="AX336" s="37">
        <f t="shared" ref="AX336" si="4572">TRUNC($M336 * AW336,2)</f>
        <v>0</v>
      </c>
      <c r="AY336" s="36">
        <f t="shared" si="4520"/>
        <v>0</v>
      </c>
      <c r="AZ336" s="38">
        <f t="shared" ref="AZ336" si="4573">TRUNC($M336 * AY336,2)</f>
        <v>0</v>
      </c>
      <c r="BA336" s="38">
        <f t="shared" si="4522"/>
        <v>99</v>
      </c>
      <c r="BB336" s="37">
        <f t="shared" ref="BB336" si="4574">TRUNC($M336 * BA336,2)</f>
        <v>1757.25</v>
      </c>
    </row>
    <row r="337" spans="1:54" ht="39" customHeight="1" x14ac:dyDescent="0.25">
      <c r="A337" s="31" t="s">
        <v>1149</v>
      </c>
      <c r="B337" s="31" t="s">
        <v>686</v>
      </c>
      <c r="C337" s="31" t="s">
        <v>34</v>
      </c>
      <c r="D337" s="31" t="s">
        <v>687</v>
      </c>
      <c r="E337" s="32" t="s">
        <v>36</v>
      </c>
      <c r="F337" s="33">
        <v>6</v>
      </c>
      <c r="G337" s="34">
        <v>21.53</v>
      </c>
      <c r="H337" s="34">
        <f t="shared" si="4499"/>
        <v>19.82</v>
      </c>
      <c r="I337" s="34">
        <f t="shared" si="4500"/>
        <v>118.92</v>
      </c>
      <c r="J337" s="34">
        <f>(TRUNC(H337 * L14,2) + H337)</f>
        <v>23.85</v>
      </c>
      <c r="K337" s="34">
        <f t="shared" si="4501"/>
        <v>143.1</v>
      </c>
      <c r="L337" s="35">
        <f>K337 / L13</f>
        <v>4.9344827586206887E-5</v>
      </c>
      <c r="M337" s="36">
        <v>21.42</v>
      </c>
      <c r="N337" s="37">
        <f t="shared" si="4502"/>
        <v>128.52000000000001</v>
      </c>
      <c r="O337" s="36"/>
      <c r="P337" s="38">
        <f t="shared" si="4503"/>
        <v>0</v>
      </c>
      <c r="Q337" s="38"/>
      <c r="R337" s="38">
        <f t="shared" si="4503"/>
        <v>0</v>
      </c>
      <c r="S337" s="38">
        <f t="shared" si="4504"/>
        <v>6</v>
      </c>
      <c r="T337" s="37">
        <f t="shared" ref="T337:V337" si="4575">TRUNC($M337 * S337,2)</f>
        <v>128.52000000000001</v>
      </c>
      <c r="U337" s="36"/>
      <c r="V337" s="38">
        <f t="shared" si="4575"/>
        <v>0</v>
      </c>
      <c r="W337" s="38"/>
      <c r="X337" s="38">
        <f t="shared" ref="X337" si="4576">TRUNC($M337 * W337,2)</f>
        <v>0</v>
      </c>
      <c r="Y337" s="38"/>
      <c r="Z337" s="38">
        <f t="shared" ref="Z337" si="4577">TRUNC($M337 * Y337,2)</f>
        <v>0</v>
      </c>
      <c r="AA337" s="38"/>
      <c r="AB337" s="38">
        <f t="shared" ref="AB337" si="4578">TRUNC($M337 * AA337,2)</f>
        <v>0</v>
      </c>
      <c r="AC337" s="38"/>
      <c r="AD337" s="38">
        <f t="shared" ref="AD337" si="4579">TRUNC($M337 * AC337,2)</f>
        <v>0</v>
      </c>
      <c r="AE337" s="38"/>
      <c r="AF337" s="38">
        <f t="shared" ref="AF337" si="4580">TRUNC($M337 * AE337,2)</f>
        <v>0</v>
      </c>
      <c r="AG337" s="38"/>
      <c r="AH337" s="38">
        <f t="shared" ref="AH337" si="4581">TRUNC($M337 * AG337,2)</f>
        <v>0</v>
      </c>
      <c r="AI337" s="38"/>
      <c r="AJ337" s="38">
        <f t="shared" ref="AJ337" si="4582">TRUNC($M337 * AI337,2)</f>
        <v>0</v>
      </c>
      <c r="AK337" s="38"/>
      <c r="AL337" s="38">
        <f t="shared" ref="AL337" si="4583">TRUNC($M337 * AK337,2)</f>
        <v>0</v>
      </c>
      <c r="AM337" s="38"/>
      <c r="AN337" s="38">
        <f t="shared" ref="AN337" si="4584">TRUNC($M337 * AM337,2)</f>
        <v>0</v>
      </c>
      <c r="AO337" s="38"/>
      <c r="AP337" s="38">
        <f t="shared" ref="AP337" si="4585">TRUNC($M337 * AO337,2)</f>
        <v>0</v>
      </c>
      <c r="AQ337" s="38"/>
      <c r="AR337" s="38">
        <f t="shared" ref="AR337" si="4586">TRUNC($M337 * AQ337,2)</f>
        <v>0</v>
      </c>
      <c r="AS337" s="38"/>
      <c r="AT337" s="38">
        <f t="shared" ref="AT337" si="4587">TRUNC($M337 * AS337,2)</f>
        <v>0</v>
      </c>
      <c r="AU337" s="38"/>
      <c r="AV337" s="38">
        <f t="shared" ref="AV337" si="4588">TRUNC($M337 * AU337,2)</f>
        <v>0</v>
      </c>
      <c r="AW337" s="38"/>
      <c r="AX337" s="37">
        <f t="shared" ref="AX337" si="4589">TRUNC($M337 * AW337,2)</f>
        <v>0</v>
      </c>
      <c r="AY337" s="36">
        <f t="shared" si="4520"/>
        <v>0</v>
      </c>
      <c r="AZ337" s="38">
        <f t="shared" ref="AZ337" si="4590">TRUNC($M337 * AY337,2)</f>
        <v>0</v>
      </c>
      <c r="BA337" s="38">
        <f t="shared" si="4522"/>
        <v>6</v>
      </c>
      <c r="BB337" s="37">
        <f t="shared" ref="BB337" si="4591">TRUNC($M337 * BA337,2)</f>
        <v>128.52000000000001</v>
      </c>
    </row>
    <row r="338" spans="1:54" ht="51.9" customHeight="1" x14ac:dyDescent="0.25">
      <c r="A338" s="31" t="s">
        <v>1150</v>
      </c>
      <c r="B338" s="31" t="s">
        <v>688</v>
      </c>
      <c r="C338" s="31" t="s">
        <v>34</v>
      </c>
      <c r="D338" s="31" t="s">
        <v>689</v>
      </c>
      <c r="E338" s="32" t="s">
        <v>36</v>
      </c>
      <c r="F338" s="33">
        <v>1</v>
      </c>
      <c r="G338" s="34">
        <v>28.42</v>
      </c>
      <c r="H338" s="34">
        <f t="shared" si="4499"/>
        <v>26.16</v>
      </c>
      <c r="I338" s="34">
        <f t="shared" si="4500"/>
        <v>26.16</v>
      </c>
      <c r="J338" s="34">
        <f>(TRUNC(H338 * L14,2) + H338)</f>
        <v>31.48</v>
      </c>
      <c r="K338" s="34">
        <f t="shared" si="4501"/>
        <v>31.48</v>
      </c>
      <c r="L338" s="35">
        <f>K338 / L13</f>
        <v>1.0855172413793102E-5</v>
      </c>
      <c r="M338" s="36">
        <v>27.82</v>
      </c>
      <c r="N338" s="37">
        <f t="shared" si="4502"/>
        <v>27.82</v>
      </c>
      <c r="O338" s="36"/>
      <c r="P338" s="38">
        <f t="shared" si="4503"/>
        <v>0</v>
      </c>
      <c r="Q338" s="38"/>
      <c r="R338" s="38">
        <f t="shared" si="4503"/>
        <v>0</v>
      </c>
      <c r="S338" s="38">
        <f t="shared" si="4504"/>
        <v>1</v>
      </c>
      <c r="T338" s="37">
        <f t="shared" ref="T338:V338" si="4592">TRUNC($M338 * S338,2)</f>
        <v>27.82</v>
      </c>
      <c r="U338" s="36"/>
      <c r="V338" s="38">
        <f t="shared" si="4592"/>
        <v>0</v>
      </c>
      <c r="W338" s="38"/>
      <c r="X338" s="38">
        <f t="shared" ref="X338" si="4593">TRUNC($M338 * W338,2)</f>
        <v>0</v>
      </c>
      <c r="Y338" s="38"/>
      <c r="Z338" s="38">
        <f t="shared" ref="Z338" si="4594">TRUNC($M338 * Y338,2)</f>
        <v>0</v>
      </c>
      <c r="AA338" s="38"/>
      <c r="AB338" s="38">
        <f t="shared" ref="AB338" si="4595">TRUNC($M338 * AA338,2)</f>
        <v>0</v>
      </c>
      <c r="AC338" s="38"/>
      <c r="AD338" s="38">
        <f t="shared" ref="AD338" si="4596">TRUNC($M338 * AC338,2)</f>
        <v>0</v>
      </c>
      <c r="AE338" s="38"/>
      <c r="AF338" s="38">
        <f t="shared" ref="AF338" si="4597">TRUNC($M338 * AE338,2)</f>
        <v>0</v>
      </c>
      <c r="AG338" s="38"/>
      <c r="AH338" s="38">
        <f t="shared" ref="AH338" si="4598">TRUNC($M338 * AG338,2)</f>
        <v>0</v>
      </c>
      <c r="AI338" s="38"/>
      <c r="AJ338" s="38">
        <f t="shared" ref="AJ338" si="4599">TRUNC($M338 * AI338,2)</f>
        <v>0</v>
      </c>
      <c r="AK338" s="38"/>
      <c r="AL338" s="38">
        <f t="shared" ref="AL338" si="4600">TRUNC($M338 * AK338,2)</f>
        <v>0</v>
      </c>
      <c r="AM338" s="38"/>
      <c r="AN338" s="38">
        <f t="shared" ref="AN338" si="4601">TRUNC($M338 * AM338,2)</f>
        <v>0</v>
      </c>
      <c r="AO338" s="38"/>
      <c r="AP338" s="38">
        <f t="shared" ref="AP338" si="4602">TRUNC($M338 * AO338,2)</f>
        <v>0</v>
      </c>
      <c r="AQ338" s="38"/>
      <c r="AR338" s="38">
        <f t="shared" ref="AR338" si="4603">TRUNC($M338 * AQ338,2)</f>
        <v>0</v>
      </c>
      <c r="AS338" s="38"/>
      <c r="AT338" s="38">
        <f t="shared" ref="AT338" si="4604">TRUNC($M338 * AS338,2)</f>
        <v>0</v>
      </c>
      <c r="AU338" s="38"/>
      <c r="AV338" s="38">
        <f t="shared" ref="AV338" si="4605">TRUNC($M338 * AU338,2)</f>
        <v>0</v>
      </c>
      <c r="AW338" s="38"/>
      <c r="AX338" s="37">
        <f t="shared" ref="AX338" si="4606">TRUNC($M338 * AW338,2)</f>
        <v>0</v>
      </c>
      <c r="AY338" s="36">
        <f t="shared" si="4520"/>
        <v>0</v>
      </c>
      <c r="AZ338" s="38">
        <f t="shared" ref="AZ338" si="4607">TRUNC($M338 * AY338,2)</f>
        <v>0</v>
      </c>
      <c r="BA338" s="38">
        <f t="shared" si="4522"/>
        <v>1</v>
      </c>
      <c r="BB338" s="37">
        <f t="shared" ref="BB338" si="4608">TRUNC($M338 * BA338,2)</f>
        <v>27.82</v>
      </c>
    </row>
    <row r="339" spans="1:54" ht="24" customHeight="1" x14ac:dyDescent="0.25">
      <c r="A339" s="31" t="s">
        <v>1151</v>
      </c>
      <c r="B339" s="31" t="s">
        <v>690</v>
      </c>
      <c r="C339" s="31" t="s">
        <v>245</v>
      </c>
      <c r="D339" s="31" t="s">
        <v>691</v>
      </c>
      <c r="E339" s="32" t="s">
        <v>692</v>
      </c>
      <c r="F339" s="33">
        <v>407</v>
      </c>
      <c r="G339" s="34">
        <v>3.37</v>
      </c>
      <c r="H339" s="34">
        <f t="shared" si="4499"/>
        <v>3.1</v>
      </c>
      <c r="I339" s="34">
        <f t="shared" si="4500"/>
        <v>1261.7</v>
      </c>
      <c r="J339" s="34">
        <f>(TRUNC(H339 * L14,2) + H339)</f>
        <v>3.73</v>
      </c>
      <c r="K339" s="34">
        <f t="shared" si="4501"/>
        <v>1518.11</v>
      </c>
      <c r="L339" s="35">
        <f>K339 / L13</f>
        <v>5.2348620689655163E-4</v>
      </c>
      <c r="M339" s="36">
        <v>0.69</v>
      </c>
      <c r="N339" s="37">
        <f t="shared" si="4502"/>
        <v>280.83</v>
      </c>
      <c r="O339" s="36"/>
      <c r="P339" s="38">
        <f t="shared" si="4503"/>
        <v>0</v>
      </c>
      <c r="Q339" s="38"/>
      <c r="R339" s="38">
        <f t="shared" si="4503"/>
        <v>0</v>
      </c>
      <c r="S339" s="38">
        <f t="shared" si="4504"/>
        <v>407</v>
      </c>
      <c r="T339" s="37">
        <f t="shared" ref="T339:V339" si="4609">TRUNC($M339 * S339,2)</f>
        <v>280.83</v>
      </c>
      <c r="U339" s="36"/>
      <c r="V339" s="38">
        <f t="shared" si="4609"/>
        <v>0</v>
      </c>
      <c r="W339" s="38"/>
      <c r="X339" s="38">
        <f t="shared" ref="X339" si="4610">TRUNC($M339 * W339,2)</f>
        <v>0</v>
      </c>
      <c r="Y339" s="38"/>
      <c r="Z339" s="38">
        <f t="shared" ref="Z339" si="4611">TRUNC($M339 * Y339,2)</f>
        <v>0</v>
      </c>
      <c r="AA339" s="38"/>
      <c r="AB339" s="38">
        <f t="shared" ref="AB339" si="4612">TRUNC($M339 * AA339,2)</f>
        <v>0</v>
      </c>
      <c r="AC339" s="38"/>
      <c r="AD339" s="38">
        <f t="shared" ref="AD339" si="4613">TRUNC($M339 * AC339,2)</f>
        <v>0</v>
      </c>
      <c r="AE339" s="38"/>
      <c r="AF339" s="38">
        <f t="shared" ref="AF339" si="4614">TRUNC($M339 * AE339,2)</f>
        <v>0</v>
      </c>
      <c r="AG339" s="38"/>
      <c r="AH339" s="38">
        <f t="shared" ref="AH339" si="4615">TRUNC($M339 * AG339,2)</f>
        <v>0</v>
      </c>
      <c r="AI339" s="38"/>
      <c r="AJ339" s="38">
        <f t="shared" ref="AJ339" si="4616">TRUNC($M339 * AI339,2)</f>
        <v>0</v>
      </c>
      <c r="AK339" s="38"/>
      <c r="AL339" s="38">
        <f t="shared" ref="AL339" si="4617">TRUNC($M339 * AK339,2)</f>
        <v>0</v>
      </c>
      <c r="AM339" s="38"/>
      <c r="AN339" s="38">
        <f t="shared" ref="AN339" si="4618">TRUNC($M339 * AM339,2)</f>
        <v>0</v>
      </c>
      <c r="AO339" s="38"/>
      <c r="AP339" s="38">
        <f t="shared" ref="AP339" si="4619">TRUNC($M339 * AO339,2)</f>
        <v>0</v>
      </c>
      <c r="AQ339" s="38"/>
      <c r="AR339" s="38">
        <f t="shared" ref="AR339" si="4620">TRUNC($M339 * AQ339,2)</f>
        <v>0</v>
      </c>
      <c r="AS339" s="38"/>
      <c r="AT339" s="38">
        <f t="shared" ref="AT339" si="4621">TRUNC($M339 * AS339,2)</f>
        <v>0</v>
      </c>
      <c r="AU339" s="38"/>
      <c r="AV339" s="38">
        <f t="shared" ref="AV339" si="4622">TRUNC($M339 * AU339,2)</f>
        <v>0</v>
      </c>
      <c r="AW339" s="38"/>
      <c r="AX339" s="37">
        <f t="shared" ref="AX339" si="4623">TRUNC($M339 * AW339,2)</f>
        <v>0</v>
      </c>
      <c r="AY339" s="36">
        <f t="shared" si="4520"/>
        <v>0</v>
      </c>
      <c r="AZ339" s="38">
        <f t="shared" ref="AZ339" si="4624">TRUNC($M339 * AY339,2)</f>
        <v>0</v>
      </c>
      <c r="BA339" s="38">
        <f t="shared" si="4522"/>
        <v>407</v>
      </c>
      <c r="BB339" s="37">
        <f t="shared" ref="BB339" si="4625">TRUNC($M339 * BA339,2)</f>
        <v>280.83</v>
      </c>
    </row>
    <row r="340" spans="1:54" ht="24" customHeight="1" x14ac:dyDescent="0.25">
      <c r="A340" s="31" t="s">
        <v>1152</v>
      </c>
      <c r="B340" s="31" t="s">
        <v>693</v>
      </c>
      <c r="C340" s="31" t="s">
        <v>245</v>
      </c>
      <c r="D340" s="31" t="s">
        <v>694</v>
      </c>
      <c r="E340" s="32" t="s">
        <v>692</v>
      </c>
      <c r="F340" s="33">
        <v>67</v>
      </c>
      <c r="G340" s="34">
        <v>6.25</v>
      </c>
      <c r="H340" s="34">
        <f t="shared" si="4499"/>
        <v>5.75</v>
      </c>
      <c r="I340" s="34">
        <f t="shared" si="4500"/>
        <v>385.25</v>
      </c>
      <c r="J340" s="34">
        <f>(TRUNC(H340 * L14,2) + H340)</f>
        <v>6.91</v>
      </c>
      <c r="K340" s="34">
        <f t="shared" si="4501"/>
        <v>462.97</v>
      </c>
      <c r="L340" s="35">
        <f>K340 / L13</f>
        <v>1.5964482758620689E-4</v>
      </c>
      <c r="M340" s="36">
        <v>1.3</v>
      </c>
      <c r="N340" s="37">
        <f t="shared" si="4502"/>
        <v>87.1</v>
      </c>
      <c r="O340" s="36"/>
      <c r="P340" s="38">
        <f t="shared" si="4503"/>
        <v>0</v>
      </c>
      <c r="Q340" s="38"/>
      <c r="R340" s="38">
        <f t="shared" si="4503"/>
        <v>0</v>
      </c>
      <c r="S340" s="38">
        <f t="shared" si="4504"/>
        <v>67</v>
      </c>
      <c r="T340" s="37">
        <f t="shared" ref="T340:V340" si="4626">TRUNC($M340 * S340,2)</f>
        <v>87.1</v>
      </c>
      <c r="U340" s="36"/>
      <c r="V340" s="38">
        <f t="shared" si="4626"/>
        <v>0</v>
      </c>
      <c r="W340" s="38"/>
      <c r="X340" s="38">
        <f t="shared" ref="X340" si="4627">TRUNC($M340 * W340,2)</f>
        <v>0</v>
      </c>
      <c r="Y340" s="38"/>
      <c r="Z340" s="38">
        <f t="shared" ref="Z340" si="4628">TRUNC($M340 * Y340,2)</f>
        <v>0</v>
      </c>
      <c r="AA340" s="38"/>
      <c r="AB340" s="38">
        <f t="shared" ref="AB340" si="4629">TRUNC($M340 * AA340,2)</f>
        <v>0</v>
      </c>
      <c r="AC340" s="38"/>
      <c r="AD340" s="38">
        <f t="shared" ref="AD340" si="4630">TRUNC($M340 * AC340,2)</f>
        <v>0</v>
      </c>
      <c r="AE340" s="38"/>
      <c r="AF340" s="38">
        <f t="shared" ref="AF340" si="4631">TRUNC($M340 * AE340,2)</f>
        <v>0</v>
      </c>
      <c r="AG340" s="38"/>
      <c r="AH340" s="38">
        <f t="shared" ref="AH340" si="4632">TRUNC($M340 * AG340,2)</f>
        <v>0</v>
      </c>
      <c r="AI340" s="38"/>
      <c r="AJ340" s="38">
        <f t="shared" ref="AJ340" si="4633">TRUNC($M340 * AI340,2)</f>
        <v>0</v>
      </c>
      <c r="AK340" s="38"/>
      <c r="AL340" s="38">
        <f t="shared" ref="AL340" si="4634">TRUNC($M340 * AK340,2)</f>
        <v>0</v>
      </c>
      <c r="AM340" s="38"/>
      <c r="AN340" s="38">
        <f t="shared" ref="AN340" si="4635">TRUNC($M340 * AM340,2)</f>
        <v>0</v>
      </c>
      <c r="AO340" s="38"/>
      <c r="AP340" s="38">
        <f t="shared" ref="AP340" si="4636">TRUNC($M340 * AO340,2)</f>
        <v>0</v>
      </c>
      <c r="AQ340" s="38"/>
      <c r="AR340" s="38">
        <f t="shared" ref="AR340" si="4637">TRUNC($M340 * AQ340,2)</f>
        <v>0</v>
      </c>
      <c r="AS340" s="38"/>
      <c r="AT340" s="38">
        <f t="shared" ref="AT340" si="4638">TRUNC($M340 * AS340,2)</f>
        <v>0</v>
      </c>
      <c r="AU340" s="38"/>
      <c r="AV340" s="38">
        <f t="shared" ref="AV340" si="4639">TRUNC($M340 * AU340,2)</f>
        <v>0</v>
      </c>
      <c r="AW340" s="38"/>
      <c r="AX340" s="37">
        <f t="shared" ref="AX340" si="4640">TRUNC($M340 * AW340,2)</f>
        <v>0</v>
      </c>
      <c r="AY340" s="36">
        <f t="shared" si="4520"/>
        <v>0</v>
      </c>
      <c r="AZ340" s="38">
        <f t="shared" ref="AZ340" si="4641">TRUNC($M340 * AY340,2)</f>
        <v>0</v>
      </c>
      <c r="BA340" s="38">
        <f t="shared" si="4522"/>
        <v>67</v>
      </c>
      <c r="BB340" s="37">
        <f t="shared" ref="BB340" si="4642">TRUNC($M340 * BA340,2)</f>
        <v>87.1</v>
      </c>
    </row>
    <row r="341" spans="1:54" ht="26.1" customHeight="1" x14ac:dyDescent="0.25">
      <c r="A341" s="31" t="s">
        <v>1153</v>
      </c>
      <c r="B341" s="31" t="s">
        <v>695</v>
      </c>
      <c r="C341" s="31" t="s">
        <v>245</v>
      </c>
      <c r="D341" s="31" t="s">
        <v>696</v>
      </c>
      <c r="E341" s="32" t="s">
        <v>36</v>
      </c>
      <c r="F341" s="33">
        <v>67</v>
      </c>
      <c r="G341" s="34">
        <v>12.55</v>
      </c>
      <c r="H341" s="34">
        <f t="shared" si="4499"/>
        <v>11.55</v>
      </c>
      <c r="I341" s="34">
        <f t="shared" si="4500"/>
        <v>773.85</v>
      </c>
      <c r="J341" s="34">
        <f>(TRUNC(H341 * L14,2) + H341)</f>
        <v>13.89</v>
      </c>
      <c r="K341" s="34">
        <f t="shared" si="4501"/>
        <v>930.63</v>
      </c>
      <c r="L341" s="35">
        <f>K341 / L13</f>
        <v>3.2090689655172406E-4</v>
      </c>
      <c r="M341" s="36">
        <v>2.62</v>
      </c>
      <c r="N341" s="37">
        <f t="shared" si="4502"/>
        <v>175.54</v>
      </c>
      <c r="O341" s="36"/>
      <c r="P341" s="38">
        <f t="shared" si="4503"/>
        <v>0</v>
      </c>
      <c r="Q341" s="38"/>
      <c r="R341" s="38">
        <f t="shared" si="4503"/>
        <v>0</v>
      </c>
      <c r="S341" s="38">
        <f t="shared" si="4504"/>
        <v>67</v>
      </c>
      <c r="T341" s="37">
        <f t="shared" ref="T341:V341" si="4643">TRUNC($M341 * S341,2)</f>
        <v>175.54</v>
      </c>
      <c r="U341" s="36"/>
      <c r="V341" s="38">
        <f t="shared" si="4643"/>
        <v>0</v>
      </c>
      <c r="W341" s="38"/>
      <c r="X341" s="38">
        <f t="shared" ref="X341" si="4644">TRUNC($M341 * W341,2)</f>
        <v>0</v>
      </c>
      <c r="Y341" s="38"/>
      <c r="Z341" s="38">
        <f t="shared" ref="Z341" si="4645">TRUNC($M341 * Y341,2)</f>
        <v>0</v>
      </c>
      <c r="AA341" s="38"/>
      <c r="AB341" s="38">
        <f t="shared" ref="AB341" si="4646">TRUNC($M341 * AA341,2)</f>
        <v>0</v>
      </c>
      <c r="AC341" s="38"/>
      <c r="AD341" s="38">
        <f t="shared" ref="AD341" si="4647">TRUNC($M341 * AC341,2)</f>
        <v>0</v>
      </c>
      <c r="AE341" s="38"/>
      <c r="AF341" s="38">
        <f t="shared" ref="AF341" si="4648">TRUNC($M341 * AE341,2)</f>
        <v>0</v>
      </c>
      <c r="AG341" s="38"/>
      <c r="AH341" s="38">
        <f t="shared" ref="AH341" si="4649">TRUNC($M341 * AG341,2)</f>
        <v>0</v>
      </c>
      <c r="AI341" s="38"/>
      <c r="AJ341" s="38">
        <f t="shared" ref="AJ341" si="4650">TRUNC($M341 * AI341,2)</f>
        <v>0</v>
      </c>
      <c r="AK341" s="38"/>
      <c r="AL341" s="38">
        <f t="shared" ref="AL341" si="4651">TRUNC($M341 * AK341,2)</f>
        <v>0</v>
      </c>
      <c r="AM341" s="38"/>
      <c r="AN341" s="38">
        <f t="shared" ref="AN341" si="4652">TRUNC($M341 * AM341,2)</f>
        <v>0</v>
      </c>
      <c r="AO341" s="38"/>
      <c r="AP341" s="38">
        <f t="shared" ref="AP341" si="4653">TRUNC($M341 * AO341,2)</f>
        <v>0</v>
      </c>
      <c r="AQ341" s="38"/>
      <c r="AR341" s="38">
        <f t="shared" ref="AR341" si="4654">TRUNC($M341 * AQ341,2)</f>
        <v>0</v>
      </c>
      <c r="AS341" s="38"/>
      <c r="AT341" s="38">
        <f t="shared" ref="AT341" si="4655">TRUNC($M341 * AS341,2)</f>
        <v>0</v>
      </c>
      <c r="AU341" s="38"/>
      <c r="AV341" s="38">
        <f t="shared" ref="AV341" si="4656">TRUNC($M341 * AU341,2)</f>
        <v>0</v>
      </c>
      <c r="AW341" s="38"/>
      <c r="AX341" s="37">
        <f t="shared" ref="AX341" si="4657">TRUNC($M341 * AW341,2)</f>
        <v>0</v>
      </c>
      <c r="AY341" s="36">
        <f t="shared" si="4520"/>
        <v>0</v>
      </c>
      <c r="AZ341" s="38">
        <f t="shared" ref="AZ341" si="4658">TRUNC($M341 * AY341,2)</f>
        <v>0</v>
      </c>
      <c r="BA341" s="38">
        <f t="shared" si="4522"/>
        <v>67</v>
      </c>
      <c r="BB341" s="37">
        <f t="shared" ref="BB341" si="4659">TRUNC($M341 * BA341,2)</f>
        <v>175.54</v>
      </c>
    </row>
    <row r="342" spans="1:54" ht="24" customHeight="1" x14ac:dyDescent="0.25">
      <c r="A342" s="31" t="s">
        <v>1154</v>
      </c>
      <c r="B342" s="31" t="s">
        <v>697</v>
      </c>
      <c r="C342" s="31" t="s">
        <v>245</v>
      </c>
      <c r="D342" s="31" t="s">
        <v>698</v>
      </c>
      <c r="E342" s="32" t="s">
        <v>36</v>
      </c>
      <c r="F342" s="33">
        <v>192</v>
      </c>
      <c r="G342" s="34">
        <v>1.48</v>
      </c>
      <c r="H342" s="34">
        <f t="shared" si="4499"/>
        <v>1.36</v>
      </c>
      <c r="I342" s="34">
        <f t="shared" si="4500"/>
        <v>261.12</v>
      </c>
      <c r="J342" s="34">
        <f>(TRUNC(H342 * L14,2) + H342)</f>
        <v>1.6300000000000001</v>
      </c>
      <c r="K342" s="34">
        <f t="shared" si="4501"/>
        <v>312.95999999999998</v>
      </c>
      <c r="L342" s="35">
        <f>K342 / L13</f>
        <v>1.0791724137931031E-4</v>
      </c>
      <c r="M342" s="36">
        <v>0.31</v>
      </c>
      <c r="N342" s="37">
        <f t="shared" si="4502"/>
        <v>59.52</v>
      </c>
      <c r="O342" s="36"/>
      <c r="P342" s="38">
        <f t="shared" si="4503"/>
        <v>0</v>
      </c>
      <c r="Q342" s="38"/>
      <c r="R342" s="38">
        <f t="shared" si="4503"/>
        <v>0</v>
      </c>
      <c r="S342" s="38">
        <f t="shared" si="4504"/>
        <v>192</v>
      </c>
      <c r="T342" s="37">
        <f t="shared" ref="T342:V342" si="4660">TRUNC($M342 * S342,2)</f>
        <v>59.52</v>
      </c>
      <c r="U342" s="36"/>
      <c r="V342" s="38">
        <f t="shared" si="4660"/>
        <v>0</v>
      </c>
      <c r="W342" s="38"/>
      <c r="X342" s="38">
        <f t="shared" ref="X342" si="4661">TRUNC($M342 * W342,2)</f>
        <v>0</v>
      </c>
      <c r="Y342" s="38"/>
      <c r="Z342" s="38">
        <f t="shared" ref="Z342" si="4662">TRUNC($M342 * Y342,2)</f>
        <v>0</v>
      </c>
      <c r="AA342" s="38"/>
      <c r="AB342" s="38">
        <f t="shared" ref="AB342" si="4663">TRUNC($M342 * AA342,2)</f>
        <v>0</v>
      </c>
      <c r="AC342" s="38"/>
      <c r="AD342" s="38">
        <f t="shared" ref="AD342" si="4664">TRUNC($M342 * AC342,2)</f>
        <v>0</v>
      </c>
      <c r="AE342" s="38"/>
      <c r="AF342" s="38">
        <f t="shared" ref="AF342" si="4665">TRUNC($M342 * AE342,2)</f>
        <v>0</v>
      </c>
      <c r="AG342" s="38"/>
      <c r="AH342" s="38">
        <f t="shared" ref="AH342" si="4666">TRUNC($M342 * AG342,2)</f>
        <v>0</v>
      </c>
      <c r="AI342" s="38"/>
      <c r="AJ342" s="38">
        <f t="shared" ref="AJ342" si="4667">TRUNC($M342 * AI342,2)</f>
        <v>0</v>
      </c>
      <c r="AK342" s="38"/>
      <c r="AL342" s="38">
        <f t="shared" ref="AL342" si="4668">TRUNC($M342 * AK342,2)</f>
        <v>0</v>
      </c>
      <c r="AM342" s="38"/>
      <c r="AN342" s="38">
        <f t="shared" ref="AN342" si="4669">TRUNC($M342 * AM342,2)</f>
        <v>0</v>
      </c>
      <c r="AO342" s="38"/>
      <c r="AP342" s="38">
        <f t="shared" ref="AP342" si="4670">TRUNC($M342 * AO342,2)</f>
        <v>0</v>
      </c>
      <c r="AQ342" s="38"/>
      <c r="AR342" s="38">
        <f t="shared" ref="AR342" si="4671">TRUNC($M342 * AQ342,2)</f>
        <v>0</v>
      </c>
      <c r="AS342" s="38"/>
      <c r="AT342" s="38">
        <f t="shared" ref="AT342" si="4672">TRUNC($M342 * AS342,2)</f>
        <v>0</v>
      </c>
      <c r="AU342" s="38"/>
      <c r="AV342" s="38">
        <f t="shared" ref="AV342" si="4673">TRUNC($M342 * AU342,2)</f>
        <v>0</v>
      </c>
      <c r="AW342" s="38"/>
      <c r="AX342" s="37">
        <f t="shared" ref="AX342" si="4674">TRUNC($M342 * AW342,2)</f>
        <v>0</v>
      </c>
      <c r="AY342" s="36">
        <f t="shared" si="4520"/>
        <v>0</v>
      </c>
      <c r="AZ342" s="38">
        <f t="shared" ref="AZ342" si="4675">TRUNC($M342 * AY342,2)</f>
        <v>0</v>
      </c>
      <c r="BA342" s="38">
        <f t="shared" si="4522"/>
        <v>192</v>
      </c>
      <c r="BB342" s="37">
        <f t="shared" ref="BB342" si="4676">TRUNC($M342 * BA342,2)</f>
        <v>59.52</v>
      </c>
    </row>
    <row r="343" spans="1:54" ht="26.1" customHeight="1" x14ac:dyDescent="0.25">
      <c r="A343" s="31" t="s">
        <v>1155</v>
      </c>
      <c r="B343" s="31" t="s">
        <v>699</v>
      </c>
      <c r="C343" s="31" t="s">
        <v>245</v>
      </c>
      <c r="D343" s="31" t="s">
        <v>700</v>
      </c>
      <c r="E343" s="32" t="s">
        <v>36</v>
      </c>
      <c r="F343" s="33">
        <v>67</v>
      </c>
      <c r="G343" s="34">
        <v>5.26</v>
      </c>
      <c r="H343" s="34">
        <f t="shared" si="4499"/>
        <v>4.84</v>
      </c>
      <c r="I343" s="34">
        <f t="shared" si="4500"/>
        <v>324.27999999999997</v>
      </c>
      <c r="J343" s="34">
        <f>(TRUNC(H343 * L14,2) + H343)</f>
        <v>5.82</v>
      </c>
      <c r="K343" s="34">
        <f t="shared" si="4501"/>
        <v>389.94</v>
      </c>
      <c r="L343" s="35">
        <f>K343 / L13</f>
        <v>1.3446206896551723E-4</v>
      </c>
      <c r="M343" s="36">
        <v>1.0900000000000001</v>
      </c>
      <c r="N343" s="37">
        <f t="shared" si="4502"/>
        <v>73.03</v>
      </c>
      <c r="O343" s="36"/>
      <c r="P343" s="38">
        <f t="shared" si="4503"/>
        <v>0</v>
      </c>
      <c r="Q343" s="38"/>
      <c r="R343" s="38">
        <f t="shared" si="4503"/>
        <v>0</v>
      </c>
      <c r="S343" s="38">
        <f t="shared" si="4504"/>
        <v>67</v>
      </c>
      <c r="T343" s="37">
        <f t="shared" ref="T343:V343" si="4677">TRUNC($M343 * S343,2)</f>
        <v>73.03</v>
      </c>
      <c r="U343" s="36"/>
      <c r="V343" s="38">
        <f t="shared" si="4677"/>
        <v>0</v>
      </c>
      <c r="W343" s="38"/>
      <c r="X343" s="38">
        <f t="shared" ref="X343" si="4678">TRUNC($M343 * W343,2)</f>
        <v>0</v>
      </c>
      <c r="Y343" s="38"/>
      <c r="Z343" s="38">
        <f t="shared" ref="Z343" si="4679">TRUNC($M343 * Y343,2)</f>
        <v>0</v>
      </c>
      <c r="AA343" s="38"/>
      <c r="AB343" s="38">
        <f t="shared" ref="AB343" si="4680">TRUNC($M343 * AA343,2)</f>
        <v>0</v>
      </c>
      <c r="AC343" s="38"/>
      <c r="AD343" s="38">
        <f t="shared" ref="AD343" si="4681">TRUNC($M343 * AC343,2)</f>
        <v>0</v>
      </c>
      <c r="AE343" s="38"/>
      <c r="AF343" s="38">
        <f t="shared" ref="AF343" si="4682">TRUNC($M343 * AE343,2)</f>
        <v>0</v>
      </c>
      <c r="AG343" s="38"/>
      <c r="AH343" s="38">
        <f t="shared" ref="AH343" si="4683">TRUNC($M343 * AG343,2)</f>
        <v>0</v>
      </c>
      <c r="AI343" s="38"/>
      <c r="AJ343" s="38">
        <f t="shared" ref="AJ343" si="4684">TRUNC($M343 * AI343,2)</f>
        <v>0</v>
      </c>
      <c r="AK343" s="38"/>
      <c r="AL343" s="38">
        <f t="shared" ref="AL343" si="4685">TRUNC($M343 * AK343,2)</f>
        <v>0</v>
      </c>
      <c r="AM343" s="38"/>
      <c r="AN343" s="38">
        <f t="shared" ref="AN343" si="4686">TRUNC($M343 * AM343,2)</f>
        <v>0</v>
      </c>
      <c r="AO343" s="38"/>
      <c r="AP343" s="38">
        <f t="shared" ref="AP343" si="4687">TRUNC($M343 * AO343,2)</f>
        <v>0</v>
      </c>
      <c r="AQ343" s="38"/>
      <c r="AR343" s="38">
        <f t="shared" ref="AR343" si="4688">TRUNC($M343 * AQ343,2)</f>
        <v>0</v>
      </c>
      <c r="AS343" s="38"/>
      <c r="AT343" s="38">
        <f t="shared" ref="AT343" si="4689">TRUNC($M343 * AS343,2)</f>
        <v>0</v>
      </c>
      <c r="AU343" s="38"/>
      <c r="AV343" s="38">
        <f t="shared" ref="AV343" si="4690">TRUNC($M343 * AU343,2)</f>
        <v>0</v>
      </c>
      <c r="AW343" s="38"/>
      <c r="AX343" s="37">
        <f t="shared" ref="AX343" si="4691">TRUNC($M343 * AW343,2)</f>
        <v>0</v>
      </c>
      <c r="AY343" s="36">
        <f t="shared" si="4520"/>
        <v>0</v>
      </c>
      <c r="AZ343" s="38">
        <f t="shared" ref="AZ343" si="4692">TRUNC($M343 * AY343,2)</f>
        <v>0</v>
      </c>
      <c r="BA343" s="38">
        <f t="shared" si="4522"/>
        <v>67</v>
      </c>
      <c r="BB343" s="37">
        <f t="shared" ref="BB343" si="4693">TRUNC($M343 * BA343,2)</f>
        <v>73.03</v>
      </c>
    </row>
    <row r="344" spans="1:54" ht="26.1" customHeight="1" x14ac:dyDescent="0.25">
      <c r="A344" s="31" t="s">
        <v>1156</v>
      </c>
      <c r="B344" s="31" t="s">
        <v>701</v>
      </c>
      <c r="C344" s="31" t="s">
        <v>245</v>
      </c>
      <c r="D344" s="31" t="s">
        <v>702</v>
      </c>
      <c r="E344" s="32" t="s">
        <v>218</v>
      </c>
      <c r="F344" s="33">
        <v>67</v>
      </c>
      <c r="G344" s="34">
        <v>16.68</v>
      </c>
      <c r="H344" s="34">
        <f t="shared" si="4499"/>
        <v>15.35</v>
      </c>
      <c r="I344" s="34">
        <f t="shared" si="4500"/>
        <v>1028.45</v>
      </c>
      <c r="J344" s="34">
        <f>(TRUNC(H344 * L14,2) + H344)</f>
        <v>18.47</v>
      </c>
      <c r="K344" s="34">
        <f t="shared" si="4501"/>
        <v>1237.49</v>
      </c>
      <c r="L344" s="35">
        <f>K344 / L13</f>
        <v>4.2672068965517233E-4</v>
      </c>
      <c r="M344" s="36">
        <v>3.47</v>
      </c>
      <c r="N344" s="37">
        <f t="shared" si="4502"/>
        <v>232.49</v>
      </c>
      <c r="O344" s="36"/>
      <c r="P344" s="38">
        <f t="shared" si="4503"/>
        <v>0</v>
      </c>
      <c r="Q344" s="38"/>
      <c r="R344" s="38">
        <f t="shared" si="4503"/>
        <v>0</v>
      </c>
      <c r="S344" s="38">
        <f t="shared" si="4504"/>
        <v>67</v>
      </c>
      <c r="T344" s="37">
        <f t="shared" ref="T344:V344" si="4694">TRUNC($M344 * S344,2)</f>
        <v>232.49</v>
      </c>
      <c r="U344" s="36"/>
      <c r="V344" s="38">
        <f t="shared" si="4694"/>
        <v>0</v>
      </c>
      <c r="W344" s="38"/>
      <c r="X344" s="38">
        <f t="shared" ref="X344" si="4695">TRUNC($M344 * W344,2)</f>
        <v>0</v>
      </c>
      <c r="Y344" s="38"/>
      <c r="Z344" s="38">
        <f t="shared" ref="Z344" si="4696">TRUNC($M344 * Y344,2)</f>
        <v>0</v>
      </c>
      <c r="AA344" s="38"/>
      <c r="AB344" s="38">
        <f t="shared" ref="AB344" si="4697">TRUNC($M344 * AA344,2)</f>
        <v>0</v>
      </c>
      <c r="AC344" s="38"/>
      <c r="AD344" s="38">
        <f t="shared" ref="AD344" si="4698">TRUNC($M344 * AC344,2)</f>
        <v>0</v>
      </c>
      <c r="AE344" s="38"/>
      <c r="AF344" s="38">
        <f t="shared" ref="AF344" si="4699">TRUNC($M344 * AE344,2)</f>
        <v>0</v>
      </c>
      <c r="AG344" s="38"/>
      <c r="AH344" s="38">
        <f t="shared" ref="AH344" si="4700">TRUNC($M344 * AG344,2)</f>
        <v>0</v>
      </c>
      <c r="AI344" s="38"/>
      <c r="AJ344" s="38">
        <f t="shared" ref="AJ344" si="4701">TRUNC($M344 * AI344,2)</f>
        <v>0</v>
      </c>
      <c r="AK344" s="38"/>
      <c r="AL344" s="38">
        <f t="shared" ref="AL344" si="4702">TRUNC($M344 * AK344,2)</f>
        <v>0</v>
      </c>
      <c r="AM344" s="38"/>
      <c r="AN344" s="38">
        <f t="shared" ref="AN344" si="4703">TRUNC($M344 * AM344,2)</f>
        <v>0</v>
      </c>
      <c r="AO344" s="38"/>
      <c r="AP344" s="38">
        <f t="shared" ref="AP344" si="4704">TRUNC($M344 * AO344,2)</f>
        <v>0</v>
      </c>
      <c r="AQ344" s="38"/>
      <c r="AR344" s="38">
        <f t="shared" ref="AR344" si="4705">TRUNC($M344 * AQ344,2)</f>
        <v>0</v>
      </c>
      <c r="AS344" s="38"/>
      <c r="AT344" s="38">
        <f t="shared" ref="AT344" si="4706">TRUNC($M344 * AS344,2)</f>
        <v>0</v>
      </c>
      <c r="AU344" s="38"/>
      <c r="AV344" s="38">
        <f t="shared" ref="AV344" si="4707">TRUNC($M344 * AU344,2)</f>
        <v>0</v>
      </c>
      <c r="AW344" s="38"/>
      <c r="AX344" s="37">
        <f t="shared" ref="AX344" si="4708">TRUNC($M344 * AW344,2)</f>
        <v>0</v>
      </c>
      <c r="AY344" s="36">
        <f t="shared" si="4520"/>
        <v>0</v>
      </c>
      <c r="AZ344" s="38">
        <f t="shared" ref="AZ344" si="4709">TRUNC($M344 * AY344,2)</f>
        <v>0</v>
      </c>
      <c r="BA344" s="38">
        <f t="shared" si="4522"/>
        <v>67</v>
      </c>
      <c r="BB344" s="37">
        <f t="shared" ref="BB344" si="4710">TRUNC($M344 * BA344,2)</f>
        <v>232.49</v>
      </c>
    </row>
    <row r="345" spans="1:54" ht="51.9" customHeight="1" x14ac:dyDescent="0.25">
      <c r="A345" s="31" t="s">
        <v>1157</v>
      </c>
      <c r="B345" s="31" t="s">
        <v>703</v>
      </c>
      <c r="C345" s="31" t="s">
        <v>34</v>
      </c>
      <c r="D345" s="31" t="s">
        <v>704</v>
      </c>
      <c r="E345" s="32" t="s">
        <v>218</v>
      </c>
      <c r="F345" s="33">
        <v>158.19999999999999</v>
      </c>
      <c r="G345" s="34">
        <v>54.22</v>
      </c>
      <c r="H345" s="34">
        <f t="shared" si="4499"/>
        <v>49.92</v>
      </c>
      <c r="I345" s="34">
        <f t="shared" si="4500"/>
        <v>7897.34</v>
      </c>
      <c r="J345" s="34">
        <f>(TRUNC(H345 * L14,2) + H345)</f>
        <v>60.07</v>
      </c>
      <c r="K345" s="34">
        <f t="shared" si="4501"/>
        <v>9503.07</v>
      </c>
      <c r="L345" s="35">
        <f>K345 / L13</f>
        <v>3.276920689655172E-3</v>
      </c>
      <c r="M345" s="36">
        <v>40.32</v>
      </c>
      <c r="N345" s="37">
        <f t="shared" si="4502"/>
        <v>6378.62</v>
      </c>
      <c r="O345" s="36"/>
      <c r="P345" s="38">
        <f t="shared" si="4503"/>
        <v>0</v>
      </c>
      <c r="Q345" s="38"/>
      <c r="R345" s="38">
        <f t="shared" si="4503"/>
        <v>0</v>
      </c>
      <c r="S345" s="38">
        <f t="shared" si="4504"/>
        <v>158.19999999999999</v>
      </c>
      <c r="T345" s="37">
        <f t="shared" ref="T345:V345" si="4711">TRUNC($M345 * S345,2)</f>
        <v>6378.62</v>
      </c>
      <c r="U345" s="36"/>
      <c r="V345" s="38">
        <f t="shared" si="4711"/>
        <v>0</v>
      </c>
      <c r="W345" s="38"/>
      <c r="X345" s="38">
        <f t="shared" ref="X345" si="4712">TRUNC($M345 * W345,2)</f>
        <v>0</v>
      </c>
      <c r="Y345" s="38"/>
      <c r="Z345" s="38">
        <f t="shared" ref="Z345" si="4713">TRUNC($M345 * Y345,2)</f>
        <v>0</v>
      </c>
      <c r="AA345" s="38"/>
      <c r="AB345" s="38">
        <f t="shared" ref="AB345" si="4714">TRUNC($M345 * AA345,2)</f>
        <v>0</v>
      </c>
      <c r="AC345" s="38"/>
      <c r="AD345" s="38">
        <f t="shared" ref="AD345" si="4715">TRUNC($M345 * AC345,2)</f>
        <v>0</v>
      </c>
      <c r="AE345" s="38"/>
      <c r="AF345" s="38">
        <f t="shared" ref="AF345" si="4716">TRUNC($M345 * AE345,2)</f>
        <v>0</v>
      </c>
      <c r="AG345" s="38"/>
      <c r="AH345" s="38">
        <f t="shared" ref="AH345" si="4717">TRUNC($M345 * AG345,2)</f>
        <v>0</v>
      </c>
      <c r="AI345" s="38"/>
      <c r="AJ345" s="38">
        <f t="shared" ref="AJ345" si="4718">TRUNC($M345 * AI345,2)</f>
        <v>0</v>
      </c>
      <c r="AK345" s="38"/>
      <c r="AL345" s="38">
        <f t="shared" ref="AL345" si="4719">TRUNC($M345 * AK345,2)</f>
        <v>0</v>
      </c>
      <c r="AM345" s="38"/>
      <c r="AN345" s="38">
        <f t="shared" ref="AN345" si="4720">TRUNC($M345 * AM345,2)</f>
        <v>0</v>
      </c>
      <c r="AO345" s="38"/>
      <c r="AP345" s="38">
        <f t="shared" ref="AP345" si="4721">TRUNC($M345 * AO345,2)</f>
        <v>0</v>
      </c>
      <c r="AQ345" s="38"/>
      <c r="AR345" s="38">
        <f t="shared" ref="AR345" si="4722">TRUNC($M345 * AQ345,2)</f>
        <v>0</v>
      </c>
      <c r="AS345" s="38"/>
      <c r="AT345" s="38">
        <f t="shared" ref="AT345" si="4723">TRUNC($M345 * AS345,2)</f>
        <v>0</v>
      </c>
      <c r="AU345" s="38"/>
      <c r="AV345" s="38">
        <f t="shared" ref="AV345" si="4724">TRUNC($M345 * AU345,2)</f>
        <v>0</v>
      </c>
      <c r="AW345" s="38"/>
      <c r="AX345" s="37">
        <f t="shared" ref="AX345" si="4725">TRUNC($M345 * AW345,2)</f>
        <v>0</v>
      </c>
      <c r="AY345" s="36">
        <f t="shared" si="4520"/>
        <v>0</v>
      </c>
      <c r="AZ345" s="38">
        <f t="shared" ref="AZ345" si="4726">TRUNC($M345 * AY345,2)</f>
        <v>0</v>
      </c>
      <c r="BA345" s="38">
        <f t="shared" si="4522"/>
        <v>158.19999999999999</v>
      </c>
      <c r="BB345" s="37">
        <f t="shared" ref="BB345" si="4727">TRUNC($M345 * BA345,2)</f>
        <v>6378.62</v>
      </c>
    </row>
    <row r="346" spans="1:54" ht="51.9" customHeight="1" x14ac:dyDescent="0.25">
      <c r="A346" s="31" t="s">
        <v>1158</v>
      </c>
      <c r="B346" s="31" t="s">
        <v>705</v>
      </c>
      <c r="C346" s="31" t="s">
        <v>34</v>
      </c>
      <c r="D346" s="31" t="s">
        <v>706</v>
      </c>
      <c r="E346" s="32" t="s">
        <v>218</v>
      </c>
      <c r="F346" s="33">
        <v>88</v>
      </c>
      <c r="G346" s="34">
        <v>96.55</v>
      </c>
      <c r="H346" s="34">
        <f t="shared" si="4499"/>
        <v>88.89</v>
      </c>
      <c r="I346" s="34">
        <f t="shared" si="4500"/>
        <v>7822.32</v>
      </c>
      <c r="J346" s="34">
        <f>(TRUNC(H346 * L14,2) + H346)</f>
        <v>106.97</v>
      </c>
      <c r="K346" s="34">
        <f t="shared" si="4501"/>
        <v>9413.36</v>
      </c>
      <c r="L346" s="35">
        <f>K346 / L13</f>
        <v>3.2459862068965513E-3</v>
      </c>
      <c r="M346" s="36">
        <v>71.260000000000005</v>
      </c>
      <c r="N346" s="37">
        <f t="shared" si="4502"/>
        <v>6270.88</v>
      </c>
      <c r="O346" s="36"/>
      <c r="P346" s="38">
        <f t="shared" si="4503"/>
        <v>0</v>
      </c>
      <c r="Q346" s="38"/>
      <c r="R346" s="38">
        <f t="shared" si="4503"/>
        <v>0</v>
      </c>
      <c r="S346" s="38">
        <f t="shared" si="4504"/>
        <v>88</v>
      </c>
      <c r="T346" s="37">
        <f t="shared" ref="T346:V346" si="4728">TRUNC($M346 * S346,2)</f>
        <v>6270.88</v>
      </c>
      <c r="U346" s="36"/>
      <c r="V346" s="38">
        <f t="shared" si="4728"/>
        <v>0</v>
      </c>
      <c r="W346" s="38"/>
      <c r="X346" s="38">
        <f t="shared" ref="X346" si="4729">TRUNC($M346 * W346,2)</f>
        <v>0</v>
      </c>
      <c r="Y346" s="38"/>
      <c r="Z346" s="38">
        <f t="shared" ref="Z346" si="4730">TRUNC($M346 * Y346,2)</f>
        <v>0</v>
      </c>
      <c r="AA346" s="38"/>
      <c r="AB346" s="38">
        <f t="shared" ref="AB346" si="4731">TRUNC($M346 * AA346,2)</f>
        <v>0</v>
      </c>
      <c r="AC346" s="38"/>
      <c r="AD346" s="38">
        <f t="shared" ref="AD346" si="4732">TRUNC($M346 * AC346,2)</f>
        <v>0</v>
      </c>
      <c r="AE346" s="38"/>
      <c r="AF346" s="38">
        <f t="shared" ref="AF346" si="4733">TRUNC($M346 * AE346,2)</f>
        <v>0</v>
      </c>
      <c r="AG346" s="38"/>
      <c r="AH346" s="38">
        <f t="shared" ref="AH346" si="4734">TRUNC($M346 * AG346,2)</f>
        <v>0</v>
      </c>
      <c r="AI346" s="38"/>
      <c r="AJ346" s="38">
        <f t="shared" ref="AJ346" si="4735">TRUNC($M346 * AI346,2)</f>
        <v>0</v>
      </c>
      <c r="AK346" s="38"/>
      <c r="AL346" s="38">
        <f t="shared" ref="AL346" si="4736">TRUNC($M346 * AK346,2)</f>
        <v>0</v>
      </c>
      <c r="AM346" s="38"/>
      <c r="AN346" s="38">
        <f t="shared" ref="AN346" si="4737">TRUNC($M346 * AM346,2)</f>
        <v>0</v>
      </c>
      <c r="AO346" s="38"/>
      <c r="AP346" s="38">
        <f t="shared" ref="AP346" si="4738">TRUNC($M346 * AO346,2)</f>
        <v>0</v>
      </c>
      <c r="AQ346" s="38"/>
      <c r="AR346" s="38">
        <f t="shared" ref="AR346" si="4739">TRUNC($M346 * AQ346,2)</f>
        <v>0</v>
      </c>
      <c r="AS346" s="38"/>
      <c r="AT346" s="38">
        <f t="shared" ref="AT346" si="4740">TRUNC($M346 * AS346,2)</f>
        <v>0</v>
      </c>
      <c r="AU346" s="38"/>
      <c r="AV346" s="38">
        <f t="shared" ref="AV346" si="4741">TRUNC($M346 * AU346,2)</f>
        <v>0</v>
      </c>
      <c r="AW346" s="38"/>
      <c r="AX346" s="37">
        <f t="shared" ref="AX346" si="4742">TRUNC($M346 * AW346,2)</f>
        <v>0</v>
      </c>
      <c r="AY346" s="36">
        <f t="shared" si="4520"/>
        <v>0</v>
      </c>
      <c r="AZ346" s="38">
        <f t="shared" ref="AZ346" si="4743">TRUNC($M346 * AY346,2)</f>
        <v>0</v>
      </c>
      <c r="BA346" s="38">
        <f t="shared" si="4522"/>
        <v>88</v>
      </c>
      <c r="BB346" s="37">
        <f t="shared" ref="BB346" si="4744">TRUNC($M346 * BA346,2)</f>
        <v>6270.88</v>
      </c>
    </row>
    <row r="347" spans="1:54" ht="39" customHeight="1" x14ac:dyDescent="0.25">
      <c r="A347" s="31" t="s">
        <v>1159</v>
      </c>
      <c r="B347" s="31" t="s">
        <v>707</v>
      </c>
      <c r="C347" s="31" t="s">
        <v>34</v>
      </c>
      <c r="D347" s="31" t="s">
        <v>708</v>
      </c>
      <c r="E347" s="32" t="s">
        <v>218</v>
      </c>
      <c r="F347" s="33">
        <v>24.7</v>
      </c>
      <c r="G347" s="34">
        <v>26.11</v>
      </c>
      <c r="H347" s="34">
        <f t="shared" si="4499"/>
        <v>24.04</v>
      </c>
      <c r="I347" s="34">
        <f t="shared" si="4500"/>
        <v>593.78</v>
      </c>
      <c r="J347" s="34">
        <f>(TRUNC(H347 * L14,2) + H347)</f>
        <v>28.919999999999998</v>
      </c>
      <c r="K347" s="34">
        <f t="shared" si="4501"/>
        <v>714.32</v>
      </c>
      <c r="L347" s="35">
        <f>K347 / L13</f>
        <v>2.4631724137931033E-4</v>
      </c>
      <c r="M347" s="36">
        <v>21.05</v>
      </c>
      <c r="N347" s="37">
        <f t="shared" si="4502"/>
        <v>519.92999999999995</v>
      </c>
      <c r="O347" s="36"/>
      <c r="P347" s="38">
        <f t="shared" si="4503"/>
        <v>0</v>
      </c>
      <c r="Q347" s="38"/>
      <c r="R347" s="38">
        <f t="shared" si="4503"/>
        <v>0</v>
      </c>
      <c r="S347" s="38">
        <f t="shared" si="4504"/>
        <v>24.7</v>
      </c>
      <c r="T347" s="37">
        <f t="shared" ref="T347:V347" si="4745">TRUNC($M347 * S347,2)</f>
        <v>519.92999999999995</v>
      </c>
      <c r="U347" s="36"/>
      <c r="V347" s="38">
        <f t="shared" si="4745"/>
        <v>0</v>
      </c>
      <c r="W347" s="38"/>
      <c r="X347" s="38">
        <f t="shared" ref="X347" si="4746">TRUNC($M347 * W347,2)</f>
        <v>0</v>
      </c>
      <c r="Y347" s="38"/>
      <c r="Z347" s="38">
        <f t="shared" ref="Z347" si="4747">TRUNC($M347 * Y347,2)</f>
        <v>0</v>
      </c>
      <c r="AA347" s="38"/>
      <c r="AB347" s="38">
        <f t="shared" ref="AB347" si="4748">TRUNC($M347 * AA347,2)</f>
        <v>0</v>
      </c>
      <c r="AC347" s="38"/>
      <c r="AD347" s="38">
        <f t="shared" ref="AD347" si="4749">TRUNC($M347 * AC347,2)</f>
        <v>0</v>
      </c>
      <c r="AE347" s="38"/>
      <c r="AF347" s="38">
        <f t="shared" ref="AF347" si="4750">TRUNC($M347 * AE347,2)</f>
        <v>0</v>
      </c>
      <c r="AG347" s="38"/>
      <c r="AH347" s="38">
        <f t="shared" ref="AH347" si="4751">TRUNC($M347 * AG347,2)</f>
        <v>0</v>
      </c>
      <c r="AI347" s="38"/>
      <c r="AJ347" s="38">
        <f t="shared" ref="AJ347" si="4752">TRUNC($M347 * AI347,2)</f>
        <v>0</v>
      </c>
      <c r="AK347" s="38"/>
      <c r="AL347" s="38">
        <f t="shared" ref="AL347" si="4753">TRUNC($M347 * AK347,2)</f>
        <v>0</v>
      </c>
      <c r="AM347" s="38"/>
      <c r="AN347" s="38">
        <f t="shared" ref="AN347" si="4754">TRUNC($M347 * AM347,2)</f>
        <v>0</v>
      </c>
      <c r="AO347" s="38"/>
      <c r="AP347" s="38">
        <f t="shared" ref="AP347" si="4755">TRUNC($M347 * AO347,2)</f>
        <v>0</v>
      </c>
      <c r="AQ347" s="38"/>
      <c r="AR347" s="38">
        <f t="shared" ref="AR347" si="4756">TRUNC($M347 * AQ347,2)</f>
        <v>0</v>
      </c>
      <c r="AS347" s="38"/>
      <c r="AT347" s="38">
        <f t="shared" ref="AT347" si="4757">TRUNC($M347 * AS347,2)</f>
        <v>0</v>
      </c>
      <c r="AU347" s="38"/>
      <c r="AV347" s="38">
        <f t="shared" ref="AV347" si="4758">TRUNC($M347 * AU347,2)</f>
        <v>0</v>
      </c>
      <c r="AW347" s="38"/>
      <c r="AX347" s="37">
        <f t="shared" ref="AX347" si="4759">TRUNC($M347 * AW347,2)</f>
        <v>0</v>
      </c>
      <c r="AY347" s="36">
        <f t="shared" si="4520"/>
        <v>0</v>
      </c>
      <c r="AZ347" s="38">
        <f t="shared" ref="AZ347" si="4760">TRUNC($M347 * AY347,2)</f>
        <v>0</v>
      </c>
      <c r="BA347" s="38">
        <f t="shared" si="4522"/>
        <v>24.7</v>
      </c>
      <c r="BB347" s="37">
        <f t="shared" ref="BB347" si="4761">TRUNC($M347 * BA347,2)</f>
        <v>519.92999999999995</v>
      </c>
    </row>
    <row r="348" spans="1:54" ht="51.9" customHeight="1" x14ac:dyDescent="0.25">
      <c r="A348" s="31" t="s">
        <v>1160</v>
      </c>
      <c r="B348" s="31" t="s">
        <v>709</v>
      </c>
      <c r="C348" s="31" t="s">
        <v>34</v>
      </c>
      <c r="D348" s="31" t="s">
        <v>710</v>
      </c>
      <c r="E348" s="32" t="s">
        <v>218</v>
      </c>
      <c r="F348" s="33">
        <v>74.099999999999994</v>
      </c>
      <c r="G348" s="34">
        <v>27.41</v>
      </c>
      <c r="H348" s="34">
        <f t="shared" si="4499"/>
        <v>25.23</v>
      </c>
      <c r="I348" s="34">
        <f t="shared" si="4500"/>
        <v>1869.54</v>
      </c>
      <c r="J348" s="34">
        <f>(TRUNC(H348 * L14,2) + H348)</f>
        <v>30.36</v>
      </c>
      <c r="K348" s="34">
        <f t="shared" si="4501"/>
        <v>2249.67</v>
      </c>
      <c r="L348" s="35">
        <f>K348 / L13</f>
        <v>7.7574827586206891E-4</v>
      </c>
      <c r="M348" s="36">
        <v>20.8</v>
      </c>
      <c r="N348" s="37">
        <f t="shared" si="4502"/>
        <v>1541.28</v>
      </c>
      <c r="O348" s="36"/>
      <c r="P348" s="38">
        <f t="shared" si="4503"/>
        <v>0</v>
      </c>
      <c r="Q348" s="38"/>
      <c r="R348" s="38">
        <f t="shared" si="4503"/>
        <v>0</v>
      </c>
      <c r="S348" s="38">
        <f t="shared" si="4504"/>
        <v>74.099999999999994</v>
      </c>
      <c r="T348" s="37">
        <f t="shared" ref="T348:V348" si="4762">TRUNC($M348 * S348,2)</f>
        <v>1541.28</v>
      </c>
      <c r="U348" s="36"/>
      <c r="V348" s="38">
        <f t="shared" si="4762"/>
        <v>0</v>
      </c>
      <c r="W348" s="38"/>
      <c r="X348" s="38">
        <f t="shared" ref="X348" si="4763">TRUNC($M348 * W348,2)</f>
        <v>0</v>
      </c>
      <c r="Y348" s="38"/>
      <c r="Z348" s="38">
        <f t="shared" ref="Z348" si="4764">TRUNC($M348 * Y348,2)</f>
        <v>0</v>
      </c>
      <c r="AA348" s="38"/>
      <c r="AB348" s="38">
        <f t="shared" ref="AB348" si="4765">TRUNC($M348 * AA348,2)</f>
        <v>0</v>
      </c>
      <c r="AC348" s="38"/>
      <c r="AD348" s="38">
        <f t="shared" ref="AD348" si="4766">TRUNC($M348 * AC348,2)</f>
        <v>0</v>
      </c>
      <c r="AE348" s="38"/>
      <c r="AF348" s="38">
        <f t="shared" ref="AF348" si="4767">TRUNC($M348 * AE348,2)</f>
        <v>0</v>
      </c>
      <c r="AG348" s="38"/>
      <c r="AH348" s="38">
        <f t="shared" ref="AH348" si="4768">TRUNC($M348 * AG348,2)</f>
        <v>0</v>
      </c>
      <c r="AI348" s="38"/>
      <c r="AJ348" s="38">
        <f t="shared" ref="AJ348" si="4769">TRUNC($M348 * AI348,2)</f>
        <v>0</v>
      </c>
      <c r="AK348" s="38"/>
      <c r="AL348" s="38">
        <f t="shared" ref="AL348" si="4770">TRUNC($M348 * AK348,2)</f>
        <v>0</v>
      </c>
      <c r="AM348" s="38"/>
      <c r="AN348" s="38">
        <f t="shared" ref="AN348" si="4771">TRUNC($M348 * AM348,2)</f>
        <v>0</v>
      </c>
      <c r="AO348" s="38"/>
      <c r="AP348" s="38">
        <f t="shared" ref="AP348" si="4772">TRUNC($M348 * AO348,2)</f>
        <v>0</v>
      </c>
      <c r="AQ348" s="38"/>
      <c r="AR348" s="38">
        <f t="shared" ref="AR348" si="4773">TRUNC($M348 * AQ348,2)</f>
        <v>0</v>
      </c>
      <c r="AS348" s="38"/>
      <c r="AT348" s="38">
        <f t="shared" ref="AT348" si="4774">TRUNC($M348 * AS348,2)</f>
        <v>0</v>
      </c>
      <c r="AU348" s="38"/>
      <c r="AV348" s="38">
        <f t="shared" ref="AV348" si="4775">TRUNC($M348 * AU348,2)</f>
        <v>0</v>
      </c>
      <c r="AW348" s="38"/>
      <c r="AX348" s="37">
        <f t="shared" ref="AX348" si="4776">TRUNC($M348 * AW348,2)</f>
        <v>0</v>
      </c>
      <c r="AY348" s="36">
        <f t="shared" si="4520"/>
        <v>0</v>
      </c>
      <c r="AZ348" s="38">
        <f t="shared" ref="AZ348" si="4777">TRUNC($M348 * AY348,2)</f>
        <v>0</v>
      </c>
      <c r="BA348" s="38">
        <f t="shared" si="4522"/>
        <v>74.099999999999994</v>
      </c>
      <c r="BB348" s="37">
        <f t="shared" ref="BB348" si="4778">TRUNC($M348 * BA348,2)</f>
        <v>1541.28</v>
      </c>
    </row>
    <row r="349" spans="1:54" ht="39" customHeight="1" x14ac:dyDescent="0.25">
      <c r="A349" s="31" t="s">
        <v>1161</v>
      </c>
      <c r="B349" s="31" t="s">
        <v>711</v>
      </c>
      <c r="C349" s="31" t="s">
        <v>34</v>
      </c>
      <c r="D349" s="31" t="s">
        <v>712</v>
      </c>
      <c r="E349" s="32" t="s">
        <v>218</v>
      </c>
      <c r="F349" s="33">
        <v>111.8</v>
      </c>
      <c r="G349" s="34">
        <v>17.28</v>
      </c>
      <c r="H349" s="34">
        <f t="shared" si="4499"/>
        <v>15.91</v>
      </c>
      <c r="I349" s="34">
        <f t="shared" si="4500"/>
        <v>1778.73</v>
      </c>
      <c r="J349" s="34">
        <f>(TRUNC(H349 * L14,2) + H349)</f>
        <v>19.14</v>
      </c>
      <c r="K349" s="34">
        <f t="shared" si="4501"/>
        <v>2139.85</v>
      </c>
      <c r="L349" s="35">
        <f>K349 / L13</f>
        <v>7.3787931034482741E-4</v>
      </c>
      <c r="M349" s="36">
        <v>13.93</v>
      </c>
      <c r="N349" s="37">
        <f t="shared" si="4502"/>
        <v>1557.37</v>
      </c>
      <c r="O349" s="36"/>
      <c r="P349" s="38">
        <f t="shared" si="4503"/>
        <v>0</v>
      </c>
      <c r="Q349" s="38"/>
      <c r="R349" s="38">
        <f t="shared" si="4503"/>
        <v>0</v>
      </c>
      <c r="S349" s="38">
        <f t="shared" si="4504"/>
        <v>111.8</v>
      </c>
      <c r="T349" s="37">
        <f t="shared" ref="T349:V349" si="4779">TRUNC($M349 * S349,2)</f>
        <v>1557.37</v>
      </c>
      <c r="U349" s="36"/>
      <c r="V349" s="38">
        <f t="shared" si="4779"/>
        <v>0</v>
      </c>
      <c r="W349" s="38"/>
      <c r="X349" s="38">
        <f t="shared" ref="X349" si="4780">TRUNC($M349 * W349,2)</f>
        <v>0</v>
      </c>
      <c r="Y349" s="38"/>
      <c r="Z349" s="38">
        <f t="shared" ref="Z349" si="4781">TRUNC($M349 * Y349,2)</f>
        <v>0</v>
      </c>
      <c r="AA349" s="38"/>
      <c r="AB349" s="38">
        <f t="shared" ref="AB349" si="4782">TRUNC($M349 * AA349,2)</f>
        <v>0</v>
      </c>
      <c r="AC349" s="38"/>
      <c r="AD349" s="38">
        <f t="shared" ref="AD349" si="4783">TRUNC($M349 * AC349,2)</f>
        <v>0</v>
      </c>
      <c r="AE349" s="38"/>
      <c r="AF349" s="38">
        <f t="shared" ref="AF349" si="4784">TRUNC($M349 * AE349,2)</f>
        <v>0</v>
      </c>
      <c r="AG349" s="38"/>
      <c r="AH349" s="38">
        <f t="shared" ref="AH349" si="4785">TRUNC($M349 * AG349,2)</f>
        <v>0</v>
      </c>
      <c r="AI349" s="38"/>
      <c r="AJ349" s="38">
        <f t="shared" ref="AJ349" si="4786">TRUNC($M349 * AI349,2)</f>
        <v>0</v>
      </c>
      <c r="AK349" s="38"/>
      <c r="AL349" s="38">
        <f t="shared" ref="AL349" si="4787">TRUNC($M349 * AK349,2)</f>
        <v>0</v>
      </c>
      <c r="AM349" s="38"/>
      <c r="AN349" s="38">
        <f t="shared" ref="AN349" si="4788">TRUNC($M349 * AM349,2)</f>
        <v>0</v>
      </c>
      <c r="AO349" s="38"/>
      <c r="AP349" s="38">
        <f t="shared" ref="AP349" si="4789">TRUNC($M349 * AO349,2)</f>
        <v>0</v>
      </c>
      <c r="AQ349" s="38"/>
      <c r="AR349" s="38">
        <f t="shared" ref="AR349" si="4790">TRUNC($M349 * AQ349,2)</f>
        <v>0</v>
      </c>
      <c r="AS349" s="38"/>
      <c r="AT349" s="38">
        <f t="shared" ref="AT349" si="4791">TRUNC($M349 * AS349,2)</f>
        <v>0</v>
      </c>
      <c r="AU349" s="38"/>
      <c r="AV349" s="38">
        <f t="shared" ref="AV349" si="4792">TRUNC($M349 * AU349,2)</f>
        <v>0</v>
      </c>
      <c r="AW349" s="38"/>
      <c r="AX349" s="37">
        <f t="shared" ref="AX349" si="4793">TRUNC($M349 * AW349,2)</f>
        <v>0</v>
      </c>
      <c r="AY349" s="36">
        <f t="shared" si="4520"/>
        <v>0</v>
      </c>
      <c r="AZ349" s="38">
        <f t="shared" ref="AZ349" si="4794">TRUNC($M349 * AY349,2)</f>
        <v>0</v>
      </c>
      <c r="BA349" s="38">
        <f t="shared" si="4522"/>
        <v>111.8</v>
      </c>
      <c r="BB349" s="37">
        <f t="shared" ref="BB349" si="4795">TRUNC($M349 * BA349,2)</f>
        <v>1557.37</v>
      </c>
    </row>
    <row r="350" spans="1:54" ht="39" customHeight="1" x14ac:dyDescent="0.25">
      <c r="A350" s="31" t="s">
        <v>1162</v>
      </c>
      <c r="B350" s="31" t="s">
        <v>713</v>
      </c>
      <c r="C350" s="31" t="s">
        <v>34</v>
      </c>
      <c r="D350" s="31" t="s">
        <v>714</v>
      </c>
      <c r="E350" s="32" t="s">
        <v>218</v>
      </c>
      <c r="F350" s="33">
        <v>30.1</v>
      </c>
      <c r="G350" s="34">
        <v>25.03</v>
      </c>
      <c r="H350" s="34">
        <f t="shared" si="4499"/>
        <v>23.04</v>
      </c>
      <c r="I350" s="34">
        <f t="shared" si="4500"/>
        <v>693.5</v>
      </c>
      <c r="J350" s="34">
        <f>(TRUNC(H350 * L14,2) + H350)</f>
        <v>27.72</v>
      </c>
      <c r="K350" s="34">
        <f t="shared" si="4501"/>
        <v>834.37</v>
      </c>
      <c r="L350" s="35">
        <f>K350 / L13</f>
        <v>2.8771379310344825E-4</v>
      </c>
      <c r="M350" s="36">
        <v>20.27</v>
      </c>
      <c r="N350" s="37">
        <f t="shared" si="4502"/>
        <v>610.12</v>
      </c>
      <c r="O350" s="36"/>
      <c r="P350" s="38">
        <f t="shared" si="4503"/>
        <v>0</v>
      </c>
      <c r="Q350" s="38"/>
      <c r="R350" s="38">
        <f t="shared" si="4503"/>
        <v>0</v>
      </c>
      <c r="S350" s="38">
        <f t="shared" si="4504"/>
        <v>30.1</v>
      </c>
      <c r="T350" s="37">
        <f t="shared" ref="T350:V350" si="4796">TRUNC($M350 * S350,2)</f>
        <v>610.12</v>
      </c>
      <c r="U350" s="36"/>
      <c r="V350" s="38">
        <f t="shared" si="4796"/>
        <v>0</v>
      </c>
      <c r="W350" s="38"/>
      <c r="X350" s="38">
        <f t="shared" ref="X350" si="4797">TRUNC($M350 * W350,2)</f>
        <v>0</v>
      </c>
      <c r="Y350" s="38"/>
      <c r="Z350" s="38">
        <f t="shared" ref="Z350" si="4798">TRUNC($M350 * Y350,2)</f>
        <v>0</v>
      </c>
      <c r="AA350" s="38"/>
      <c r="AB350" s="38">
        <f t="shared" ref="AB350" si="4799">TRUNC($M350 * AA350,2)</f>
        <v>0</v>
      </c>
      <c r="AC350" s="38"/>
      <c r="AD350" s="38">
        <f t="shared" ref="AD350" si="4800">TRUNC($M350 * AC350,2)</f>
        <v>0</v>
      </c>
      <c r="AE350" s="38"/>
      <c r="AF350" s="38">
        <f t="shared" ref="AF350" si="4801">TRUNC($M350 * AE350,2)</f>
        <v>0</v>
      </c>
      <c r="AG350" s="38"/>
      <c r="AH350" s="38">
        <f t="shared" ref="AH350" si="4802">TRUNC($M350 * AG350,2)</f>
        <v>0</v>
      </c>
      <c r="AI350" s="38"/>
      <c r="AJ350" s="38">
        <f t="shared" ref="AJ350" si="4803">TRUNC($M350 * AI350,2)</f>
        <v>0</v>
      </c>
      <c r="AK350" s="38"/>
      <c r="AL350" s="38">
        <f t="shared" ref="AL350" si="4804">TRUNC($M350 * AK350,2)</f>
        <v>0</v>
      </c>
      <c r="AM350" s="38"/>
      <c r="AN350" s="38">
        <f t="shared" ref="AN350" si="4805">TRUNC($M350 * AM350,2)</f>
        <v>0</v>
      </c>
      <c r="AO350" s="38"/>
      <c r="AP350" s="38">
        <f t="shared" ref="AP350" si="4806">TRUNC($M350 * AO350,2)</f>
        <v>0</v>
      </c>
      <c r="AQ350" s="38"/>
      <c r="AR350" s="38">
        <f t="shared" ref="AR350" si="4807">TRUNC($M350 * AQ350,2)</f>
        <v>0</v>
      </c>
      <c r="AS350" s="38"/>
      <c r="AT350" s="38">
        <f t="shared" ref="AT350" si="4808">TRUNC($M350 * AS350,2)</f>
        <v>0</v>
      </c>
      <c r="AU350" s="38"/>
      <c r="AV350" s="38">
        <f t="shared" ref="AV350" si="4809">TRUNC($M350 * AU350,2)</f>
        <v>0</v>
      </c>
      <c r="AW350" s="38"/>
      <c r="AX350" s="37">
        <f t="shared" ref="AX350" si="4810">TRUNC($M350 * AW350,2)</f>
        <v>0</v>
      </c>
      <c r="AY350" s="36">
        <f t="shared" si="4520"/>
        <v>0</v>
      </c>
      <c r="AZ350" s="38">
        <f t="shared" ref="AZ350" si="4811">TRUNC($M350 * AY350,2)</f>
        <v>0</v>
      </c>
      <c r="BA350" s="38">
        <f t="shared" si="4522"/>
        <v>30.1</v>
      </c>
      <c r="BB350" s="37">
        <f t="shared" ref="BB350" si="4812">TRUNC($M350 * BA350,2)</f>
        <v>610.12</v>
      </c>
    </row>
    <row r="351" spans="1:54" ht="39" customHeight="1" x14ac:dyDescent="0.25">
      <c r="A351" s="31" t="s">
        <v>1163</v>
      </c>
      <c r="B351" s="31" t="s">
        <v>715</v>
      </c>
      <c r="C351" s="31" t="s">
        <v>34</v>
      </c>
      <c r="D351" s="31" t="s">
        <v>716</v>
      </c>
      <c r="E351" s="32" t="s">
        <v>218</v>
      </c>
      <c r="F351" s="33">
        <v>154.80000000000001</v>
      </c>
      <c r="G351" s="34">
        <v>23.22</v>
      </c>
      <c r="H351" s="34">
        <f t="shared" si="4499"/>
        <v>21.37</v>
      </c>
      <c r="I351" s="34">
        <f t="shared" si="4500"/>
        <v>3308.07</v>
      </c>
      <c r="J351" s="34">
        <f>(TRUNC(H351 * L14,2) + H351)</f>
        <v>25.71</v>
      </c>
      <c r="K351" s="34">
        <f t="shared" si="4501"/>
        <v>3979.9</v>
      </c>
      <c r="L351" s="35">
        <f>K351 / L13</f>
        <v>1.3723793103448275E-3</v>
      </c>
      <c r="M351" s="36">
        <v>16.71</v>
      </c>
      <c r="N351" s="37">
        <f t="shared" si="4502"/>
        <v>2586.6999999999998</v>
      </c>
      <c r="O351" s="36"/>
      <c r="P351" s="38">
        <f t="shared" si="4503"/>
        <v>0</v>
      </c>
      <c r="Q351" s="38"/>
      <c r="R351" s="38">
        <f t="shared" si="4503"/>
        <v>0</v>
      </c>
      <c r="S351" s="38">
        <f t="shared" si="4504"/>
        <v>154.80000000000001</v>
      </c>
      <c r="T351" s="37">
        <f t="shared" ref="T351:V351" si="4813">TRUNC($M351 * S351,2)</f>
        <v>2586.6999999999998</v>
      </c>
      <c r="U351" s="36"/>
      <c r="V351" s="38">
        <f t="shared" si="4813"/>
        <v>0</v>
      </c>
      <c r="W351" s="38"/>
      <c r="X351" s="38">
        <f t="shared" ref="X351" si="4814">TRUNC($M351 * W351,2)</f>
        <v>0</v>
      </c>
      <c r="Y351" s="38"/>
      <c r="Z351" s="38">
        <f t="shared" ref="Z351" si="4815">TRUNC($M351 * Y351,2)</f>
        <v>0</v>
      </c>
      <c r="AA351" s="38"/>
      <c r="AB351" s="38">
        <f t="shared" ref="AB351" si="4816">TRUNC($M351 * AA351,2)</f>
        <v>0</v>
      </c>
      <c r="AC351" s="38"/>
      <c r="AD351" s="38">
        <f t="shared" ref="AD351" si="4817">TRUNC($M351 * AC351,2)</f>
        <v>0</v>
      </c>
      <c r="AE351" s="38"/>
      <c r="AF351" s="38">
        <f t="shared" ref="AF351" si="4818">TRUNC($M351 * AE351,2)</f>
        <v>0</v>
      </c>
      <c r="AG351" s="38"/>
      <c r="AH351" s="38">
        <f t="shared" ref="AH351" si="4819">TRUNC($M351 * AG351,2)</f>
        <v>0</v>
      </c>
      <c r="AI351" s="38"/>
      <c r="AJ351" s="38">
        <f t="shared" ref="AJ351" si="4820">TRUNC($M351 * AI351,2)</f>
        <v>0</v>
      </c>
      <c r="AK351" s="38"/>
      <c r="AL351" s="38">
        <f t="shared" ref="AL351" si="4821">TRUNC($M351 * AK351,2)</f>
        <v>0</v>
      </c>
      <c r="AM351" s="38"/>
      <c r="AN351" s="38">
        <f t="shared" ref="AN351" si="4822">TRUNC($M351 * AM351,2)</f>
        <v>0</v>
      </c>
      <c r="AO351" s="38"/>
      <c r="AP351" s="38">
        <f t="shared" ref="AP351" si="4823">TRUNC($M351 * AO351,2)</f>
        <v>0</v>
      </c>
      <c r="AQ351" s="38"/>
      <c r="AR351" s="38">
        <f t="shared" ref="AR351" si="4824">TRUNC($M351 * AQ351,2)</f>
        <v>0</v>
      </c>
      <c r="AS351" s="38"/>
      <c r="AT351" s="38">
        <f t="shared" ref="AT351" si="4825">TRUNC($M351 * AS351,2)</f>
        <v>0</v>
      </c>
      <c r="AU351" s="38"/>
      <c r="AV351" s="38">
        <f t="shared" ref="AV351" si="4826">TRUNC($M351 * AU351,2)</f>
        <v>0</v>
      </c>
      <c r="AW351" s="38"/>
      <c r="AX351" s="37">
        <f t="shared" ref="AX351" si="4827">TRUNC($M351 * AW351,2)</f>
        <v>0</v>
      </c>
      <c r="AY351" s="36">
        <f t="shared" si="4520"/>
        <v>0</v>
      </c>
      <c r="AZ351" s="38">
        <f t="shared" ref="AZ351" si="4828">TRUNC($M351 * AY351,2)</f>
        <v>0</v>
      </c>
      <c r="BA351" s="38">
        <f t="shared" si="4522"/>
        <v>154.80000000000001</v>
      </c>
      <c r="BB351" s="37">
        <f t="shared" ref="BB351" si="4829">TRUNC($M351 * BA351,2)</f>
        <v>2586.6999999999998</v>
      </c>
    </row>
    <row r="352" spans="1:54" ht="39" customHeight="1" x14ac:dyDescent="0.25">
      <c r="A352" s="31" t="s">
        <v>1164</v>
      </c>
      <c r="B352" s="31" t="s">
        <v>717</v>
      </c>
      <c r="C352" s="31" t="s">
        <v>34</v>
      </c>
      <c r="D352" s="31" t="s">
        <v>718</v>
      </c>
      <c r="E352" s="32" t="s">
        <v>218</v>
      </c>
      <c r="F352" s="33">
        <v>2608</v>
      </c>
      <c r="G352" s="34">
        <v>3.29</v>
      </c>
      <c r="H352" s="34">
        <f t="shared" si="4499"/>
        <v>3.02</v>
      </c>
      <c r="I352" s="34">
        <f t="shared" si="4500"/>
        <v>7876.16</v>
      </c>
      <c r="J352" s="34">
        <f>(TRUNC(H352 * L14,2) + H352)</f>
        <v>3.63</v>
      </c>
      <c r="K352" s="34">
        <f t="shared" si="4501"/>
        <v>9467.0400000000009</v>
      </c>
      <c r="L352" s="35">
        <f>K352 / L13</f>
        <v>3.2644965517241377E-3</v>
      </c>
      <c r="M352" s="36">
        <v>2.8</v>
      </c>
      <c r="N352" s="37">
        <f t="shared" si="4502"/>
        <v>7302.4</v>
      </c>
      <c r="O352" s="36"/>
      <c r="P352" s="38">
        <f t="shared" si="4503"/>
        <v>0</v>
      </c>
      <c r="Q352" s="38"/>
      <c r="R352" s="38">
        <f t="shared" si="4503"/>
        <v>0</v>
      </c>
      <c r="S352" s="38">
        <f t="shared" si="4504"/>
        <v>2608</v>
      </c>
      <c r="T352" s="37">
        <f t="shared" ref="T352:V352" si="4830">TRUNC($M352 * S352,2)</f>
        <v>7302.4</v>
      </c>
      <c r="U352" s="36"/>
      <c r="V352" s="38">
        <f t="shared" si="4830"/>
        <v>0</v>
      </c>
      <c r="W352" s="38"/>
      <c r="X352" s="38">
        <f t="shared" ref="X352" si="4831">TRUNC($M352 * W352,2)</f>
        <v>0</v>
      </c>
      <c r="Y352" s="38"/>
      <c r="Z352" s="38">
        <f t="shared" ref="Z352" si="4832">TRUNC($M352 * Y352,2)</f>
        <v>0</v>
      </c>
      <c r="AA352" s="38"/>
      <c r="AB352" s="38">
        <f t="shared" ref="AB352" si="4833">TRUNC($M352 * AA352,2)</f>
        <v>0</v>
      </c>
      <c r="AC352" s="38"/>
      <c r="AD352" s="38">
        <f t="shared" ref="AD352" si="4834">TRUNC($M352 * AC352,2)</f>
        <v>0</v>
      </c>
      <c r="AE352" s="38"/>
      <c r="AF352" s="38">
        <f t="shared" ref="AF352" si="4835">TRUNC($M352 * AE352,2)</f>
        <v>0</v>
      </c>
      <c r="AG352" s="38"/>
      <c r="AH352" s="38">
        <f t="shared" ref="AH352" si="4836">TRUNC($M352 * AG352,2)</f>
        <v>0</v>
      </c>
      <c r="AI352" s="38"/>
      <c r="AJ352" s="38">
        <f t="shared" ref="AJ352" si="4837">TRUNC($M352 * AI352,2)</f>
        <v>0</v>
      </c>
      <c r="AK352" s="38"/>
      <c r="AL352" s="38">
        <f t="shared" ref="AL352" si="4838">TRUNC($M352 * AK352,2)</f>
        <v>0</v>
      </c>
      <c r="AM352" s="38"/>
      <c r="AN352" s="38">
        <f t="shared" ref="AN352" si="4839">TRUNC($M352 * AM352,2)</f>
        <v>0</v>
      </c>
      <c r="AO352" s="38"/>
      <c r="AP352" s="38">
        <f t="shared" ref="AP352" si="4840">TRUNC($M352 * AO352,2)</f>
        <v>0</v>
      </c>
      <c r="AQ352" s="38"/>
      <c r="AR352" s="38">
        <f t="shared" ref="AR352" si="4841">TRUNC($M352 * AQ352,2)</f>
        <v>0</v>
      </c>
      <c r="AS352" s="38"/>
      <c r="AT352" s="38">
        <f t="shared" ref="AT352" si="4842">TRUNC($M352 * AS352,2)</f>
        <v>0</v>
      </c>
      <c r="AU352" s="38"/>
      <c r="AV352" s="38">
        <f t="shared" ref="AV352" si="4843">TRUNC($M352 * AU352,2)</f>
        <v>0</v>
      </c>
      <c r="AW352" s="38"/>
      <c r="AX352" s="37">
        <f t="shared" ref="AX352" si="4844">TRUNC($M352 * AW352,2)</f>
        <v>0</v>
      </c>
      <c r="AY352" s="36">
        <f t="shared" si="4520"/>
        <v>0</v>
      </c>
      <c r="AZ352" s="38">
        <f t="shared" ref="AZ352" si="4845">TRUNC($M352 * AY352,2)</f>
        <v>0</v>
      </c>
      <c r="BA352" s="38">
        <f t="shared" si="4522"/>
        <v>2608</v>
      </c>
      <c r="BB352" s="37">
        <f t="shared" ref="BB352" si="4846">TRUNC($M352 * BA352,2)</f>
        <v>7302.4</v>
      </c>
    </row>
    <row r="353" spans="1:54" ht="39" customHeight="1" x14ac:dyDescent="0.25">
      <c r="A353" s="31" t="s">
        <v>1165</v>
      </c>
      <c r="B353" s="31" t="s">
        <v>719</v>
      </c>
      <c r="C353" s="31" t="s">
        <v>34</v>
      </c>
      <c r="D353" s="31" t="s">
        <v>720</v>
      </c>
      <c r="E353" s="32" t="s">
        <v>218</v>
      </c>
      <c r="F353" s="33">
        <v>4733.96</v>
      </c>
      <c r="G353" s="34">
        <v>4.66</v>
      </c>
      <c r="H353" s="34">
        <f t="shared" si="4499"/>
        <v>4.29</v>
      </c>
      <c r="I353" s="34">
        <f t="shared" si="4500"/>
        <v>20308.68</v>
      </c>
      <c r="J353" s="34">
        <f>(TRUNC(H353 * L14,2) + H353)</f>
        <v>5.16</v>
      </c>
      <c r="K353" s="34">
        <f t="shared" si="4501"/>
        <v>24427.23</v>
      </c>
      <c r="L353" s="35">
        <f>K353 / L13</f>
        <v>8.4231827586206884E-3</v>
      </c>
      <c r="M353" s="36">
        <v>3.91</v>
      </c>
      <c r="N353" s="37">
        <f t="shared" si="4502"/>
        <v>18509.78</v>
      </c>
      <c r="O353" s="36"/>
      <c r="P353" s="38">
        <f t="shared" si="4503"/>
        <v>0</v>
      </c>
      <c r="Q353" s="38"/>
      <c r="R353" s="38">
        <f t="shared" si="4503"/>
        <v>0</v>
      </c>
      <c r="S353" s="38">
        <f t="shared" si="4504"/>
        <v>4733.96</v>
      </c>
      <c r="T353" s="37">
        <f t="shared" ref="T353:V353" si="4847">TRUNC($M353 * S353,2)</f>
        <v>18509.78</v>
      </c>
      <c r="U353" s="36"/>
      <c r="V353" s="38">
        <f t="shared" si="4847"/>
        <v>0</v>
      </c>
      <c r="W353" s="38"/>
      <c r="X353" s="38">
        <f t="shared" ref="X353" si="4848">TRUNC($M353 * W353,2)</f>
        <v>0</v>
      </c>
      <c r="Y353" s="38"/>
      <c r="Z353" s="38">
        <f t="shared" ref="Z353" si="4849">TRUNC($M353 * Y353,2)</f>
        <v>0</v>
      </c>
      <c r="AA353" s="38"/>
      <c r="AB353" s="38">
        <f t="shared" ref="AB353" si="4850">TRUNC($M353 * AA353,2)</f>
        <v>0</v>
      </c>
      <c r="AC353" s="38"/>
      <c r="AD353" s="38">
        <f t="shared" ref="AD353" si="4851">TRUNC($M353 * AC353,2)</f>
        <v>0</v>
      </c>
      <c r="AE353" s="38"/>
      <c r="AF353" s="38">
        <f t="shared" ref="AF353" si="4852">TRUNC($M353 * AE353,2)</f>
        <v>0</v>
      </c>
      <c r="AG353" s="38"/>
      <c r="AH353" s="38">
        <f t="shared" ref="AH353" si="4853">TRUNC($M353 * AG353,2)</f>
        <v>0</v>
      </c>
      <c r="AI353" s="38"/>
      <c r="AJ353" s="38">
        <f t="shared" ref="AJ353" si="4854">TRUNC($M353 * AI353,2)</f>
        <v>0</v>
      </c>
      <c r="AK353" s="38"/>
      <c r="AL353" s="38">
        <f t="shared" ref="AL353" si="4855">TRUNC($M353 * AK353,2)</f>
        <v>0</v>
      </c>
      <c r="AM353" s="38"/>
      <c r="AN353" s="38">
        <f t="shared" ref="AN353" si="4856">TRUNC($M353 * AM353,2)</f>
        <v>0</v>
      </c>
      <c r="AO353" s="38"/>
      <c r="AP353" s="38">
        <f t="shared" ref="AP353" si="4857">TRUNC($M353 * AO353,2)</f>
        <v>0</v>
      </c>
      <c r="AQ353" s="38"/>
      <c r="AR353" s="38">
        <f t="shared" ref="AR353" si="4858">TRUNC($M353 * AQ353,2)</f>
        <v>0</v>
      </c>
      <c r="AS353" s="38"/>
      <c r="AT353" s="38">
        <f t="shared" ref="AT353" si="4859">TRUNC($M353 * AS353,2)</f>
        <v>0</v>
      </c>
      <c r="AU353" s="38"/>
      <c r="AV353" s="38">
        <f t="shared" ref="AV353" si="4860">TRUNC($M353 * AU353,2)</f>
        <v>0</v>
      </c>
      <c r="AW353" s="38"/>
      <c r="AX353" s="37">
        <f t="shared" ref="AX353" si="4861">TRUNC($M353 * AW353,2)</f>
        <v>0</v>
      </c>
      <c r="AY353" s="36">
        <f t="shared" si="4520"/>
        <v>0</v>
      </c>
      <c r="AZ353" s="38">
        <f t="shared" ref="AZ353" si="4862">TRUNC($M353 * AY353,2)</f>
        <v>0</v>
      </c>
      <c r="BA353" s="38">
        <f t="shared" si="4522"/>
        <v>4733.96</v>
      </c>
      <c r="BB353" s="37">
        <f t="shared" ref="BB353" si="4863">TRUNC($M353 * BA353,2)</f>
        <v>18509.78</v>
      </c>
    </row>
    <row r="354" spans="1:54" ht="39" customHeight="1" x14ac:dyDescent="0.25">
      <c r="A354" s="31" t="s">
        <v>1166</v>
      </c>
      <c r="B354" s="31" t="s">
        <v>721</v>
      </c>
      <c r="C354" s="31" t="s">
        <v>34</v>
      </c>
      <c r="D354" s="31" t="s">
        <v>722</v>
      </c>
      <c r="E354" s="32" t="s">
        <v>218</v>
      </c>
      <c r="F354" s="33">
        <v>357.8</v>
      </c>
      <c r="G354" s="34">
        <v>7.09</v>
      </c>
      <c r="H354" s="34">
        <f t="shared" si="4499"/>
        <v>6.52</v>
      </c>
      <c r="I354" s="34">
        <f t="shared" si="4500"/>
        <v>2332.85</v>
      </c>
      <c r="J354" s="34">
        <f>(TRUNC(H354 * L14,2) + H354)</f>
        <v>7.84</v>
      </c>
      <c r="K354" s="34">
        <f t="shared" si="4501"/>
        <v>2805.15</v>
      </c>
      <c r="L354" s="35">
        <f>K354 / L13</f>
        <v>9.672931034482757E-4</v>
      </c>
      <c r="M354" s="36">
        <v>5.86</v>
      </c>
      <c r="N354" s="37">
        <f t="shared" si="4502"/>
        <v>2096.6999999999998</v>
      </c>
      <c r="O354" s="36"/>
      <c r="P354" s="38">
        <f t="shared" si="4503"/>
        <v>0</v>
      </c>
      <c r="Q354" s="38"/>
      <c r="R354" s="38">
        <f t="shared" si="4503"/>
        <v>0</v>
      </c>
      <c r="S354" s="38">
        <f t="shared" si="4504"/>
        <v>357.8</v>
      </c>
      <c r="T354" s="37">
        <f t="shared" ref="T354:V354" si="4864">TRUNC($M354 * S354,2)</f>
        <v>2096.6999999999998</v>
      </c>
      <c r="U354" s="36"/>
      <c r="V354" s="38">
        <f t="shared" si="4864"/>
        <v>0</v>
      </c>
      <c r="W354" s="38"/>
      <c r="X354" s="38">
        <f t="shared" ref="X354" si="4865">TRUNC($M354 * W354,2)</f>
        <v>0</v>
      </c>
      <c r="Y354" s="38"/>
      <c r="Z354" s="38">
        <f t="shared" ref="Z354" si="4866">TRUNC($M354 * Y354,2)</f>
        <v>0</v>
      </c>
      <c r="AA354" s="38"/>
      <c r="AB354" s="38">
        <f t="shared" ref="AB354" si="4867">TRUNC($M354 * AA354,2)</f>
        <v>0</v>
      </c>
      <c r="AC354" s="38"/>
      <c r="AD354" s="38">
        <f t="shared" ref="AD354" si="4868">TRUNC($M354 * AC354,2)</f>
        <v>0</v>
      </c>
      <c r="AE354" s="38"/>
      <c r="AF354" s="38">
        <f t="shared" ref="AF354" si="4869">TRUNC($M354 * AE354,2)</f>
        <v>0</v>
      </c>
      <c r="AG354" s="38"/>
      <c r="AH354" s="38">
        <f t="shared" ref="AH354" si="4870">TRUNC($M354 * AG354,2)</f>
        <v>0</v>
      </c>
      <c r="AI354" s="38"/>
      <c r="AJ354" s="38">
        <f t="shared" ref="AJ354" si="4871">TRUNC($M354 * AI354,2)</f>
        <v>0</v>
      </c>
      <c r="AK354" s="38"/>
      <c r="AL354" s="38">
        <f t="shared" ref="AL354" si="4872">TRUNC($M354 * AK354,2)</f>
        <v>0</v>
      </c>
      <c r="AM354" s="38"/>
      <c r="AN354" s="38">
        <f t="shared" ref="AN354" si="4873">TRUNC($M354 * AM354,2)</f>
        <v>0</v>
      </c>
      <c r="AO354" s="38"/>
      <c r="AP354" s="38">
        <f t="shared" ref="AP354" si="4874">TRUNC($M354 * AO354,2)</f>
        <v>0</v>
      </c>
      <c r="AQ354" s="38"/>
      <c r="AR354" s="38">
        <f t="shared" ref="AR354" si="4875">TRUNC($M354 * AQ354,2)</f>
        <v>0</v>
      </c>
      <c r="AS354" s="38"/>
      <c r="AT354" s="38">
        <f t="shared" ref="AT354" si="4876">TRUNC($M354 * AS354,2)</f>
        <v>0</v>
      </c>
      <c r="AU354" s="38"/>
      <c r="AV354" s="38">
        <f t="shared" ref="AV354" si="4877">TRUNC($M354 * AU354,2)</f>
        <v>0</v>
      </c>
      <c r="AW354" s="38"/>
      <c r="AX354" s="37">
        <f t="shared" ref="AX354" si="4878">TRUNC($M354 * AW354,2)</f>
        <v>0</v>
      </c>
      <c r="AY354" s="36">
        <f t="shared" si="4520"/>
        <v>0</v>
      </c>
      <c r="AZ354" s="38">
        <f t="shared" ref="AZ354" si="4879">TRUNC($M354 * AY354,2)</f>
        <v>0</v>
      </c>
      <c r="BA354" s="38">
        <f t="shared" si="4522"/>
        <v>357.8</v>
      </c>
      <c r="BB354" s="37">
        <f t="shared" ref="BB354" si="4880">TRUNC($M354 * BA354,2)</f>
        <v>2096.6999999999998</v>
      </c>
    </row>
    <row r="355" spans="1:54" ht="39" customHeight="1" x14ac:dyDescent="0.25">
      <c r="A355" s="31" t="s">
        <v>1167</v>
      </c>
      <c r="B355" s="31" t="s">
        <v>723</v>
      </c>
      <c r="C355" s="31" t="s">
        <v>34</v>
      </c>
      <c r="D355" s="31" t="s">
        <v>724</v>
      </c>
      <c r="E355" s="32" t="s">
        <v>218</v>
      </c>
      <c r="F355" s="33">
        <v>102.2</v>
      </c>
      <c r="G355" s="34">
        <v>9.83</v>
      </c>
      <c r="H355" s="34">
        <f t="shared" si="4499"/>
        <v>9.0500000000000007</v>
      </c>
      <c r="I355" s="34">
        <f t="shared" si="4500"/>
        <v>924.91</v>
      </c>
      <c r="J355" s="34">
        <f>(TRUNC(H355 * L14,2) + H355)</f>
        <v>10.89</v>
      </c>
      <c r="K355" s="34">
        <f t="shared" si="4501"/>
        <v>1112.95</v>
      </c>
      <c r="L355" s="35">
        <f>K355 / L13</f>
        <v>3.8377586206896547E-4</v>
      </c>
      <c r="M355" s="36">
        <v>8.08</v>
      </c>
      <c r="N355" s="37">
        <f t="shared" si="4502"/>
        <v>825.77</v>
      </c>
      <c r="O355" s="36"/>
      <c r="P355" s="38">
        <f t="shared" si="4503"/>
        <v>0</v>
      </c>
      <c r="Q355" s="38"/>
      <c r="R355" s="38">
        <f t="shared" si="4503"/>
        <v>0</v>
      </c>
      <c r="S355" s="38">
        <f t="shared" si="4504"/>
        <v>102.2</v>
      </c>
      <c r="T355" s="37">
        <f t="shared" ref="T355:V355" si="4881">TRUNC($M355 * S355,2)</f>
        <v>825.77</v>
      </c>
      <c r="U355" s="36"/>
      <c r="V355" s="38">
        <f t="shared" si="4881"/>
        <v>0</v>
      </c>
      <c r="W355" s="38"/>
      <c r="X355" s="38">
        <f t="shared" ref="X355" si="4882">TRUNC($M355 * W355,2)</f>
        <v>0</v>
      </c>
      <c r="Y355" s="38"/>
      <c r="Z355" s="38">
        <f t="shared" ref="Z355" si="4883">TRUNC($M355 * Y355,2)</f>
        <v>0</v>
      </c>
      <c r="AA355" s="38"/>
      <c r="AB355" s="38">
        <f t="shared" ref="AB355" si="4884">TRUNC($M355 * AA355,2)</f>
        <v>0</v>
      </c>
      <c r="AC355" s="38"/>
      <c r="AD355" s="38">
        <f t="shared" ref="AD355" si="4885">TRUNC($M355 * AC355,2)</f>
        <v>0</v>
      </c>
      <c r="AE355" s="38"/>
      <c r="AF355" s="38">
        <f t="shared" ref="AF355" si="4886">TRUNC($M355 * AE355,2)</f>
        <v>0</v>
      </c>
      <c r="AG355" s="38"/>
      <c r="AH355" s="38">
        <f t="shared" ref="AH355" si="4887">TRUNC($M355 * AG355,2)</f>
        <v>0</v>
      </c>
      <c r="AI355" s="38"/>
      <c r="AJ355" s="38">
        <f t="shared" ref="AJ355" si="4888">TRUNC($M355 * AI355,2)</f>
        <v>0</v>
      </c>
      <c r="AK355" s="38"/>
      <c r="AL355" s="38">
        <f t="shared" ref="AL355" si="4889">TRUNC($M355 * AK355,2)</f>
        <v>0</v>
      </c>
      <c r="AM355" s="38"/>
      <c r="AN355" s="38">
        <f t="shared" ref="AN355" si="4890">TRUNC($M355 * AM355,2)</f>
        <v>0</v>
      </c>
      <c r="AO355" s="38"/>
      <c r="AP355" s="38">
        <f t="shared" ref="AP355" si="4891">TRUNC($M355 * AO355,2)</f>
        <v>0</v>
      </c>
      <c r="AQ355" s="38"/>
      <c r="AR355" s="38">
        <f t="shared" ref="AR355" si="4892">TRUNC($M355 * AQ355,2)</f>
        <v>0</v>
      </c>
      <c r="AS355" s="38"/>
      <c r="AT355" s="38">
        <f t="shared" ref="AT355" si="4893">TRUNC($M355 * AS355,2)</f>
        <v>0</v>
      </c>
      <c r="AU355" s="38"/>
      <c r="AV355" s="38">
        <f t="shared" ref="AV355" si="4894">TRUNC($M355 * AU355,2)</f>
        <v>0</v>
      </c>
      <c r="AW355" s="38"/>
      <c r="AX355" s="37">
        <f t="shared" ref="AX355" si="4895">TRUNC($M355 * AW355,2)</f>
        <v>0</v>
      </c>
      <c r="AY355" s="36">
        <f t="shared" si="4520"/>
        <v>0</v>
      </c>
      <c r="AZ355" s="38">
        <f t="shared" ref="AZ355" si="4896">TRUNC($M355 * AY355,2)</f>
        <v>0</v>
      </c>
      <c r="BA355" s="38">
        <f t="shared" si="4522"/>
        <v>102.2</v>
      </c>
      <c r="BB355" s="37">
        <f t="shared" ref="BB355" si="4897">TRUNC($M355 * BA355,2)</f>
        <v>825.77</v>
      </c>
    </row>
    <row r="356" spans="1:54" ht="39" customHeight="1" x14ac:dyDescent="0.25">
      <c r="A356" s="31" t="s">
        <v>1168</v>
      </c>
      <c r="B356" s="31" t="s">
        <v>725</v>
      </c>
      <c r="C356" s="31" t="s">
        <v>34</v>
      </c>
      <c r="D356" s="31" t="s">
        <v>726</v>
      </c>
      <c r="E356" s="32" t="s">
        <v>36</v>
      </c>
      <c r="F356" s="33">
        <v>3</v>
      </c>
      <c r="G356" s="34">
        <v>168.8</v>
      </c>
      <c r="H356" s="34">
        <f t="shared" si="4499"/>
        <v>155.41999999999999</v>
      </c>
      <c r="I356" s="34">
        <f t="shared" si="4500"/>
        <v>466.26</v>
      </c>
      <c r="J356" s="34">
        <f>(TRUNC(H356 * L14,2) + H356)</f>
        <v>187.02999999999997</v>
      </c>
      <c r="K356" s="34">
        <f t="shared" si="4501"/>
        <v>561.09</v>
      </c>
      <c r="L356" s="35">
        <f>K356 / L13</f>
        <v>1.9347931034482756E-4</v>
      </c>
      <c r="M356" s="36">
        <v>154.27000000000001</v>
      </c>
      <c r="N356" s="37">
        <f t="shared" si="4502"/>
        <v>462.81</v>
      </c>
      <c r="O356" s="36"/>
      <c r="P356" s="38">
        <f t="shared" si="4503"/>
        <v>0</v>
      </c>
      <c r="Q356" s="38"/>
      <c r="R356" s="38">
        <f t="shared" si="4503"/>
        <v>0</v>
      </c>
      <c r="S356" s="38">
        <f t="shared" si="4504"/>
        <v>3</v>
      </c>
      <c r="T356" s="37">
        <f t="shared" ref="T356:V356" si="4898">TRUNC($M356 * S356,2)</f>
        <v>462.81</v>
      </c>
      <c r="U356" s="36"/>
      <c r="V356" s="38">
        <f t="shared" si="4898"/>
        <v>0</v>
      </c>
      <c r="W356" s="38"/>
      <c r="X356" s="38">
        <f t="shared" ref="X356" si="4899">TRUNC($M356 * W356,2)</f>
        <v>0</v>
      </c>
      <c r="Y356" s="38"/>
      <c r="Z356" s="38">
        <f t="shared" ref="Z356" si="4900">TRUNC($M356 * Y356,2)</f>
        <v>0</v>
      </c>
      <c r="AA356" s="38"/>
      <c r="AB356" s="38">
        <f t="shared" ref="AB356" si="4901">TRUNC($M356 * AA356,2)</f>
        <v>0</v>
      </c>
      <c r="AC356" s="38"/>
      <c r="AD356" s="38">
        <f t="shared" ref="AD356" si="4902">TRUNC($M356 * AC356,2)</f>
        <v>0</v>
      </c>
      <c r="AE356" s="38"/>
      <c r="AF356" s="38">
        <f t="shared" ref="AF356" si="4903">TRUNC($M356 * AE356,2)</f>
        <v>0</v>
      </c>
      <c r="AG356" s="38"/>
      <c r="AH356" s="38">
        <f t="shared" ref="AH356" si="4904">TRUNC($M356 * AG356,2)</f>
        <v>0</v>
      </c>
      <c r="AI356" s="38"/>
      <c r="AJ356" s="38">
        <f t="shared" ref="AJ356" si="4905">TRUNC($M356 * AI356,2)</f>
        <v>0</v>
      </c>
      <c r="AK356" s="38"/>
      <c r="AL356" s="38">
        <f t="shared" ref="AL356" si="4906">TRUNC($M356 * AK356,2)</f>
        <v>0</v>
      </c>
      <c r="AM356" s="38"/>
      <c r="AN356" s="38">
        <f t="shared" ref="AN356" si="4907">TRUNC($M356 * AM356,2)</f>
        <v>0</v>
      </c>
      <c r="AO356" s="38"/>
      <c r="AP356" s="38">
        <f t="shared" ref="AP356" si="4908">TRUNC($M356 * AO356,2)</f>
        <v>0</v>
      </c>
      <c r="AQ356" s="38"/>
      <c r="AR356" s="38">
        <f t="shared" ref="AR356" si="4909">TRUNC($M356 * AQ356,2)</f>
        <v>0</v>
      </c>
      <c r="AS356" s="38"/>
      <c r="AT356" s="38">
        <f t="shared" ref="AT356" si="4910">TRUNC($M356 * AS356,2)</f>
        <v>0</v>
      </c>
      <c r="AU356" s="38"/>
      <c r="AV356" s="38">
        <f t="shared" ref="AV356" si="4911">TRUNC($M356 * AU356,2)</f>
        <v>0</v>
      </c>
      <c r="AW356" s="38"/>
      <c r="AX356" s="37">
        <f t="shared" ref="AX356" si="4912">TRUNC($M356 * AW356,2)</f>
        <v>0</v>
      </c>
      <c r="AY356" s="36">
        <f t="shared" si="4520"/>
        <v>0</v>
      </c>
      <c r="AZ356" s="38">
        <f t="shared" ref="AZ356" si="4913">TRUNC($M356 * AY356,2)</f>
        <v>0</v>
      </c>
      <c r="BA356" s="38">
        <f t="shared" si="4522"/>
        <v>3</v>
      </c>
      <c r="BB356" s="37">
        <f t="shared" ref="BB356" si="4914">TRUNC($M356 * BA356,2)</f>
        <v>462.81</v>
      </c>
    </row>
    <row r="357" spans="1:54" ht="26.1" customHeight="1" x14ac:dyDescent="0.25">
      <c r="A357" s="31" t="s">
        <v>1169</v>
      </c>
      <c r="B357" s="31" t="s">
        <v>727</v>
      </c>
      <c r="C357" s="31" t="s">
        <v>245</v>
      </c>
      <c r="D357" s="31" t="s">
        <v>728</v>
      </c>
      <c r="E357" s="32" t="s">
        <v>36</v>
      </c>
      <c r="F357" s="33">
        <v>4</v>
      </c>
      <c r="G357" s="34">
        <v>230.28</v>
      </c>
      <c r="H357" s="34">
        <f t="shared" si="4499"/>
        <v>212.02</v>
      </c>
      <c r="I357" s="34">
        <f t="shared" si="4500"/>
        <v>848.08</v>
      </c>
      <c r="J357" s="34">
        <f>(TRUNC(H357 * L14,2) + H357)</f>
        <v>255.14000000000001</v>
      </c>
      <c r="K357" s="34">
        <f t="shared" si="4501"/>
        <v>1020.56</v>
      </c>
      <c r="L357" s="35">
        <f>K357 / L13</f>
        <v>3.519172413793103E-4</v>
      </c>
      <c r="M357" s="36">
        <v>48.1</v>
      </c>
      <c r="N357" s="37">
        <f t="shared" si="4502"/>
        <v>192.4</v>
      </c>
      <c r="O357" s="36"/>
      <c r="P357" s="38">
        <f t="shared" si="4503"/>
        <v>0</v>
      </c>
      <c r="Q357" s="38"/>
      <c r="R357" s="38">
        <f t="shared" si="4503"/>
        <v>0</v>
      </c>
      <c r="S357" s="38">
        <f t="shared" si="4504"/>
        <v>4</v>
      </c>
      <c r="T357" s="37">
        <f t="shared" ref="T357:V357" si="4915">TRUNC($M357 * S357,2)</f>
        <v>192.4</v>
      </c>
      <c r="U357" s="36"/>
      <c r="V357" s="38">
        <f t="shared" si="4915"/>
        <v>0</v>
      </c>
      <c r="W357" s="38"/>
      <c r="X357" s="38">
        <f t="shared" ref="X357" si="4916">TRUNC($M357 * W357,2)</f>
        <v>0</v>
      </c>
      <c r="Y357" s="38"/>
      <c r="Z357" s="38">
        <f t="shared" ref="Z357" si="4917">TRUNC($M357 * Y357,2)</f>
        <v>0</v>
      </c>
      <c r="AA357" s="38"/>
      <c r="AB357" s="38">
        <f t="shared" ref="AB357" si="4918">TRUNC($M357 * AA357,2)</f>
        <v>0</v>
      </c>
      <c r="AC357" s="38"/>
      <c r="AD357" s="38">
        <f t="shared" ref="AD357" si="4919">TRUNC($M357 * AC357,2)</f>
        <v>0</v>
      </c>
      <c r="AE357" s="38"/>
      <c r="AF357" s="38">
        <f t="shared" ref="AF357" si="4920">TRUNC($M357 * AE357,2)</f>
        <v>0</v>
      </c>
      <c r="AG357" s="38"/>
      <c r="AH357" s="38">
        <f t="shared" ref="AH357" si="4921">TRUNC($M357 * AG357,2)</f>
        <v>0</v>
      </c>
      <c r="AI357" s="38"/>
      <c r="AJ357" s="38">
        <f t="shared" ref="AJ357" si="4922">TRUNC($M357 * AI357,2)</f>
        <v>0</v>
      </c>
      <c r="AK357" s="38"/>
      <c r="AL357" s="38">
        <f t="shared" ref="AL357" si="4923">TRUNC($M357 * AK357,2)</f>
        <v>0</v>
      </c>
      <c r="AM357" s="38"/>
      <c r="AN357" s="38">
        <f t="shared" ref="AN357" si="4924">TRUNC($M357 * AM357,2)</f>
        <v>0</v>
      </c>
      <c r="AO357" s="38"/>
      <c r="AP357" s="38">
        <f t="shared" ref="AP357" si="4925">TRUNC($M357 * AO357,2)</f>
        <v>0</v>
      </c>
      <c r="AQ357" s="38"/>
      <c r="AR357" s="38">
        <f t="shared" ref="AR357" si="4926">TRUNC($M357 * AQ357,2)</f>
        <v>0</v>
      </c>
      <c r="AS357" s="38"/>
      <c r="AT357" s="38">
        <f t="shared" ref="AT357" si="4927">TRUNC($M357 * AS357,2)</f>
        <v>0</v>
      </c>
      <c r="AU357" s="38"/>
      <c r="AV357" s="38">
        <f t="shared" ref="AV357" si="4928">TRUNC($M357 * AU357,2)</f>
        <v>0</v>
      </c>
      <c r="AW357" s="38"/>
      <c r="AX357" s="37">
        <f t="shared" ref="AX357" si="4929">TRUNC($M357 * AW357,2)</f>
        <v>0</v>
      </c>
      <c r="AY357" s="36">
        <f t="shared" si="4520"/>
        <v>0</v>
      </c>
      <c r="AZ357" s="38">
        <f t="shared" ref="AZ357" si="4930">TRUNC($M357 * AY357,2)</f>
        <v>0</v>
      </c>
      <c r="BA357" s="38">
        <f t="shared" si="4522"/>
        <v>4</v>
      </c>
      <c r="BB357" s="37">
        <f t="shared" ref="BB357" si="4931">TRUNC($M357 * BA357,2)</f>
        <v>192.4</v>
      </c>
    </row>
    <row r="358" spans="1:54" ht="39" customHeight="1" x14ac:dyDescent="0.25">
      <c r="A358" s="31" t="s">
        <v>1170</v>
      </c>
      <c r="B358" s="31" t="s">
        <v>729</v>
      </c>
      <c r="C358" s="31" t="s">
        <v>34</v>
      </c>
      <c r="D358" s="31" t="s">
        <v>730</v>
      </c>
      <c r="E358" s="32" t="s">
        <v>36</v>
      </c>
      <c r="F358" s="33">
        <v>1</v>
      </c>
      <c r="G358" s="34">
        <v>89.37</v>
      </c>
      <c r="H358" s="34">
        <f t="shared" si="4499"/>
        <v>82.28</v>
      </c>
      <c r="I358" s="34">
        <f t="shared" si="4500"/>
        <v>82.28</v>
      </c>
      <c r="J358" s="34">
        <f>(TRUNC(H358 * L14,2) + H358)</f>
        <v>99.01</v>
      </c>
      <c r="K358" s="34">
        <f t="shared" si="4501"/>
        <v>99.01</v>
      </c>
      <c r="L358" s="35">
        <f>K358 / L13</f>
        <v>3.4141379310344822E-5</v>
      </c>
      <c r="M358" s="36">
        <v>82.09</v>
      </c>
      <c r="N358" s="37">
        <f t="shared" si="4502"/>
        <v>82.09</v>
      </c>
      <c r="O358" s="36"/>
      <c r="P358" s="38">
        <f t="shared" si="4503"/>
        <v>0</v>
      </c>
      <c r="Q358" s="38"/>
      <c r="R358" s="38">
        <f t="shared" si="4503"/>
        <v>0</v>
      </c>
      <c r="S358" s="38">
        <f t="shared" si="4504"/>
        <v>1</v>
      </c>
      <c r="T358" s="37">
        <f t="shared" ref="T358:V358" si="4932">TRUNC($M358 * S358,2)</f>
        <v>82.09</v>
      </c>
      <c r="U358" s="36"/>
      <c r="V358" s="38">
        <f t="shared" si="4932"/>
        <v>0</v>
      </c>
      <c r="W358" s="38"/>
      <c r="X358" s="38">
        <f t="shared" ref="X358" si="4933">TRUNC($M358 * W358,2)</f>
        <v>0</v>
      </c>
      <c r="Y358" s="38"/>
      <c r="Z358" s="38">
        <f t="shared" ref="Z358" si="4934">TRUNC($M358 * Y358,2)</f>
        <v>0</v>
      </c>
      <c r="AA358" s="38"/>
      <c r="AB358" s="38">
        <f t="shared" ref="AB358" si="4935">TRUNC($M358 * AA358,2)</f>
        <v>0</v>
      </c>
      <c r="AC358" s="38"/>
      <c r="AD358" s="38">
        <f t="shared" ref="AD358" si="4936">TRUNC($M358 * AC358,2)</f>
        <v>0</v>
      </c>
      <c r="AE358" s="38"/>
      <c r="AF358" s="38">
        <f t="shared" ref="AF358" si="4937">TRUNC($M358 * AE358,2)</f>
        <v>0</v>
      </c>
      <c r="AG358" s="38"/>
      <c r="AH358" s="38">
        <f t="shared" ref="AH358" si="4938">TRUNC($M358 * AG358,2)</f>
        <v>0</v>
      </c>
      <c r="AI358" s="38"/>
      <c r="AJ358" s="38">
        <f t="shared" ref="AJ358" si="4939">TRUNC($M358 * AI358,2)</f>
        <v>0</v>
      </c>
      <c r="AK358" s="38"/>
      <c r="AL358" s="38">
        <f t="shared" ref="AL358" si="4940">TRUNC($M358 * AK358,2)</f>
        <v>0</v>
      </c>
      <c r="AM358" s="38"/>
      <c r="AN358" s="38">
        <f t="shared" ref="AN358" si="4941">TRUNC($M358 * AM358,2)</f>
        <v>0</v>
      </c>
      <c r="AO358" s="38"/>
      <c r="AP358" s="38">
        <f t="shared" ref="AP358" si="4942">TRUNC($M358 * AO358,2)</f>
        <v>0</v>
      </c>
      <c r="AQ358" s="38"/>
      <c r="AR358" s="38">
        <f t="shared" ref="AR358" si="4943">TRUNC($M358 * AQ358,2)</f>
        <v>0</v>
      </c>
      <c r="AS358" s="38"/>
      <c r="AT358" s="38">
        <f t="shared" ref="AT358" si="4944">TRUNC($M358 * AS358,2)</f>
        <v>0</v>
      </c>
      <c r="AU358" s="38"/>
      <c r="AV358" s="38">
        <f t="shared" ref="AV358" si="4945">TRUNC($M358 * AU358,2)</f>
        <v>0</v>
      </c>
      <c r="AW358" s="38"/>
      <c r="AX358" s="37">
        <f t="shared" ref="AX358" si="4946">TRUNC($M358 * AW358,2)</f>
        <v>0</v>
      </c>
      <c r="AY358" s="36">
        <f t="shared" si="4520"/>
        <v>0</v>
      </c>
      <c r="AZ358" s="38">
        <f t="shared" ref="AZ358" si="4947">TRUNC($M358 * AY358,2)</f>
        <v>0</v>
      </c>
      <c r="BA358" s="38">
        <f t="shared" si="4522"/>
        <v>1</v>
      </c>
      <c r="BB358" s="37">
        <f t="shared" ref="BB358" si="4948">TRUNC($M358 * BA358,2)</f>
        <v>82.09</v>
      </c>
    </row>
    <row r="359" spans="1:54" ht="39" customHeight="1" x14ac:dyDescent="0.25">
      <c r="A359" s="31" t="s">
        <v>1171</v>
      </c>
      <c r="B359" s="31" t="s">
        <v>731</v>
      </c>
      <c r="C359" s="31" t="s">
        <v>34</v>
      </c>
      <c r="D359" s="31" t="s">
        <v>732</v>
      </c>
      <c r="E359" s="32" t="s">
        <v>36</v>
      </c>
      <c r="F359" s="33">
        <v>2</v>
      </c>
      <c r="G359" s="34">
        <v>60.43</v>
      </c>
      <c r="H359" s="34">
        <f t="shared" si="4499"/>
        <v>55.64</v>
      </c>
      <c r="I359" s="34">
        <f t="shared" si="4500"/>
        <v>111.28</v>
      </c>
      <c r="J359" s="34">
        <f>(TRUNC(H359 * L14,2) + H359)</f>
        <v>66.95</v>
      </c>
      <c r="K359" s="34">
        <f t="shared" si="4501"/>
        <v>133.9</v>
      </c>
      <c r="L359" s="35">
        <f>K359 / L13</f>
        <v>4.6172413793103445E-5</v>
      </c>
      <c r="M359" s="36">
        <v>54.33</v>
      </c>
      <c r="N359" s="37">
        <f t="shared" si="4502"/>
        <v>108.66</v>
      </c>
      <c r="O359" s="36"/>
      <c r="P359" s="38">
        <f t="shared" si="4503"/>
        <v>0</v>
      </c>
      <c r="Q359" s="38"/>
      <c r="R359" s="38">
        <f t="shared" si="4503"/>
        <v>0</v>
      </c>
      <c r="S359" s="38">
        <f t="shared" si="4504"/>
        <v>2</v>
      </c>
      <c r="T359" s="37">
        <f t="shared" ref="T359:V359" si="4949">TRUNC($M359 * S359,2)</f>
        <v>108.66</v>
      </c>
      <c r="U359" s="36"/>
      <c r="V359" s="38">
        <f t="shared" si="4949"/>
        <v>0</v>
      </c>
      <c r="W359" s="38"/>
      <c r="X359" s="38">
        <f t="shared" ref="X359" si="4950">TRUNC($M359 * W359,2)</f>
        <v>0</v>
      </c>
      <c r="Y359" s="38"/>
      <c r="Z359" s="38">
        <f t="shared" ref="Z359" si="4951">TRUNC($M359 * Y359,2)</f>
        <v>0</v>
      </c>
      <c r="AA359" s="38"/>
      <c r="AB359" s="38">
        <f t="shared" ref="AB359" si="4952">TRUNC($M359 * AA359,2)</f>
        <v>0</v>
      </c>
      <c r="AC359" s="38"/>
      <c r="AD359" s="38">
        <f t="shared" ref="AD359" si="4953">TRUNC($M359 * AC359,2)</f>
        <v>0</v>
      </c>
      <c r="AE359" s="38"/>
      <c r="AF359" s="38">
        <f t="shared" ref="AF359" si="4954">TRUNC($M359 * AE359,2)</f>
        <v>0</v>
      </c>
      <c r="AG359" s="38"/>
      <c r="AH359" s="38">
        <f t="shared" ref="AH359" si="4955">TRUNC($M359 * AG359,2)</f>
        <v>0</v>
      </c>
      <c r="AI359" s="38"/>
      <c r="AJ359" s="38">
        <f t="shared" ref="AJ359" si="4956">TRUNC($M359 * AI359,2)</f>
        <v>0</v>
      </c>
      <c r="AK359" s="38"/>
      <c r="AL359" s="38">
        <f t="shared" ref="AL359" si="4957">TRUNC($M359 * AK359,2)</f>
        <v>0</v>
      </c>
      <c r="AM359" s="38"/>
      <c r="AN359" s="38">
        <f t="shared" ref="AN359" si="4958">TRUNC($M359 * AM359,2)</f>
        <v>0</v>
      </c>
      <c r="AO359" s="38"/>
      <c r="AP359" s="38">
        <f t="shared" ref="AP359" si="4959">TRUNC($M359 * AO359,2)</f>
        <v>0</v>
      </c>
      <c r="AQ359" s="38"/>
      <c r="AR359" s="38">
        <f t="shared" ref="AR359" si="4960">TRUNC($M359 * AQ359,2)</f>
        <v>0</v>
      </c>
      <c r="AS359" s="38"/>
      <c r="AT359" s="38">
        <f t="shared" ref="AT359" si="4961">TRUNC($M359 * AS359,2)</f>
        <v>0</v>
      </c>
      <c r="AU359" s="38"/>
      <c r="AV359" s="38">
        <f t="shared" ref="AV359" si="4962">TRUNC($M359 * AU359,2)</f>
        <v>0</v>
      </c>
      <c r="AW359" s="38"/>
      <c r="AX359" s="37">
        <f t="shared" ref="AX359" si="4963">TRUNC($M359 * AW359,2)</f>
        <v>0</v>
      </c>
      <c r="AY359" s="36">
        <f t="shared" si="4520"/>
        <v>0</v>
      </c>
      <c r="AZ359" s="38">
        <f t="shared" ref="AZ359" si="4964">TRUNC($M359 * AY359,2)</f>
        <v>0</v>
      </c>
      <c r="BA359" s="38">
        <f t="shared" si="4522"/>
        <v>2</v>
      </c>
      <c r="BB359" s="37">
        <f t="shared" ref="BB359" si="4965">TRUNC($M359 * BA359,2)</f>
        <v>108.66</v>
      </c>
    </row>
    <row r="360" spans="1:54" ht="39" customHeight="1" x14ac:dyDescent="0.25">
      <c r="A360" s="31" t="s">
        <v>1172</v>
      </c>
      <c r="B360" s="31" t="s">
        <v>733</v>
      </c>
      <c r="C360" s="31" t="s">
        <v>34</v>
      </c>
      <c r="D360" s="31" t="s">
        <v>734</v>
      </c>
      <c r="E360" s="32" t="s">
        <v>36</v>
      </c>
      <c r="F360" s="33">
        <v>11</v>
      </c>
      <c r="G360" s="34">
        <v>44.08</v>
      </c>
      <c r="H360" s="34">
        <f t="shared" si="4499"/>
        <v>40.58</v>
      </c>
      <c r="I360" s="34">
        <f t="shared" si="4500"/>
        <v>446.38</v>
      </c>
      <c r="J360" s="34">
        <f>(TRUNC(H360 * L14,2) + H360)</f>
        <v>48.83</v>
      </c>
      <c r="K360" s="34">
        <f t="shared" si="4501"/>
        <v>537.13</v>
      </c>
      <c r="L360" s="35">
        <f>K360 / L13</f>
        <v>1.8521724137931031E-4</v>
      </c>
      <c r="M360" s="36">
        <v>40.79</v>
      </c>
      <c r="N360" s="37">
        <f t="shared" si="4502"/>
        <v>448.69</v>
      </c>
      <c r="O360" s="36"/>
      <c r="P360" s="38">
        <f t="shared" si="4503"/>
        <v>0</v>
      </c>
      <c r="Q360" s="38"/>
      <c r="R360" s="38">
        <f t="shared" si="4503"/>
        <v>0</v>
      </c>
      <c r="S360" s="38">
        <f t="shared" si="4504"/>
        <v>11</v>
      </c>
      <c r="T360" s="37">
        <f t="shared" ref="T360:V360" si="4966">TRUNC($M360 * S360,2)</f>
        <v>448.69</v>
      </c>
      <c r="U360" s="36"/>
      <c r="V360" s="38">
        <f t="shared" si="4966"/>
        <v>0</v>
      </c>
      <c r="W360" s="38"/>
      <c r="X360" s="38">
        <f t="shared" ref="X360" si="4967">TRUNC($M360 * W360,2)</f>
        <v>0</v>
      </c>
      <c r="Y360" s="38"/>
      <c r="Z360" s="38">
        <f t="shared" ref="Z360" si="4968">TRUNC($M360 * Y360,2)</f>
        <v>0</v>
      </c>
      <c r="AA360" s="38"/>
      <c r="AB360" s="38">
        <f t="shared" ref="AB360" si="4969">TRUNC($M360 * AA360,2)</f>
        <v>0</v>
      </c>
      <c r="AC360" s="38"/>
      <c r="AD360" s="38">
        <f t="shared" ref="AD360" si="4970">TRUNC($M360 * AC360,2)</f>
        <v>0</v>
      </c>
      <c r="AE360" s="38"/>
      <c r="AF360" s="38">
        <f t="shared" ref="AF360" si="4971">TRUNC($M360 * AE360,2)</f>
        <v>0</v>
      </c>
      <c r="AG360" s="38"/>
      <c r="AH360" s="38">
        <f t="shared" ref="AH360" si="4972">TRUNC($M360 * AG360,2)</f>
        <v>0</v>
      </c>
      <c r="AI360" s="38"/>
      <c r="AJ360" s="38">
        <f t="shared" ref="AJ360" si="4973">TRUNC($M360 * AI360,2)</f>
        <v>0</v>
      </c>
      <c r="AK360" s="38"/>
      <c r="AL360" s="38">
        <f t="shared" ref="AL360" si="4974">TRUNC($M360 * AK360,2)</f>
        <v>0</v>
      </c>
      <c r="AM360" s="38"/>
      <c r="AN360" s="38">
        <f t="shared" ref="AN360" si="4975">TRUNC($M360 * AM360,2)</f>
        <v>0</v>
      </c>
      <c r="AO360" s="38"/>
      <c r="AP360" s="38">
        <f t="shared" ref="AP360" si="4976">TRUNC($M360 * AO360,2)</f>
        <v>0</v>
      </c>
      <c r="AQ360" s="38"/>
      <c r="AR360" s="38">
        <f t="shared" ref="AR360" si="4977">TRUNC($M360 * AQ360,2)</f>
        <v>0</v>
      </c>
      <c r="AS360" s="38"/>
      <c r="AT360" s="38">
        <f t="shared" ref="AT360" si="4978">TRUNC($M360 * AS360,2)</f>
        <v>0</v>
      </c>
      <c r="AU360" s="38"/>
      <c r="AV360" s="38">
        <f t="shared" ref="AV360" si="4979">TRUNC($M360 * AU360,2)</f>
        <v>0</v>
      </c>
      <c r="AW360" s="38"/>
      <c r="AX360" s="37">
        <f t="shared" ref="AX360" si="4980">TRUNC($M360 * AW360,2)</f>
        <v>0</v>
      </c>
      <c r="AY360" s="36">
        <f t="shared" si="4520"/>
        <v>0</v>
      </c>
      <c r="AZ360" s="38">
        <f t="shared" ref="AZ360" si="4981">TRUNC($M360 * AY360,2)</f>
        <v>0</v>
      </c>
      <c r="BA360" s="38">
        <f t="shared" si="4522"/>
        <v>11</v>
      </c>
      <c r="BB360" s="37">
        <f t="shared" ref="BB360" si="4982">TRUNC($M360 * BA360,2)</f>
        <v>448.69</v>
      </c>
    </row>
    <row r="361" spans="1:54" ht="39" customHeight="1" x14ac:dyDescent="0.25">
      <c r="A361" s="31" t="s">
        <v>1173</v>
      </c>
      <c r="B361" s="31" t="s">
        <v>735</v>
      </c>
      <c r="C361" s="31" t="s">
        <v>34</v>
      </c>
      <c r="D361" s="31" t="s">
        <v>736</v>
      </c>
      <c r="E361" s="32" t="s">
        <v>36</v>
      </c>
      <c r="F361" s="33">
        <v>3</v>
      </c>
      <c r="G361" s="34">
        <v>70.72</v>
      </c>
      <c r="H361" s="34">
        <f t="shared" si="4499"/>
        <v>65.11</v>
      </c>
      <c r="I361" s="34">
        <f t="shared" si="4500"/>
        <v>195.33</v>
      </c>
      <c r="J361" s="34">
        <f>(TRUNC(H361 * L14,2) + H361)</f>
        <v>78.349999999999994</v>
      </c>
      <c r="K361" s="34">
        <f t="shared" si="4501"/>
        <v>235.05</v>
      </c>
      <c r="L361" s="35">
        <f>K361 / L13</f>
        <v>8.1051724137931022E-5</v>
      </c>
      <c r="M361" s="36">
        <v>65.09</v>
      </c>
      <c r="N361" s="37">
        <f t="shared" si="4502"/>
        <v>195.27</v>
      </c>
      <c r="O361" s="36"/>
      <c r="P361" s="38">
        <f t="shared" si="4503"/>
        <v>0</v>
      </c>
      <c r="Q361" s="38"/>
      <c r="R361" s="38">
        <f t="shared" si="4503"/>
        <v>0</v>
      </c>
      <c r="S361" s="38">
        <f t="shared" si="4504"/>
        <v>3</v>
      </c>
      <c r="T361" s="37">
        <f t="shared" ref="T361:V361" si="4983">TRUNC($M361 * S361,2)</f>
        <v>195.27</v>
      </c>
      <c r="U361" s="36"/>
      <c r="V361" s="38">
        <f t="shared" si="4983"/>
        <v>0</v>
      </c>
      <c r="W361" s="38"/>
      <c r="X361" s="38">
        <f t="shared" ref="X361" si="4984">TRUNC($M361 * W361,2)</f>
        <v>0</v>
      </c>
      <c r="Y361" s="38"/>
      <c r="Z361" s="38">
        <f t="shared" ref="Z361" si="4985">TRUNC($M361 * Y361,2)</f>
        <v>0</v>
      </c>
      <c r="AA361" s="38"/>
      <c r="AB361" s="38">
        <f t="shared" ref="AB361" si="4986">TRUNC($M361 * AA361,2)</f>
        <v>0</v>
      </c>
      <c r="AC361" s="38"/>
      <c r="AD361" s="38">
        <f t="shared" ref="AD361" si="4987">TRUNC($M361 * AC361,2)</f>
        <v>0</v>
      </c>
      <c r="AE361" s="38"/>
      <c r="AF361" s="38">
        <f t="shared" ref="AF361" si="4988">TRUNC($M361 * AE361,2)</f>
        <v>0</v>
      </c>
      <c r="AG361" s="38"/>
      <c r="AH361" s="38">
        <f t="shared" ref="AH361" si="4989">TRUNC($M361 * AG361,2)</f>
        <v>0</v>
      </c>
      <c r="AI361" s="38"/>
      <c r="AJ361" s="38">
        <f t="shared" ref="AJ361" si="4990">TRUNC($M361 * AI361,2)</f>
        <v>0</v>
      </c>
      <c r="AK361" s="38"/>
      <c r="AL361" s="38">
        <f t="shared" ref="AL361" si="4991">TRUNC($M361 * AK361,2)</f>
        <v>0</v>
      </c>
      <c r="AM361" s="38"/>
      <c r="AN361" s="38">
        <f t="shared" ref="AN361" si="4992">TRUNC($M361 * AM361,2)</f>
        <v>0</v>
      </c>
      <c r="AO361" s="38"/>
      <c r="AP361" s="38">
        <f t="shared" ref="AP361" si="4993">TRUNC($M361 * AO361,2)</f>
        <v>0</v>
      </c>
      <c r="AQ361" s="38"/>
      <c r="AR361" s="38">
        <f t="shared" ref="AR361" si="4994">TRUNC($M361 * AQ361,2)</f>
        <v>0</v>
      </c>
      <c r="AS361" s="38"/>
      <c r="AT361" s="38">
        <f t="shared" ref="AT361" si="4995">TRUNC($M361 * AS361,2)</f>
        <v>0</v>
      </c>
      <c r="AU361" s="38"/>
      <c r="AV361" s="38">
        <f t="shared" ref="AV361" si="4996">TRUNC($M361 * AU361,2)</f>
        <v>0</v>
      </c>
      <c r="AW361" s="38"/>
      <c r="AX361" s="37">
        <f t="shared" ref="AX361" si="4997">TRUNC($M361 * AW361,2)</f>
        <v>0</v>
      </c>
      <c r="AY361" s="36">
        <f t="shared" si="4520"/>
        <v>0</v>
      </c>
      <c r="AZ361" s="38">
        <f t="shared" ref="AZ361" si="4998">TRUNC($M361 * AY361,2)</f>
        <v>0</v>
      </c>
      <c r="BA361" s="38">
        <f t="shared" si="4522"/>
        <v>3</v>
      </c>
      <c r="BB361" s="37">
        <f t="shared" ref="BB361" si="4999">TRUNC($M361 * BA361,2)</f>
        <v>195.27</v>
      </c>
    </row>
    <row r="362" spans="1:54" ht="39" customHeight="1" x14ac:dyDescent="0.25">
      <c r="A362" s="31" t="s">
        <v>1174</v>
      </c>
      <c r="B362" s="31" t="s">
        <v>737</v>
      </c>
      <c r="C362" s="31" t="s">
        <v>34</v>
      </c>
      <c r="D362" s="31" t="s">
        <v>738</v>
      </c>
      <c r="E362" s="32" t="s">
        <v>36</v>
      </c>
      <c r="F362" s="33">
        <v>1</v>
      </c>
      <c r="G362" s="34">
        <v>97.29</v>
      </c>
      <c r="H362" s="34">
        <f t="shared" si="4499"/>
        <v>89.57</v>
      </c>
      <c r="I362" s="34">
        <f t="shared" si="4500"/>
        <v>89.57</v>
      </c>
      <c r="J362" s="34">
        <f>(TRUNC(H362 * L14,2) + H362)</f>
        <v>107.78</v>
      </c>
      <c r="K362" s="34">
        <f t="shared" si="4501"/>
        <v>107.78</v>
      </c>
      <c r="L362" s="35">
        <f>K362 / L13</f>
        <v>3.7165517241379306E-5</v>
      </c>
      <c r="M362" s="36">
        <v>89.5</v>
      </c>
      <c r="N362" s="37">
        <f t="shared" si="4502"/>
        <v>89.5</v>
      </c>
      <c r="O362" s="36"/>
      <c r="P362" s="38">
        <f t="shared" si="4503"/>
        <v>0</v>
      </c>
      <c r="Q362" s="38"/>
      <c r="R362" s="38">
        <f t="shared" si="4503"/>
        <v>0</v>
      </c>
      <c r="S362" s="38">
        <f t="shared" si="4504"/>
        <v>1</v>
      </c>
      <c r="T362" s="37">
        <f t="shared" ref="T362:V362" si="5000">TRUNC($M362 * S362,2)</f>
        <v>89.5</v>
      </c>
      <c r="U362" s="36"/>
      <c r="V362" s="38">
        <f t="shared" si="5000"/>
        <v>0</v>
      </c>
      <c r="W362" s="38"/>
      <c r="X362" s="38">
        <f t="shared" ref="X362" si="5001">TRUNC($M362 * W362,2)</f>
        <v>0</v>
      </c>
      <c r="Y362" s="38"/>
      <c r="Z362" s="38">
        <f t="shared" ref="Z362" si="5002">TRUNC($M362 * Y362,2)</f>
        <v>0</v>
      </c>
      <c r="AA362" s="38"/>
      <c r="AB362" s="38">
        <f t="shared" ref="AB362" si="5003">TRUNC($M362 * AA362,2)</f>
        <v>0</v>
      </c>
      <c r="AC362" s="38"/>
      <c r="AD362" s="38">
        <f t="shared" ref="AD362" si="5004">TRUNC($M362 * AC362,2)</f>
        <v>0</v>
      </c>
      <c r="AE362" s="38"/>
      <c r="AF362" s="38">
        <f t="shared" ref="AF362" si="5005">TRUNC($M362 * AE362,2)</f>
        <v>0</v>
      </c>
      <c r="AG362" s="38"/>
      <c r="AH362" s="38">
        <f t="shared" ref="AH362" si="5006">TRUNC($M362 * AG362,2)</f>
        <v>0</v>
      </c>
      <c r="AI362" s="38"/>
      <c r="AJ362" s="38">
        <f t="shared" ref="AJ362" si="5007">TRUNC($M362 * AI362,2)</f>
        <v>0</v>
      </c>
      <c r="AK362" s="38"/>
      <c r="AL362" s="38">
        <f t="shared" ref="AL362" si="5008">TRUNC($M362 * AK362,2)</f>
        <v>0</v>
      </c>
      <c r="AM362" s="38"/>
      <c r="AN362" s="38">
        <f t="shared" ref="AN362" si="5009">TRUNC($M362 * AM362,2)</f>
        <v>0</v>
      </c>
      <c r="AO362" s="38"/>
      <c r="AP362" s="38">
        <f t="shared" ref="AP362" si="5010">TRUNC($M362 * AO362,2)</f>
        <v>0</v>
      </c>
      <c r="AQ362" s="38"/>
      <c r="AR362" s="38">
        <f t="shared" ref="AR362" si="5011">TRUNC($M362 * AQ362,2)</f>
        <v>0</v>
      </c>
      <c r="AS362" s="38"/>
      <c r="AT362" s="38">
        <f t="shared" ref="AT362" si="5012">TRUNC($M362 * AS362,2)</f>
        <v>0</v>
      </c>
      <c r="AU362" s="38"/>
      <c r="AV362" s="38">
        <f t="shared" ref="AV362" si="5013">TRUNC($M362 * AU362,2)</f>
        <v>0</v>
      </c>
      <c r="AW362" s="38"/>
      <c r="AX362" s="37">
        <f t="shared" ref="AX362" si="5014">TRUNC($M362 * AW362,2)</f>
        <v>0</v>
      </c>
      <c r="AY362" s="36">
        <f t="shared" si="4520"/>
        <v>0</v>
      </c>
      <c r="AZ362" s="38">
        <f t="shared" ref="AZ362" si="5015">TRUNC($M362 * AY362,2)</f>
        <v>0</v>
      </c>
      <c r="BA362" s="38">
        <f t="shared" si="4522"/>
        <v>1</v>
      </c>
      <c r="BB362" s="37">
        <f t="shared" ref="BB362" si="5016">TRUNC($M362 * BA362,2)</f>
        <v>89.5</v>
      </c>
    </row>
    <row r="363" spans="1:54" ht="39" customHeight="1" x14ac:dyDescent="0.25">
      <c r="A363" s="31" t="s">
        <v>1175</v>
      </c>
      <c r="B363" s="31" t="s">
        <v>739</v>
      </c>
      <c r="C363" s="31" t="s">
        <v>34</v>
      </c>
      <c r="D363" s="31" t="s">
        <v>740</v>
      </c>
      <c r="E363" s="32" t="s">
        <v>36</v>
      </c>
      <c r="F363" s="33">
        <v>20</v>
      </c>
      <c r="G363" s="34">
        <v>36.159999999999997</v>
      </c>
      <c r="H363" s="34">
        <f t="shared" si="4499"/>
        <v>33.29</v>
      </c>
      <c r="I363" s="34">
        <f t="shared" si="4500"/>
        <v>665.8</v>
      </c>
      <c r="J363" s="34">
        <f>(TRUNC(H363 * L14,2) + H363)</f>
        <v>40.06</v>
      </c>
      <c r="K363" s="34">
        <f t="shared" si="4501"/>
        <v>801.2</v>
      </c>
      <c r="L363" s="35">
        <f>K363 / L13</f>
        <v>2.7627586206896551E-4</v>
      </c>
      <c r="M363" s="36">
        <v>33.380000000000003</v>
      </c>
      <c r="N363" s="37">
        <f t="shared" si="4502"/>
        <v>667.6</v>
      </c>
      <c r="O363" s="36"/>
      <c r="P363" s="38">
        <f t="shared" si="4503"/>
        <v>0</v>
      </c>
      <c r="Q363" s="38"/>
      <c r="R363" s="38">
        <f t="shared" si="4503"/>
        <v>0</v>
      </c>
      <c r="S363" s="38">
        <f t="shared" si="4504"/>
        <v>20</v>
      </c>
      <c r="T363" s="37">
        <f t="shared" ref="T363:V363" si="5017">TRUNC($M363 * S363,2)</f>
        <v>667.6</v>
      </c>
      <c r="U363" s="36"/>
      <c r="V363" s="38">
        <f t="shared" si="5017"/>
        <v>0</v>
      </c>
      <c r="W363" s="38"/>
      <c r="X363" s="38">
        <f t="shared" ref="X363" si="5018">TRUNC($M363 * W363,2)</f>
        <v>0</v>
      </c>
      <c r="Y363" s="38"/>
      <c r="Z363" s="38">
        <f t="shared" ref="Z363" si="5019">TRUNC($M363 * Y363,2)</f>
        <v>0</v>
      </c>
      <c r="AA363" s="38"/>
      <c r="AB363" s="38">
        <f t="shared" ref="AB363" si="5020">TRUNC($M363 * AA363,2)</f>
        <v>0</v>
      </c>
      <c r="AC363" s="38"/>
      <c r="AD363" s="38">
        <f t="shared" ref="AD363" si="5021">TRUNC($M363 * AC363,2)</f>
        <v>0</v>
      </c>
      <c r="AE363" s="38"/>
      <c r="AF363" s="38">
        <f t="shared" ref="AF363" si="5022">TRUNC($M363 * AE363,2)</f>
        <v>0</v>
      </c>
      <c r="AG363" s="38"/>
      <c r="AH363" s="38">
        <f t="shared" ref="AH363" si="5023">TRUNC($M363 * AG363,2)</f>
        <v>0</v>
      </c>
      <c r="AI363" s="38"/>
      <c r="AJ363" s="38">
        <f t="shared" ref="AJ363" si="5024">TRUNC($M363 * AI363,2)</f>
        <v>0</v>
      </c>
      <c r="AK363" s="38"/>
      <c r="AL363" s="38">
        <f t="shared" ref="AL363" si="5025">TRUNC($M363 * AK363,2)</f>
        <v>0</v>
      </c>
      <c r="AM363" s="38"/>
      <c r="AN363" s="38">
        <f t="shared" ref="AN363" si="5026">TRUNC($M363 * AM363,2)</f>
        <v>0</v>
      </c>
      <c r="AO363" s="38"/>
      <c r="AP363" s="38">
        <f t="shared" ref="AP363" si="5027">TRUNC($M363 * AO363,2)</f>
        <v>0</v>
      </c>
      <c r="AQ363" s="38"/>
      <c r="AR363" s="38">
        <f t="shared" ref="AR363" si="5028">TRUNC($M363 * AQ363,2)</f>
        <v>0</v>
      </c>
      <c r="AS363" s="38"/>
      <c r="AT363" s="38">
        <f t="shared" ref="AT363" si="5029">TRUNC($M363 * AS363,2)</f>
        <v>0</v>
      </c>
      <c r="AU363" s="38"/>
      <c r="AV363" s="38">
        <f t="shared" ref="AV363" si="5030">TRUNC($M363 * AU363,2)</f>
        <v>0</v>
      </c>
      <c r="AW363" s="38"/>
      <c r="AX363" s="37">
        <f t="shared" ref="AX363" si="5031">TRUNC($M363 * AW363,2)</f>
        <v>0</v>
      </c>
      <c r="AY363" s="36">
        <f t="shared" si="4520"/>
        <v>0</v>
      </c>
      <c r="AZ363" s="38">
        <f t="shared" ref="AZ363" si="5032">TRUNC($M363 * AY363,2)</f>
        <v>0</v>
      </c>
      <c r="BA363" s="38">
        <f t="shared" si="4522"/>
        <v>20</v>
      </c>
      <c r="BB363" s="37">
        <f t="shared" ref="BB363" si="5033">TRUNC($M363 * BA363,2)</f>
        <v>667.6</v>
      </c>
    </row>
    <row r="364" spans="1:54" ht="26.1" customHeight="1" x14ac:dyDescent="0.25">
      <c r="A364" s="31" t="s">
        <v>1176</v>
      </c>
      <c r="B364" s="31" t="s">
        <v>741</v>
      </c>
      <c r="C364" s="31" t="s">
        <v>245</v>
      </c>
      <c r="D364" s="31" t="s">
        <v>742</v>
      </c>
      <c r="E364" s="32" t="s">
        <v>36</v>
      </c>
      <c r="F364" s="33">
        <v>38</v>
      </c>
      <c r="G364" s="34">
        <v>13.8</v>
      </c>
      <c r="H364" s="34">
        <f t="shared" si="4499"/>
        <v>12.7</v>
      </c>
      <c r="I364" s="34">
        <f t="shared" si="4500"/>
        <v>482.6</v>
      </c>
      <c r="J364" s="34">
        <f>(TRUNC(H364 * L14,2) + H364)</f>
        <v>15.28</v>
      </c>
      <c r="K364" s="34">
        <f t="shared" si="4501"/>
        <v>580.64</v>
      </c>
      <c r="L364" s="35">
        <f>K364 / L13</f>
        <v>2.0022068965517238E-4</v>
      </c>
      <c r="M364" s="36">
        <v>2.87</v>
      </c>
      <c r="N364" s="37">
        <f t="shared" si="4502"/>
        <v>109.06</v>
      </c>
      <c r="O364" s="36"/>
      <c r="P364" s="38">
        <f t="shared" si="4503"/>
        <v>0</v>
      </c>
      <c r="Q364" s="38"/>
      <c r="R364" s="38">
        <f t="shared" si="4503"/>
        <v>0</v>
      </c>
      <c r="S364" s="38">
        <f t="shared" si="4504"/>
        <v>38</v>
      </c>
      <c r="T364" s="37">
        <f t="shared" ref="T364:V364" si="5034">TRUNC($M364 * S364,2)</f>
        <v>109.06</v>
      </c>
      <c r="U364" s="36"/>
      <c r="V364" s="38">
        <f t="shared" si="5034"/>
        <v>0</v>
      </c>
      <c r="W364" s="38"/>
      <c r="X364" s="38">
        <f t="shared" ref="X364" si="5035">TRUNC($M364 * W364,2)</f>
        <v>0</v>
      </c>
      <c r="Y364" s="38"/>
      <c r="Z364" s="38">
        <f t="shared" ref="Z364" si="5036">TRUNC($M364 * Y364,2)</f>
        <v>0</v>
      </c>
      <c r="AA364" s="38"/>
      <c r="AB364" s="38">
        <f t="shared" ref="AB364" si="5037">TRUNC($M364 * AA364,2)</f>
        <v>0</v>
      </c>
      <c r="AC364" s="38"/>
      <c r="AD364" s="38">
        <f t="shared" ref="AD364" si="5038">TRUNC($M364 * AC364,2)</f>
        <v>0</v>
      </c>
      <c r="AE364" s="38"/>
      <c r="AF364" s="38">
        <f t="shared" ref="AF364" si="5039">TRUNC($M364 * AE364,2)</f>
        <v>0</v>
      </c>
      <c r="AG364" s="38"/>
      <c r="AH364" s="38">
        <f t="shared" ref="AH364" si="5040">TRUNC($M364 * AG364,2)</f>
        <v>0</v>
      </c>
      <c r="AI364" s="38"/>
      <c r="AJ364" s="38">
        <f t="shared" ref="AJ364" si="5041">TRUNC($M364 * AI364,2)</f>
        <v>0</v>
      </c>
      <c r="AK364" s="38"/>
      <c r="AL364" s="38">
        <f t="shared" ref="AL364" si="5042">TRUNC($M364 * AK364,2)</f>
        <v>0</v>
      </c>
      <c r="AM364" s="38"/>
      <c r="AN364" s="38">
        <f t="shared" ref="AN364" si="5043">TRUNC($M364 * AM364,2)</f>
        <v>0</v>
      </c>
      <c r="AO364" s="38"/>
      <c r="AP364" s="38">
        <f t="shared" ref="AP364" si="5044">TRUNC($M364 * AO364,2)</f>
        <v>0</v>
      </c>
      <c r="AQ364" s="38"/>
      <c r="AR364" s="38">
        <f t="shared" ref="AR364" si="5045">TRUNC($M364 * AQ364,2)</f>
        <v>0</v>
      </c>
      <c r="AS364" s="38"/>
      <c r="AT364" s="38">
        <f t="shared" ref="AT364" si="5046">TRUNC($M364 * AS364,2)</f>
        <v>0</v>
      </c>
      <c r="AU364" s="38"/>
      <c r="AV364" s="38">
        <f t="shared" ref="AV364" si="5047">TRUNC($M364 * AU364,2)</f>
        <v>0</v>
      </c>
      <c r="AW364" s="38"/>
      <c r="AX364" s="37">
        <f t="shared" ref="AX364" si="5048">TRUNC($M364 * AW364,2)</f>
        <v>0</v>
      </c>
      <c r="AY364" s="36">
        <f t="shared" si="4520"/>
        <v>0</v>
      </c>
      <c r="AZ364" s="38">
        <f t="shared" ref="AZ364" si="5049">TRUNC($M364 * AY364,2)</f>
        <v>0</v>
      </c>
      <c r="BA364" s="38">
        <f t="shared" si="4522"/>
        <v>38</v>
      </c>
      <c r="BB364" s="37">
        <f t="shared" ref="BB364" si="5050">TRUNC($M364 * BA364,2)</f>
        <v>109.06</v>
      </c>
    </row>
    <row r="365" spans="1:54" ht="24" customHeight="1" x14ac:dyDescent="0.25">
      <c r="A365" s="31" t="s">
        <v>1177</v>
      </c>
      <c r="B365" s="31" t="s">
        <v>743</v>
      </c>
      <c r="C365" s="31" t="s">
        <v>245</v>
      </c>
      <c r="D365" s="31" t="s">
        <v>744</v>
      </c>
      <c r="E365" s="32" t="s">
        <v>36</v>
      </c>
      <c r="F365" s="33">
        <v>227</v>
      </c>
      <c r="G365" s="34">
        <v>8.81</v>
      </c>
      <c r="H365" s="34">
        <f t="shared" si="4499"/>
        <v>8.11</v>
      </c>
      <c r="I365" s="34">
        <f t="shared" si="4500"/>
        <v>1840.97</v>
      </c>
      <c r="J365" s="34">
        <f>(TRUNC(H365 * L14,2) + H365)</f>
        <v>9.75</v>
      </c>
      <c r="K365" s="34">
        <f t="shared" ref="K365:K394" si="5051">TRUNC(F365 * J365,2)</f>
        <v>2213.25</v>
      </c>
      <c r="L365" s="35">
        <f>K365 / L13</f>
        <v>7.6318965517241366E-4</v>
      </c>
      <c r="M365" s="36">
        <v>1.84</v>
      </c>
      <c r="N365" s="37">
        <f t="shared" si="4502"/>
        <v>417.68</v>
      </c>
      <c r="O365" s="36"/>
      <c r="P365" s="38">
        <f t="shared" si="4503"/>
        <v>0</v>
      </c>
      <c r="Q365" s="38"/>
      <c r="R365" s="38">
        <f t="shared" si="4503"/>
        <v>0</v>
      </c>
      <c r="S365" s="38">
        <f t="shared" si="4504"/>
        <v>227</v>
      </c>
      <c r="T365" s="37">
        <f t="shared" ref="T365:V365" si="5052">TRUNC($M365 * S365,2)</f>
        <v>417.68</v>
      </c>
      <c r="U365" s="36"/>
      <c r="V365" s="38">
        <f t="shared" si="5052"/>
        <v>0</v>
      </c>
      <c r="W365" s="38"/>
      <c r="X365" s="38">
        <f t="shared" ref="X365" si="5053">TRUNC($M365 * W365,2)</f>
        <v>0</v>
      </c>
      <c r="Y365" s="38"/>
      <c r="Z365" s="38">
        <f t="shared" ref="Z365" si="5054">TRUNC($M365 * Y365,2)</f>
        <v>0</v>
      </c>
      <c r="AA365" s="38"/>
      <c r="AB365" s="38">
        <f t="shared" ref="AB365" si="5055">TRUNC($M365 * AA365,2)</f>
        <v>0</v>
      </c>
      <c r="AC365" s="38"/>
      <c r="AD365" s="38">
        <f t="shared" ref="AD365" si="5056">TRUNC($M365 * AC365,2)</f>
        <v>0</v>
      </c>
      <c r="AE365" s="38"/>
      <c r="AF365" s="38">
        <f t="shared" ref="AF365" si="5057">TRUNC($M365 * AE365,2)</f>
        <v>0</v>
      </c>
      <c r="AG365" s="38"/>
      <c r="AH365" s="38">
        <f t="shared" ref="AH365" si="5058">TRUNC($M365 * AG365,2)</f>
        <v>0</v>
      </c>
      <c r="AI365" s="38"/>
      <c r="AJ365" s="38">
        <f t="shared" ref="AJ365" si="5059">TRUNC($M365 * AI365,2)</f>
        <v>0</v>
      </c>
      <c r="AK365" s="38"/>
      <c r="AL365" s="38">
        <f t="shared" ref="AL365" si="5060">TRUNC($M365 * AK365,2)</f>
        <v>0</v>
      </c>
      <c r="AM365" s="38"/>
      <c r="AN365" s="38">
        <f t="shared" ref="AN365" si="5061">TRUNC($M365 * AM365,2)</f>
        <v>0</v>
      </c>
      <c r="AO365" s="38"/>
      <c r="AP365" s="38">
        <f t="shared" ref="AP365" si="5062">TRUNC($M365 * AO365,2)</f>
        <v>0</v>
      </c>
      <c r="AQ365" s="38"/>
      <c r="AR365" s="38">
        <f t="shared" ref="AR365" si="5063">TRUNC($M365 * AQ365,2)</f>
        <v>0</v>
      </c>
      <c r="AS365" s="38"/>
      <c r="AT365" s="38">
        <f t="shared" ref="AT365" si="5064">TRUNC($M365 * AS365,2)</f>
        <v>0</v>
      </c>
      <c r="AU365" s="38"/>
      <c r="AV365" s="38">
        <f t="shared" ref="AV365" si="5065">TRUNC($M365 * AU365,2)</f>
        <v>0</v>
      </c>
      <c r="AW365" s="38"/>
      <c r="AX365" s="37">
        <f t="shared" ref="AX365" si="5066">TRUNC($M365 * AW365,2)</f>
        <v>0</v>
      </c>
      <c r="AY365" s="36">
        <f t="shared" si="4520"/>
        <v>0</v>
      </c>
      <c r="AZ365" s="38">
        <f t="shared" ref="AZ365" si="5067">TRUNC($M365 * AY365,2)</f>
        <v>0</v>
      </c>
      <c r="BA365" s="38">
        <f t="shared" si="4522"/>
        <v>227</v>
      </c>
      <c r="BB365" s="37">
        <f t="shared" ref="BB365" si="5068">TRUNC($M365 * BA365,2)</f>
        <v>417.68</v>
      </c>
    </row>
    <row r="366" spans="1:54" ht="24" customHeight="1" x14ac:dyDescent="0.25">
      <c r="A366" s="31" t="s">
        <v>1178</v>
      </c>
      <c r="B366" s="31" t="s">
        <v>743</v>
      </c>
      <c r="C366" s="31" t="s">
        <v>245</v>
      </c>
      <c r="D366" s="31" t="s">
        <v>744</v>
      </c>
      <c r="E366" s="32" t="s">
        <v>36</v>
      </c>
      <c r="F366" s="33">
        <v>227</v>
      </c>
      <c r="G366" s="34">
        <v>8.81</v>
      </c>
      <c r="H366" s="34">
        <f t="shared" si="4499"/>
        <v>8.11</v>
      </c>
      <c r="I366" s="34">
        <f t="shared" si="4500"/>
        <v>1840.97</v>
      </c>
      <c r="J366" s="34">
        <f>(TRUNC(H366 * L14,2) + H366)</f>
        <v>9.75</v>
      </c>
      <c r="K366" s="34">
        <f t="shared" si="5051"/>
        <v>2213.25</v>
      </c>
      <c r="L366" s="35">
        <f>K366 / L13</f>
        <v>7.6318965517241366E-4</v>
      </c>
      <c r="M366" s="36">
        <v>1.84</v>
      </c>
      <c r="N366" s="37">
        <f t="shared" si="4502"/>
        <v>417.68</v>
      </c>
      <c r="O366" s="36"/>
      <c r="P366" s="38">
        <f t="shared" si="4503"/>
        <v>0</v>
      </c>
      <c r="Q366" s="38"/>
      <c r="R366" s="38">
        <f t="shared" si="4503"/>
        <v>0</v>
      </c>
      <c r="S366" s="38">
        <f t="shared" si="4504"/>
        <v>227</v>
      </c>
      <c r="T366" s="37">
        <f t="shared" ref="T366:V366" si="5069">TRUNC($M366 * S366,2)</f>
        <v>417.68</v>
      </c>
      <c r="U366" s="36"/>
      <c r="V366" s="38">
        <f t="shared" si="5069"/>
        <v>0</v>
      </c>
      <c r="W366" s="38"/>
      <c r="X366" s="38">
        <f t="shared" ref="X366" si="5070">TRUNC($M366 * W366,2)</f>
        <v>0</v>
      </c>
      <c r="Y366" s="38"/>
      <c r="Z366" s="38">
        <f t="shared" ref="Z366" si="5071">TRUNC($M366 * Y366,2)</f>
        <v>0</v>
      </c>
      <c r="AA366" s="38"/>
      <c r="AB366" s="38">
        <f t="shared" ref="AB366" si="5072">TRUNC($M366 * AA366,2)</f>
        <v>0</v>
      </c>
      <c r="AC366" s="38"/>
      <c r="AD366" s="38">
        <f t="shared" ref="AD366" si="5073">TRUNC($M366 * AC366,2)</f>
        <v>0</v>
      </c>
      <c r="AE366" s="38"/>
      <c r="AF366" s="38">
        <f t="shared" ref="AF366" si="5074">TRUNC($M366 * AE366,2)</f>
        <v>0</v>
      </c>
      <c r="AG366" s="38"/>
      <c r="AH366" s="38">
        <f t="shared" ref="AH366" si="5075">TRUNC($M366 * AG366,2)</f>
        <v>0</v>
      </c>
      <c r="AI366" s="38"/>
      <c r="AJ366" s="38">
        <f t="shared" ref="AJ366" si="5076">TRUNC($M366 * AI366,2)</f>
        <v>0</v>
      </c>
      <c r="AK366" s="38"/>
      <c r="AL366" s="38">
        <f t="shared" ref="AL366" si="5077">TRUNC($M366 * AK366,2)</f>
        <v>0</v>
      </c>
      <c r="AM366" s="38"/>
      <c r="AN366" s="38">
        <f t="shared" ref="AN366" si="5078">TRUNC($M366 * AM366,2)</f>
        <v>0</v>
      </c>
      <c r="AO366" s="38"/>
      <c r="AP366" s="38">
        <f t="shared" ref="AP366" si="5079">TRUNC($M366 * AO366,2)</f>
        <v>0</v>
      </c>
      <c r="AQ366" s="38"/>
      <c r="AR366" s="38">
        <f t="shared" ref="AR366" si="5080">TRUNC($M366 * AQ366,2)</f>
        <v>0</v>
      </c>
      <c r="AS366" s="38"/>
      <c r="AT366" s="38">
        <f t="shared" ref="AT366" si="5081">TRUNC($M366 * AS366,2)</f>
        <v>0</v>
      </c>
      <c r="AU366" s="38"/>
      <c r="AV366" s="38">
        <f t="shared" ref="AV366" si="5082">TRUNC($M366 * AU366,2)</f>
        <v>0</v>
      </c>
      <c r="AW366" s="38"/>
      <c r="AX366" s="37">
        <f t="shared" ref="AX366" si="5083">TRUNC($M366 * AW366,2)</f>
        <v>0</v>
      </c>
      <c r="AY366" s="36">
        <f t="shared" si="4520"/>
        <v>0</v>
      </c>
      <c r="AZ366" s="38">
        <f t="shared" ref="AZ366" si="5084">TRUNC($M366 * AY366,2)</f>
        <v>0</v>
      </c>
      <c r="BA366" s="38">
        <f t="shared" si="4522"/>
        <v>227</v>
      </c>
      <c r="BB366" s="37">
        <f t="shared" ref="BB366" si="5085">TRUNC($M366 * BA366,2)</f>
        <v>417.68</v>
      </c>
    </row>
    <row r="367" spans="1:54" ht="39" customHeight="1" x14ac:dyDescent="0.25">
      <c r="A367" s="31" t="s">
        <v>1179</v>
      </c>
      <c r="B367" s="31" t="s">
        <v>745</v>
      </c>
      <c r="C367" s="31" t="s">
        <v>34</v>
      </c>
      <c r="D367" s="31" t="s">
        <v>746</v>
      </c>
      <c r="E367" s="32" t="s">
        <v>36</v>
      </c>
      <c r="F367" s="33">
        <v>39</v>
      </c>
      <c r="G367" s="34">
        <v>42.88</v>
      </c>
      <c r="H367" s="34">
        <f t="shared" si="4499"/>
        <v>39.479999999999997</v>
      </c>
      <c r="I367" s="34">
        <f t="shared" si="4500"/>
        <v>1539.72</v>
      </c>
      <c r="J367" s="34">
        <f>(TRUNC(H367 * L14,2) + H367)</f>
        <v>47.51</v>
      </c>
      <c r="K367" s="34">
        <f t="shared" si="5051"/>
        <v>1852.89</v>
      </c>
      <c r="L367" s="35">
        <f>K367 / L13</f>
        <v>6.3892758620689646E-4</v>
      </c>
      <c r="M367" s="36">
        <v>39.94</v>
      </c>
      <c r="N367" s="37">
        <f t="shared" si="4502"/>
        <v>1557.66</v>
      </c>
      <c r="O367" s="36"/>
      <c r="P367" s="38">
        <f t="shared" si="4503"/>
        <v>0</v>
      </c>
      <c r="Q367" s="38"/>
      <c r="R367" s="38">
        <f t="shared" si="4503"/>
        <v>0</v>
      </c>
      <c r="S367" s="38">
        <f t="shared" si="4504"/>
        <v>39</v>
      </c>
      <c r="T367" s="37">
        <f t="shared" ref="T367:V367" si="5086">TRUNC($M367 * S367,2)</f>
        <v>1557.66</v>
      </c>
      <c r="U367" s="36"/>
      <c r="V367" s="38">
        <f t="shared" si="5086"/>
        <v>0</v>
      </c>
      <c r="W367" s="38"/>
      <c r="X367" s="38">
        <f t="shared" ref="X367" si="5087">TRUNC($M367 * W367,2)</f>
        <v>0</v>
      </c>
      <c r="Y367" s="38"/>
      <c r="Z367" s="38">
        <f t="shared" ref="Z367" si="5088">TRUNC($M367 * Y367,2)</f>
        <v>0</v>
      </c>
      <c r="AA367" s="38"/>
      <c r="AB367" s="38">
        <f t="shared" ref="AB367" si="5089">TRUNC($M367 * AA367,2)</f>
        <v>0</v>
      </c>
      <c r="AC367" s="38"/>
      <c r="AD367" s="38">
        <f t="shared" ref="AD367" si="5090">TRUNC($M367 * AC367,2)</f>
        <v>0</v>
      </c>
      <c r="AE367" s="38"/>
      <c r="AF367" s="38">
        <f t="shared" ref="AF367" si="5091">TRUNC($M367 * AE367,2)</f>
        <v>0</v>
      </c>
      <c r="AG367" s="38"/>
      <c r="AH367" s="38">
        <f t="shared" ref="AH367" si="5092">TRUNC($M367 * AG367,2)</f>
        <v>0</v>
      </c>
      <c r="AI367" s="38"/>
      <c r="AJ367" s="38">
        <f t="shared" ref="AJ367" si="5093">TRUNC($M367 * AI367,2)</f>
        <v>0</v>
      </c>
      <c r="AK367" s="38"/>
      <c r="AL367" s="38">
        <f t="shared" ref="AL367" si="5094">TRUNC($M367 * AK367,2)</f>
        <v>0</v>
      </c>
      <c r="AM367" s="38"/>
      <c r="AN367" s="38">
        <f t="shared" ref="AN367" si="5095">TRUNC($M367 * AM367,2)</f>
        <v>0</v>
      </c>
      <c r="AO367" s="38"/>
      <c r="AP367" s="38">
        <f t="shared" ref="AP367" si="5096">TRUNC($M367 * AO367,2)</f>
        <v>0</v>
      </c>
      <c r="AQ367" s="38"/>
      <c r="AR367" s="38">
        <f t="shared" ref="AR367" si="5097">TRUNC($M367 * AQ367,2)</f>
        <v>0</v>
      </c>
      <c r="AS367" s="38"/>
      <c r="AT367" s="38">
        <f t="shared" ref="AT367" si="5098">TRUNC($M367 * AS367,2)</f>
        <v>0</v>
      </c>
      <c r="AU367" s="38"/>
      <c r="AV367" s="38">
        <f t="shared" ref="AV367" si="5099">TRUNC($M367 * AU367,2)</f>
        <v>0</v>
      </c>
      <c r="AW367" s="38"/>
      <c r="AX367" s="37">
        <f t="shared" ref="AX367" si="5100">TRUNC($M367 * AW367,2)</f>
        <v>0</v>
      </c>
      <c r="AY367" s="36">
        <f t="shared" si="4520"/>
        <v>0</v>
      </c>
      <c r="AZ367" s="38">
        <f t="shared" ref="AZ367" si="5101">TRUNC($M367 * AY367,2)</f>
        <v>0</v>
      </c>
      <c r="BA367" s="38">
        <f t="shared" si="4522"/>
        <v>39</v>
      </c>
      <c r="BB367" s="37">
        <f t="shared" ref="BB367" si="5102">TRUNC($M367 * BA367,2)</f>
        <v>1557.66</v>
      </c>
    </row>
    <row r="368" spans="1:54" ht="24" customHeight="1" x14ac:dyDescent="0.25">
      <c r="A368" s="31" t="s">
        <v>1180</v>
      </c>
      <c r="B368" s="31" t="s">
        <v>747</v>
      </c>
      <c r="C368" s="31" t="s">
        <v>245</v>
      </c>
      <c r="D368" s="31" t="s">
        <v>748</v>
      </c>
      <c r="E368" s="32" t="s">
        <v>36</v>
      </c>
      <c r="F368" s="33">
        <v>21</v>
      </c>
      <c r="G368" s="34">
        <v>22.04</v>
      </c>
      <c r="H368" s="34">
        <f t="shared" si="4499"/>
        <v>20.29</v>
      </c>
      <c r="I368" s="34">
        <f t="shared" si="4500"/>
        <v>426.09</v>
      </c>
      <c r="J368" s="34">
        <f>(TRUNC(H368 * L14,2) + H368)</f>
        <v>24.41</v>
      </c>
      <c r="K368" s="34">
        <f t="shared" si="5051"/>
        <v>512.61</v>
      </c>
      <c r="L368" s="35">
        <f>K368 / L13</f>
        <v>1.7676206896551723E-4</v>
      </c>
      <c r="M368" s="36">
        <v>4.5999999999999996</v>
      </c>
      <c r="N368" s="37">
        <f t="shared" si="4502"/>
        <v>96.6</v>
      </c>
      <c r="O368" s="36"/>
      <c r="P368" s="38">
        <f t="shared" si="4503"/>
        <v>0</v>
      </c>
      <c r="Q368" s="38"/>
      <c r="R368" s="38">
        <f t="shared" si="4503"/>
        <v>0</v>
      </c>
      <c r="S368" s="38">
        <f t="shared" si="4504"/>
        <v>21</v>
      </c>
      <c r="T368" s="37">
        <f t="shared" ref="T368:V368" si="5103">TRUNC($M368 * S368,2)</f>
        <v>96.6</v>
      </c>
      <c r="U368" s="36"/>
      <c r="V368" s="38">
        <f t="shared" si="5103"/>
        <v>0</v>
      </c>
      <c r="W368" s="38"/>
      <c r="X368" s="38">
        <f t="shared" ref="X368" si="5104">TRUNC($M368 * W368,2)</f>
        <v>0</v>
      </c>
      <c r="Y368" s="38"/>
      <c r="Z368" s="38">
        <f t="shared" ref="Z368" si="5105">TRUNC($M368 * Y368,2)</f>
        <v>0</v>
      </c>
      <c r="AA368" s="38"/>
      <c r="AB368" s="38">
        <f t="shared" ref="AB368" si="5106">TRUNC($M368 * AA368,2)</f>
        <v>0</v>
      </c>
      <c r="AC368" s="38"/>
      <c r="AD368" s="38">
        <f t="shared" ref="AD368" si="5107">TRUNC($M368 * AC368,2)</f>
        <v>0</v>
      </c>
      <c r="AE368" s="38"/>
      <c r="AF368" s="38">
        <f t="shared" ref="AF368" si="5108">TRUNC($M368 * AE368,2)</f>
        <v>0</v>
      </c>
      <c r="AG368" s="38"/>
      <c r="AH368" s="38">
        <f t="shared" ref="AH368" si="5109">TRUNC($M368 * AG368,2)</f>
        <v>0</v>
      </c>
      <c r="AI368" s="38"/>
      <c r="AJ368" s="38">
        <f t="shared" ref="AJ368" si="5110">TRUNC($M368 * AI368,2)</f>
        <v>0</v>
      </c>
      <c r="AK368" s="38"/>
      <c r="AL368" s="38">
        <f t="shared" ref="AL368" si="5111">TRUNC($M368 * AK368,2)</f>
        <v>0</v>
      </c>
      <c r="AM368" s="38"/>
      <c r="AN368" s="38">
        <f t="shared" ref="AN368" si="5112">TRUNC($M368 * AM368,2)</f>
        <v>0</v>
      </c>
      <c r="AO368" s="38"/>
      <c r="AP368" s="38">
        <f t="shared" ref="AP368" si="5113">TRUNC($M368 * AO368,2)</f>
        <v>0</v>
      </c>
      <c r="AQ368" s="38"/>
      <c r="AR368" s="38">
        <f t="shared" ref="AR368" si="5114">TRUNC($M368 * AQ368,2)</f>
        <v>0</v>
      </c>
      <c r="AS368" s="38"/>
      <c r="AT368" s="38">
        <f t="shared" ref="AT368" si="5115">TRUNC($M368 * AS368,2)</f>
        <v>0</v>
      </c>
      <c r="AU368" s="38"/>
      <c r="AV368" s="38">
        <f t="shared" ref="AV368" si="5116">TRUNC($M368 * AU368,2)</f>
        <v>0</v>
      </c>
      <c r="AW368" s="38"/>
      <c r="AX368" s="37">
        <f t="shared" ref="AX368" si="5117">TRUNC($M368 * AW368,2)</f>
        <v>0</v>
      </c>
      <c r="AY368" s="36">
        <f t="shared" si="4520"/>
        <v>0</v>
      </c>
      <c r="AZ368" s="38">
        <f t="shared" ref="AZ368" si="5118">TRUNC($M368 * AY368,2)</f>
        <v>0</v>
      </c>
      <c r="BA368" s="38">
        <f t="shared" si="4522"/>
        <v>21</v>
      </c>
      <c r="BB368" s="37">
        <f t="shared" ref="BB368" si="5119">TRUNC($M368 * BA368,2)</f>
        <v>96.6</v>
      </c>
    </row>
    <row r="369" spans="1:54" ht="39" customHeight="1" x14ac:dyDescent="0.25">
      <c r="A369" s="31" t="s">
        <v>1181</v>
      </c>
      <c r="B369" s="31" t="s">
        <v>749</v>
      </c>
      <c r="C369" s="31" t="s">
        <v>34</v>
      </c>
      <c r="D369" s="31" t="s">
        <v>750</v>
      </c>
      <c r="E369" s="32" t="s">
        <v>36</v>
      </c>
      <c r="F369" s="33">
        <v>15</v>
      </c>
      <c r="G369" s="34">
        <v>48.24</v>
      </c>
      <c r="H369" s="34">
        <f t="shared" si="4499"/>
        <v>44.41</v>
      </c>
      <c r="I369" s="34">
        <f t="shared" si="4500"/>
        <v>666.15</v>
      </c>
      <c r="J369" s="34">
        <f>(TRUNC(H369 * L14,2) + H369)</f>
        <v>53.44</v>
      </c>
      <c r="K369" s="34">
        <f t="shared" si="5051"/>
        <v>801.6</v>
      </c>
      <c r="L369" s="35">
        <f>K369 / L13</f>
        <v>2.7641379310344824E-4</v>
      </c>
      <c r="M369" s="36">
        <v>44.63</v>
      </c>
      <c r="N369" s="37">
        <f t="shared" si="4502"/>
        <v>669.45</v>
      </c>
      <c r="O369" s="36"/>
      <c r="P369" s="38">
        <f t="shared" si="4503"/>
        <v>0</v>
      </c>
      <c r="Q369" s="38"/>
      <c r="R369" s="38">
        <f t="shared" si="4503"/>
        <v>0</v>
      </c>
      <c r="S369" s="38">
        <f t="shared" si="4504"/>
        <v>15</v>
      </c>
      <c r="T369" s="37">
        <f t="shared" ref="T369:V369" si="5120">TRUNC($M369 * S369,2)</f>
        <v>669.45</v>
      </c>
      <c r="U369" s="36"/>
      <c r="V369" s="38">
        <f t="shared" si="5120"/>
        <v>0</v>
      </c>
      <c r="W369" s="38"/>
      <c r="X369" s="38">
        <f t="shared" ref="X369" si="5121">TRUNC($M369 * W369,2)</f>
        <v>0</v>
      </c>
      <c r="Y369" s="38"/>
      <c r="Z369" s="38">
        <f t="shared" ref="Z369" si="5122">TRUNC($M369 * Y369,2)</f>
        <v>0</v>
      </c>
      <c r="AA369" s="38"/>
      <c r="AB369" s="38">
        <f t="shared" ref="AB369" si="5123">TRUNC($M369 * AA369,2)</f>
        <v>0</v>
      </c>
      <c r="AC369" s="38"/>
      <c r="AD369" s="38">
        <f t="shared" ref="AD369" si="5124">TRUNC($M369 * AC369,2)</f>
        <v>0</v>
      </c>
      <c r="AE369" s="38"/>
      <c r="AF369" s="38">
        <f t="shared" ref="AF369" si="5125">TRUNC($M369 * AE369,2)</f>
        <v>0</v>
      </c>
      <c r="AG369" s="38"/>
      <c r="AH369" s="38">
        <f t="shared" ref="AH369" si="5126">TRUNC($M369 * AG369,2)</f>
        <v>0</v>
      </c>
      <c r="AI369" s="38"/>
      <c r="AJ369" s="38">
        <f t="shared" ref="AJ369" si="5127">TRUNC($M369 * AI369,2)</f>
        <v>0</v>
      </c>
      <c r="AK369" s="38"/>
      <c r="AL369" s="38">
        <f t="shared" ref="AL369" si="5128">TRUNC($M369 * AK369,2)</f>
        <v>0</v>
      </c>
      <c r="AM369" s="38"/>
      <c r="AN369" s="38">
        <f t="shared" ref="AN369" si="5129">TRUNC($M369 * AM369,2)</f>
        <v>0</v>
      </c>
      <c r="AO369" s="38"/>
      <c r="AP369" s="38">
        <f t="shared" ref="AP369" si="5130">TRUNC($M369 * AO369,2)</f>
        <v>0</v>
      </c>
      <c r="AQ369" s="38"/>
      <c r="AR369" s="38">
        <f t="shared" ref="AR369" si="5131">TRUNC($M369 * AQ369,2)</f>
        <v>0</v>
      </c>
      <c r="AS369" s="38"/>
      <c r="AT369" s="38">
        <f t="shared" ref="AT369" si="5132">TRUNC($M369 * AS369,2)</f>
        <v>0</v>
      </c>
      <c r="AU369" s="38"/>
      <c r="AV369" s="38">
        <f t="shared" ref="AV369" si="5133">TRUNC($M369 * AU369,2)</f>
        <v>0</v>
      </c>
      <c r="AW369" s="38"/>
      <c r="AX369" s="37">
        <f t="shared" ref="AX369" si="5134">TRUNC($M369 * AW369,2)</f>
        <v>0</v>
      </c>
      <c r="AY369" s="36">
        <f t="shared" si="4520"/>
        <v>0</v>
      </c>
      <c r="AZ369" s="38">
        <f t="shared" ref="AZ369" si="5135">TRUNC($M369 * AY369,2)</f>
        <v>0</v>
      </c>
      <c r="BA369" s="38">
        <f t="shared" si="4522"/>
        <v>15</v>
      </c>
      <c r="BB369" s="37">
        <f t="shared" ref="BB369" si="5136">TRUNC($M369 * BA369,2)</f>
        <v>669.45</v>
      </c>
    </row>
    <row r="370" spans="1:54" ht="39" customHeight="1" x14ac:dyDescent="0.25">
      <c r="A370" s="31" t="s">
        <v>1182</v>
      </c>
      <c r="B370" s="31" t="s">
        <v>751</v>
      </c>
      <c r="C370" s="31" t="s">
        <v>34</v>
      </c>
      <c r="D370" s="31" t="s">
        <v>752</v>
      </c>
      <c r="E370" s="32" t="s">
        <v>36</v>
      </c>
      <c r="F370" s="33">
        <v>2</v>
      </c>
      <c r="G370" s="34">
        <v>95.33</v>
      </c>
      <c r="H370" s="34">
        <f t="shared" si="4499"/>
        <v>87.77</v>
      </c>
      <c r="I370" s="34">
        <f t="shared" si="4500"/>
        <v>175.54</v>
      </c>
      <c r="J370" s="34">
        <f>(TRUNC(H370 * L14,2) + H370)</f>
        <v>105.62</v>
      </c>
      <c r="K370" s="34">
        <f t="shared" si="5051"/>
        <v>211.24</v>
      </c>
      <c r="L370" s="35">
        <f>K370 / L13</f>
        <v>7.2841379310344814E-5</v>
      </c>
      <c r="M370" s="36">
        <v>87.42</v>
      </c>
      <c r="N370" s="37">
        <f t="shared" si="4502"/>
        <v>174.84</v>
      </c>
      <c r="O370" s="36"/>
      <c r="P370" s="38">
        <f t="shared" si="4503"/>
        <v>0</v>
      </c>
      <c r="Q370" s="38"/>
      <c r="R370" s="38">
        <f t="shared" si="4503"/>
        <v>0</v>
      </c>
      <c r="S370" s="38">
        <f t="shared" si="4504"/>
        <v>2</v>
      </c>
      <c r="T370" s="37">
        <f t="shared" ref="T370:V370" si="5137">TRUNC($M370 * S370,2)</f>
        <v>174.84</v>
      </c>
      <c r="U370" s="36"/>
      <c r="V370" s="38">
        <f t="shared" si="5137"/>
        <v>0</v>
      </c>
      <c r="W370" s="38"/>
      <c r="X370" s="38">
        <f t="shared" ref="X370" si="5138">TRUNC($M370 * W370,2)</f>
        <v>0</v>
      </c>
      <c r="Y370" s="38"/>
      <c r="Z370" s="38">
        <f t="shared" ref="Z370" si="5139">TRUNC($M370 * Y370,2)</f>
        <v>0</v>
      </c>
      <c r="AA370" s="38"/>
      <c r="AB370" s="38">
        <f t="shared" ref="AB370" si="5140">TRUNC($M370 * AA370,2)</f>
        <v>0</v>
      </c>
      <c r="AC370" s="38"/>
      <c r="AD370" s="38">
        <f t="shared" ref="AD370" si="5141">TRUNC($M370 * AC370,2)</f>
        <v>0</v>
      </c>
      <c r="AE370" s="38"/>
      <c r="AF370" s="38">
        <f t="shared" ref="AF370" si="5142">TRUNC($M370 * AE370,2)</f>
        <v>0</v>
      </c>
      <c r="AG370" s="38"/>
      <c r="AH370" s="38">
        <f t="shared" ref="AH370" si="5143">TRUNC($M370 * AG370,2)</f>
        <v>0</v>
      </c>
      <c r="AI370" s="38"/>
      <c r="AJ370" s="38">
        <f t="shared" ref="AJ370" si="5144">TRUNC($M370 * AI370,2)</f>
        <v>0</v>
      </c>
      <c r="AK370" s="38"/>
      <c r="AL370" s="38">
        <f t="shared" ref="AL370" si="5145">TRUNC($M370 * AK370,2)</f>
        <v>0</v>
      </c>
      <c r="AM370" s="38"/>
      <c r="AN370" s="38">
        <f t="shared" ref="AN370" si="5146">TRUNC($M370 * AM370,2)</f>
        <v>0</v>
      </c>
      <c r="AO370" s="38"/>
      <c r="AP370" s="38">
        <f t="shared" ref="AP370" si="5147">TRUNC($M370 * AO370,2)</f>
        <v>0</v>
      </c>
      <c r="AQ370" s="38"/>
      <c r="AR370" s="38">
        <f t="shared" ref="AR370" si="5148">TRUNC($M370 * AQ370,2)</f>
        <v>0</v>
      </c>
      <c r="AS370" s="38"/>
      <c r="AT370" s="38">
        <f t="shared" ref="AT370" si="5149">TRUNC($M370 * AS370,2)</f>
        <v>0</v>
      </c>
      <c r="AU370" s="38"/>
      <c r="AV370" s="38">
        <f t="shared" ref="AV370" si="5150">TRUNC($M370 * AU370,2)</f>
        <v>0</v>
      </c>
      <c r="AW370" s="38"/>
      <c r="AX370" s="37">
        <f t="shared" ref="AX370" si="5151">TRUNC($M370 * AW370,2)</f>
        <v>0</v>
      </c>
      <c r="AY370" s="36">
        <f t="shared" si="4520"/>
        <v>0</v>
      </c>
      <c r="AZ370" s="38">
        <f t="shared" ref="AZ370" si="5152">TRUNC($M370 * AY370,2)</f>
        <v>0</v>
      </c>
      <c r="BA370" s="38">
        <f t="shared" si="4522"/>
        <v>2</v>
      </c>
      <c r="BB370" s="37">
        <f t="shared" ref="BB370" si="5153">TRUNC($M370 * BA370,2)</f>
        <v>174.84</v>
      </c>
    </row>
    <row r="371" spans="1:54" ht="39" customHeight="1" x14ac:dyDescent="0.25">
      <c r="A371" s="31" t="s">
        <v>1183</v>
      </c>
      <c r="B371" s="31" t="s">
        <v>753</v>
      </c>
      <c r="C371" s="31" t="s">
        <v>34</v>
      </c>
      <c r="D371" s="31" t="s">
        <v>754</v>
      </c>
      <c r="E371" s="32" t="s">
        <v>36</v>
      </c>
      <c r="F371" s="33">
        <v>1</v>
      </c>
      <c r="G371" s="34">
        <v>66.959999999999994</v>
      </c>
      <c r="H371" s="34">
        <f t="shared" si="4499"/>
        <v>61.65</v>
      </c>
      <c r="I371" s="34">
        <f t="shared" si="4500"/>
        <v>61.65</v>
      </c>
      <c r="J371" s="34">
        <f>(TRUNC(H371 * L14,2) + H371)</f>
        <v>74.179999999999993</v>
      </c>
      <c r="K371" s="34">
        <f t="shared" si="5051"/>
        <v>74.180000000000007</v>
      </c>
      <c r="L371" s="35">
        <f>K371 / L13</f>
        <v>2.5579310344827585E-5</v>
      </c>
      <c r="M371" s="36">
        <v>61.61</v>
      </c>
      <c r="N371" s="37">
        <f t="shared" si="4502"/>
        <v>61.61</v>
      </c>
      <c r="O371" s="36"/>
      <c r="P371" s="38">
        <f t="shared" si="4503"/>
        <v>0</v>
      </c>
      <c r="Q371" s="38"/>
      <c r="R371" s="38">
        <f t="shared" si="4503"/>
        <v>0</v>
      </c>
      <c r="S371" s="38">
        <f t="shared" si="4504"/>
        <v>1</v>
      </c>
      <c r="T371" s="37">
        <f t="shared" ref="T371:V371" si="5154">TRUNC($M371 * S371,2)</f>
        <v>61.61</v>
      </c>
      <c r="U371" s="36"/>
      <c r="V371" s="38">
        <f t="shared" si="5154"/>
        <v>0</v>
      </c>
      <c r="W371" s="38"/>
      <c r="X371" s="38">
        <f t="shared" ref="X371" si="5155">TRUNC($M371 * W371,2)</f>
        <v>0</v>
      </c>
      <c r="Y371" s="38"/>
      <c r="Z371" s="38">
        <f t="shared" ref="Z371" si="5156">TRUNC($M371 * Y371,2)</f>
        <v>0</v>
      </c>
      <c r="AA371" s="38"/>
      <c r="AB371" s="38">
        <f t="shared" ref="AB371" si="5157">TRUNC($M371 * AA371,2)</f>
        <v>0</v>
      </c>
      <c r="AC371" s="38"/>
      <c r="AD371" s="38">
        <f t="shared" ref="AD371" si="5158">TRUNC($M371 * AC371,2)</f>
        <v>0</v>
      </c>
      <c r="AE371" s="38"/>
      <c r="AF371" s="38">
        <f t="shared" ref="AF371" si="5159">TRUNC($M371 * AE371,2)</f>
        <v>0</v>
      </c>
      <c r="AG371" s="38"/>
      <c r="AH371" s="38">
        <f t="shared" ref="AH371" si="5160">TRUNC($M371 * AG371,2)</f>
        <v>0</v>
      </c>
      <c r="AI371" s="38"/>
      <c r="AJ371" s="38">
        <f t="shared" ref="AJ371" si="5161">TRUNC($M371 * AI371,2)</f>
        <v>0</v>
      </c>
      <c r="AK371" s="38"/>
      <c r="AL371" s="38">
        <f t="shared" ref="AL371" si="5162">TRUNC($M371 * AK371,2)</f>
        <v>0</v>
      </c>
      <c r="AM371" s="38"/>
      <c r="AN371" s="38">
        <f t="shared" ref="AN371" si="5163">TRUNC($M371 * AM371,2)</f>
        <v>0</v>
      </c>
      <c r="AO371" s="38"/>
      <c r="AP371" s="38">
        <f t="shared" ref="AP371" si="5164">TRUNC($M371 * AO371,2)</f>
        <v>0</v>
      </c>
      <c r="AQ371" s="38"/>
      <c r="AR371" s="38">
        <f t="shared" ref="AR371" si="5165">TRUNC($M371 * AQ371,2)</f>
        <v>0</v>
      </c>
      <c r="AS371" s="38"/>
      <c r="AT371" s="38">
        <f t="shared" ref="AT371" si="5166">TRUNC($M371 * AS371,2)</f>
        <v>0</v>
      </c>
      <c r="AU371" s="38"/>
      <c r="AV371" s="38">
        <f t="shared" ref="AV371" si="5167">TRUNC($M371 * AU371,2)</f>
        <v>0</v>
      </c>
      <c r="AW371" s="38"/>
      <c r="AX371" s="37">
        <f t="shared" ref="AX371" si="5168">TRUNC($M371 * AW371,2)</f>
        <v>0</v>
      </c>
      <c r="AY371" s="36">
        <f t="shared" si="4520"/>
        <v>0</v>
      </c>
      <c r="AZ371" s="38">
        <f t="shared" ref="AZ371" si="5169">TRUNC($M371 * AY371,2)</f>
        <v>0</v>
      </c>
      <c r="BA371" s="38">
        <f t="shared" si="4522"/>
        <v>1</v>
      </c>
      <c r="BB371" s="37">
        <f t="shared" ref="BB371" si="5170">TRUNC($M371 * BA371,2)</f>
        <v>61.61</v>
      </c>
    </row>
    <row r="372" spans="1:54" ht="39" customHeight="1" x14ac:dyDescent="0.25">
      <c r="A372" s="31" t="s">
        <v>1184</v>
      </c>
      <c r="B372" s="31" t="s">
        <v>755</v>
      </c>
      <c r="C372" s="31" t="s">
        <v>34</v>
      </c>
      <c r="D372" s="31" t="s">
        <v>756</v>
      </c>
      <c r="E372" s="32" t="s">
        <v>36</v>
      </c>
      <c r="F372" s="33">
        <v>112</v>
      </c>
      <c r="G372" s="34">
        <v>55.04</v>
      </c>
      <c r="H372" s="34">
        <f t="shared" si="4499"/>
        <v>50.67</v>
      </c>
      <c r="I372" s="34">
        <f t="shared" si="4500"/>
        <v>5675.04</v>
      </c>
      <c r="J372" s="34">
        <f>(TRUNC(H372 * L14,2) + H372)</f>
        <v>60.97</v>
      </c>
      <c r="K372" s="34">
        <f t="shared" si="5051"/>
        <v>6828.64</v>
      </c>
      <c r="L372" s="35">
        <f>K372 / L13</f>
        <v>2.3547034482758618E-3</v>
      </c>
      <c r="M372" s="36">
        <v>51.28</v>
      </c>
      <c r="N372" s="37">
        <f t="shared" si="4502"/>
        <v>5743.36</v>
      </c>
      <c r="O372" s="36"/>
      <c r="P372" s="38">
        <f t="shared" si="4503"/>
        <v>0</v>
      </c>
      <c r="Q372" s="38"/>
      <c r="R372" s="38">
        <f t="shared" si="4503"/>
        <v>0</v>
      </c>
      <c r="S372" s="38">
        <f t="shared" si="4504"/>
        <v>112</v>
      </c>
      <c r="T372" s="37">
        <f t="shared" ref="T372:V372" si="5171">TRUNC($M372 * S372,2)</f>
        <v>5743.36</v>
      </c>
      <c r="U372" s="36"/>
      <c r="V372" s="38">
        <f t="shared" si="5171"/>
        <v>0</v>
      </c>
      <c r="W372" s="38"/>
      <c r="X372" s="38">
        <f t="shared" ref="X372" si="5172">TRUNC($M372 * W372,2)</f>
        <v>0</v>
      </c>
      <c r="Y372" s="38"/>
      <c r="Z372" s="38">
        <f t="shared" ref="Z372" si="5173">TRUNC($M372 * Y372,2)</f>
        <v>0</v>
      </c>
      <c r="AA372" s="38"/>
      <c r="AB372" s="38">
        <f t="shared" ref="AB372" si="5174">TRUNC($M372 * AA372,2)</f>
        <v>0</v>
      </c>
      <c r="AC372" s="38"/>
      <c r="AD372" s="38">
        <f t="shared" ref="AD372" si="5175">TRUNC($M372 * AC372,2)</f>
        <v>0</v>
      </c>
      <c r="AE372" s="38"/>
      <c r="AF372" s="38">
        <f t="shared" ref="AF372" si="5176">TRUNC($M372 * AE372,2)</f>
        <v>0</v>
      </c>
      <c r="AG372" s="38"/>
      <c r="AH372" s="38">
        <f t="shared" ref="AH372" si="5177">TRUNC($M372 * AG372,2)</f>
        <v>0</v>
      </c>
      <c r="AI372" s="38"/>
      <c r="AJ372" s="38">
        <f t="shared" ref="AJ372" si="5178">TRUNC($M372 * AI372,2)</f>
        <v>0</v>
      </c>
      <c r="AK372" s="38"/>
      <c r="AL372" s="38">
        <f t="shared" ref="AL372" si="5179">TRUNC($M372 * AK372,2)</f>
        <v>0</v>
      </c>
      <c r="AM372" s="38"/>
      <c r="AN372" s="38">
        <f t="shared" ref="AN372" si="5180">TRUNC($M372 * AM372,2)</f>
        <v>0</v>
      </c>
      <c r="AO372" s="38"/>
      <c r="AP372" s="38">
        <f t="shared" ref="AP372" si="5181">TRUNC($M372 * AO372,2)</f>
        <v>0</v>
      </c>
      <c r="AQ372" s="38"/>
      <c r="AR372" s="38">
        <f t="shared" ref="AR372" si="5182">TRUNC($M372 * AQ372,2)</f>
        <v>0</v>
      </c>
      <c r="AS372" s="38"/>
      <c r="AT372" s="38">
        <f t="shared" ref="AT372" si="5183">TRUNC($M372 * AS372,2)</f>
        <v>0</v>
      </c>
      <c r="AU372" s="38"/>
      <c r="AV372" s="38">
        <f t="shared" ref="AV372" si="5184">TRUNC($M372 * AU372,2)</f>
        <v>0</v>
      </c>
      <c r="AW372" s="38"/>
      <c r="AX372" s="37">
        <f t="shared" ref="AX372" si="5185">TRUNC($M372 * AW372,2)</f>
        <v>0</v>
      </c>
      <c r="AY372" s="36">
        <f t="shared" si="4520"/>
        <v>0</v>
      </c>
      <c r="AZ372" s="38">
        <f t="shared" ref="AZ372" si="5186">TRUNC($M372 * AY372,2)</f>
        <v>0</v>
      </c>
      <c r="BA372" s="38">
        <f t="shared" si="4522"/>
        <v>112</v>
      </c>
      <c r="BB372" s="37">
        <f t="shared" ref="BB372" si="5187">TRUNC($M372 * BA372,2)</f>
        <v>5743.36</v>
      </c>
    </row>
    <row r="373" spans="1:54" ht="39" customHeight="1" x14ac:dyDescent="0.25">
      <c r="A373" s="31" t="s">
        <v>1185</v>
      </c>
      <c r="B373" s="31" t="s">
        <v>757</v>
      </c>
      <c r="C373" s="31" t="s">
        <v>34</v>
      </c>
      <c r="D373" s="31" t="s">
        <v>758</v>
      </c>
      <c r="E373" s="32" t="s">
        <v>36</v>
      </c>
      <c r="F373" s="33">
        <v>6</v>
      </c>
      <c r="G373" s="34">
        <v>59.66</v>
      </c>
      <c r="H373" s="34">
        <f t="shared" si="4499"/>
        <v>54.93</v>
      </c>
      <c r="I373" s="34">
        <f t="shared" si="4500"/>
        <v>329.58</v>
      </c>
      <c r="J373" s="34">
        <f>(TRUNC(H373 * L14,2) + H373)</f>
        <v>66.099999999999994</v>
      </c>
      <c r="K373" s="34">
        <f t="shared" si="5051"/>
        <v>396.6</v>
      </c>
      <c r="L373" s="35">
        <f>K373 / L13</f>
        <v>1.3675862068965517E-4</v>
      </c>
      <c r="M373" s="36">
        <v>54.64</v>
      </c>
      <c r="N373" s="37">
        <f t="shared" si="4502"/>
        <v>327.84</v>
      </c>
      <c r="O373" s="36"/>
      <c r="P373" s="38">
        <f t="shared" si="4503"/>
        <v>0</v>
      </c>
      <c r="Q373" s="38"/>
      <c r="R373" s="38">
        <f t="shared" si="4503"/>
        <v>0</v>
      </c>
      <c r="S373" s="38">
        <f t="shared" si="4504"/>
        <v>6</v>
      </c>
      <c r="T373" s="37">
        <f t="shared" ref="T373:V373" si="5188">TRUNC($M373 * S373,2)</f>
        <v>327.84</v>
      </c>
      <c r="U373" s="36"/>
      <c r="V373" s="38">
        <f t="shared" si="5188"/>
        <v>0</v>
      </c>
      <c r="W373" s="38"/>
      <c r="X373" s="38">
        <f t="shared" ref="X373" si="5189">TRUNC($M373 * W373,2)</f>
        <v>0</v>
      </c>
      <c r="Y373" s="38"/>
      <c r="Z373" s="38">
        <f t="shared" ref="Z373" si="5190">TRUNC($M373 * Y373,2)</f>
        <v>0</v>
      </c>
      <c r="AA373" s="38"/>
      <c r="AB373" s="38">
        <f t="shared" ref="AB373" si="5191">TRUNC($M373 * AA373,2)</f>
        <v>0</v>
      </c>
      <c r="AC373" s="38"/>
      <c r="AD373" s="38">
        <f t="shared" ref="AD373" si="5192">TRUNC($M373 * AC373,2)</f>
        <v>0</v>
      </c>
      <c r="AE373" s="38"/>
      <c r="AF373" s="38">
        <f t="shared" ref="AF373" si="5193">TRUNC($M373 * AE373,2)</f>
        <v>0</v>
      </c>
      <c r="AG373" s="38"/>
      <c r="AH373" s="38">
        <f t="shared" ref="AH373" si="5194">TRUNC($M373 * AG373,2)</f>
        <v>0</v>
      </c>
      <c r="AI373" s="38"/>
      <c r="AJ373" s="38">
        <f t="shared" ref="AJ373" si="5195">TRUNC($M373 * AI373,2)</f>
        <v>0</v>
      </c>
      <c r="AK373" s="38"/>
      <c r="AL373" s="38">
        <f t="shared" ref="AL373" si="5196">TRUNC($M373 * AK373,2)</f>
        <v>0</v>
      </c>
      <c r="AM373" s="38"/>
      <c r="AN373" s="38">
        <f t="shared" ref="AN373" si="5197">TRUNC($M373 * AM373,2)</f>
        <v>0</v>
      </c>
      <c r="AO373" s="38"/>
      <c r="AP373" s="38">
        <f t="shared" ref="AP373" si="5198">TRUNC($M373 * AO373,2)</f>
        <v>0</v>
      </c>
      <c r="AQ373" s="38"/>
      <c r="AR373" s="38">
        <f t="shared" ref="AR373" si="5199">TRUNC($M373 * AQ373,2)</f>
        <v>0</v>
      </c>
      <c r="AS373" s="38"/>
      <c r="AT373" s="38">
        <f t="shared" ref="AT373" si="5200">TRUNC($M373 * AS373,2)</f>
        <v>0</v>
      </c>
      <c r="AU373" s="38"/>
      <c r="AV373" s="38">
        <f t="shared" ref="AV373" si="5201">TRUNC($M373 * AU373,2)</f>
        <v>0</v>
      </c>
      <c r="AW373" s="38"/>
      <c r="AX373" s="37">
        <f t="shared" ref="AX373" si="5202">TRUNC($M373 * AW373,2)</f>
        <v>0</v>
      </c>
      <c r="AY373" s="36">
        <f t="shared" si="4520"/>
        <v>0</v>
      </c>
      <c r="AZ373" s="38">
        <f t="shared" ref="AZ373" si="5203">TRUNC($M373 * AY373,2)</f>
        <v>0</v>
      </c>
      <c r="BA373" s="38">
        <f t="shared" si="4522"/>
        <v>6</v>
      </c>
      <c r="BB373" s="37">
        <f t="shared" ref="BB373" si="5204">TRUNC($M373 * BA373,2)</f>
        <v>327.84</v>
      </c>
    </row>
    <row r="374" spans="1:54" ht="39" customHeight="1" x14ac:dyDescent="0.25">
      <c r="A374" s="31" t="s">
        <v>1186</v>
      </c>
      <c r="B374" s="31" t="s">
        <v>759</v>
      </c>
      <c r="C374" s="31" t="s">
        <v>34</v>
      </c>
      <c r="D374" s="31" t="s">
        <v>760</v>
      </c>
      <c r="E374" s="32" t="s">
        <v>36</v>
      </c>
      <c r="F374" s="33">
        <v>46</v>
      </c>
      <c r="G374" s="34">
        <v>29.6</v>
      </c>
      <c r="H374" s="34">
        <f t="shared" si="4499"/>
        <v>27.25</v>
      </c>
      <c r="I374" s="34">
        <f t="shared" si="4500"/>
        <v>1253.5</v>
      </c>
      <c r="J374" s="34">
        <f>(TRUNC(H374 * L14,2) + H374)</f>
        <v>32.79</v>
      </c>
      <c r="K374" s="34">
        <f t="shared" si="5051"/>
        <v>1508.34</v>
      </c>
      <c r="L374" s="35">
        <f>K374 / L13</f>
        <v>5.2011724137931026E-4</v>
      </c>
      <c r="M374" s="36">
        <v>27.76</v>
      </c>
      <c r="N374" s="37">
        <f t="shared" si="4502"/>
        <v>1276.96</v>
      </c>
      <c r="O374" s="36"/>
      <c r="P374" s="38">
        <f t="shared" si="4503"/>
        <v>0</v>
      </c>
      <c r="Q374" s="38"/>
      <c r="R374" s="38">
        <f t="shared" si="4503"/>
        <v>0</v>
      </c>
      <c r="S374" s="38">
        <f t="shared" si="4504"/>
        <v>46</v>
      </c>
      <c r="T374" s="37">
        <f t="shared" ref="T374:V374" si="5205">TRUNC($M374 * S374,2)</f>
        <v>1276.96</v>
      </c>
      <c r="U374" s="36"/>
      <c r="V374" s="38">
        <f t="shared" si="5205"/>
        <v>0</v>
      </c>
      <c r="W374" s="38"/>
      <c r="X374" s="38">
        <f t="shared" ref="X374" si="5206">TRUNC($M374 * W374,2)</f>
        <v>0</v>
      </c>
      <c r="Y374" s="38"/>
      <c r="Z374" s="38">
        <f t="shared" ref="Z374" si="5207">TRUNC($M374 * Y374,2)</f>
        <v>0</v>
      </c>
      <c r="AA374" s="38"/>
      <c r="AB374" s="38">
        <f t="shared" ref="AB374" si="5208">TRUNC($M374 * AA374,2)</f>
        <v>0</v>
      </c>
      <c r="AC374" s="38"/>
      <c r="AD374" s="38">
        <f t="shared" ref="AD374" si="5209">TRUNC($M374 * AC374,2)</f>
        <v>0</v>
      </c>
      <c r="AE374" s="38"/>
      <c r="AF374" s="38">
        <f t="shared" ref="AF374" si="5210">TRUNC($M374 * AE374,2)</f>
        <v>0</v>
      </c>
      <c r="AG374" s="38"/>
      <c r="AH374" s="38">
        <f t="shared" ref="AH374" si="5211">TRUNC($M374 * AG374,2)</f>
        <v>0</v>
      </c>
      <c r="AI374" s="38"/>
      <c r="AJ374" s="38">
        <f t="shared" ref="AJ374" si="5212">TRUNC($M374 * AI374,2)</f>
        <v>0</v>
      </c>
      <c r="AK374" s="38"/>
      <c r="AL374" s="38">
        <f t="shared" ref="AL374" si="5213">TRUNC($M374 * AK374,2)</f>
        <v>0</v>
      </c>
      <c r="AM374" s="38"/>
      <c r="AN374" s="38">
        <f t="shared" ref="AN374" si="5214">TRUNC($M374 * AM374,2)</f>
        <v>0</v>
      </c>
      <c r="AO374" s="38"/>
      <c r="AP374" s="38">
        <f t="shared" ref="AP374" si="5215">TRUNC($M374 * AO374,2)</f>
        <v>0</v>
      </c>
      <c r="AQ374" s="38"/>
      <c r="AR374" s="38">
        <f t="shared" ref="AR374" si="5216">TRUNC($M374 * AQ374,2)</f>
        <v>0</v>
      </c>
      <c r="AS374" s="38"/>
      <c r="AT374" s="38">
        <f t="shared" ref="AT374" si="5217">TRUNC($M374 * AS374,2)</f>
        <v>0</v>
      </c>
      <c r="AU374" s="38"/>
      <c r="AV374" s="38">
        <f t="shared" ref="AV374" si="5218">TRUNC($M374 * AU374,2)</f>
        <v>0</v>
      </c>
      <c r="AW374" s="38"/>
      <c r="AX374" s="37">
        <f t="shared" ref="AX374" si="5219">TRUNC($M374 * AW374,2)</f>
        <v>0</v>
      </c>
      <c r="AY374" s="36">
        <f t="shared" si="4520"/>
        <v>0</v>
      </c>
      <c r="AZ374" s="38">
        <f t="shared" ref="AZ374" si="5220">TRUNC($M374 * AY374,2)</f>
        <v>0</v>
      </c>
      <c r="BA374" s="38">
        <f t="shared" si="4522"/>
        <v>46</v>
      </c>
      <c r="BB374" s="37">
        <f t="shared" ref="BB374" si="5221">TRUNC($M374 * BA374,2)</f>
        <v>1276.96</v>
      </c>
    </row>
    <row r="375" spans="1:54" ht="39" customHeight="1" x14ac:dyDescent="0.25">
      <c r="A375" s="31" t="s">
        <v>1187</v>
      </c>
      <c r="B375" s="31" t="s">
        <v>761</v>
      </c>
      <c r="C375" s="31" t="s">
        <v>34</v>
      </c>
      <c r="D375" s="31" t="s">
        <v>762</v>
      </c>
      <c r="E375" s="32" t="s">
        <v>36</v>
      </c>
      <c r="F375" s="33">
        <v>15</v>
      </c>
      <c r="G375" s="34">
        <v>31.91</v>
      </c>
      <c r="H375" s="34">
        <f t="shared" si="4499"/>
        <v>29.38</v>
      </c>
      <c r="I375" s="34">
        <f t="shared" si="4500"/>
        <v>440.7</v>
      </c>
      <c r="J375" s="34">
        <f>(TRUNC(H375 * L14,2) + H375)</f>
        <v>35.35</v>
      </c>
      <c r="K375" s="34">
        <f t="shared" si="5051"/>
        <v>530.25</v>
      </c>
      <c r="L375" s="35">
        <f>K375 / L13</f>
        <v>1.8284482758620688E-4</v>
      </c>
      <c r="M375" s="36">
        <v>29.43</v>
      </c>
      <c r="N375" s="37">
        <f t="shared" si="4502"/>
        <v>441.45</v>
      </c>
      <c r="O375" s="36"/>
      <c r="P375" s="38">
        <f t="shared" si="4503"/>
        <v>0</v>
      </c>
      <c r="Q375" s="38"/>
      <c r="R375" s="38">
        <f t="shared" si="4503"/>
        <v>0</v>
      </c>
      <c r="S375" s="38">
        <f t="shared" si="4504"/>
        <v>15</v>
      </c>
      <c r="T375" s="37">
        <f t="shared" ref="T375:V375" si="5222">TRUNC($M375 * S375,2)</f>
        <v>441.45</v>
      </c>
      <c r="U375" s="36"/>
      <c r="V375" s="38">
        <f t="shared" si="5222"/>
        <v>0</v>
      </c>
      <c r="W375" s="38"/>
      <c r="X375" s="38">
        <f t="shared" ref="X375" si="5223">TRUNC($M375 * W375,2)</f>
        <v>0</v>
      </c>
      <c r="Y375" s="38"/>
      <c r="Z375" s="38">
        <f t="shared" ref="Z375" si="5224">TRUNC($M375 * Y375,2)</f>
        <v>0</v>
      </c>
      <c r="AA375" s="38"/>
      <c r="AB375" s="38">
        <f t="shared" ref="AB375" si="5225">TRUNC($M375 * AA375,2)</f>
        <v>0</v>
      </c>
      <c r="AC375" s="38"/>
      <c r="AD375" s="38">
        <f t="shared" ref="AD375" si="5226">TRUNC($M375 * AC375,2)</f>
        <v>0</v>
      </c>
      <c r="AE375" s="38"/>
      <c r="AF375" s="38">
        <f t="shared" ref="AF375" si="5227">TRUNC($M375 * AE375,2)</f>
        <v>0</v>
      </c>
      <c r="AG375" s="38"/>
      <c r="AH375" s="38">
        <f t="shared" ref="AH375" si="5228">TRUNC($M375 * AG375,2)</f>
        <v>0</v>
      </c>
      <c r="AI375" s="38"/>
      <c r="AJ375" s="38">
        <f t="shared" ref="AJ375" si="5229">TRUNC($M375 * AI375,2)</f>
        <v>0</v>
      </c>
      <c r="AK375" s="38"/>
      <c r="AL375" s="38">
        <f t="shared" ref="AL375" si="5230">TRUNC($M375 * AK375,2)</f>
        <v>0</v>
      </c>
      <c r="AM375" s="38"/>
      <c r="AN375" s="38">
        <f t="shared" ref="AN375" si="5231">TRUNC($M375 * AM375,2)</f>
        <v>0</v>
      </c>
      <c r="AO375" s="38"/>
      <c r="AP375" s="38">
        <f t="shared" ref="AP375" si="5232">TRUNC($M375 * AO375,2)</f>
        <v>0</v>
      </c>
      <c r="AQ375" s="38"/>
      <c r="AR375" s="38">
        <f t="shared" ref="AR375" si="5233">TRUNC($M375 * AQ375,2)</f>
        <v>0</v>
      </c>
      <c r="AS375" s="38"/>
      <c r="AT375" s="38">
        <f t="shared" ref="AT375" si="5234">TRUNC($M375 * AS375,2)</f>
        <v>0</v>
      </c>
      <c r="AU375" s="38"/>
      <c r="AV375" s="38">
        <f t="shared" ref="AV375" si="5235">TRUNC($M375 * AU375,2)</f>
        <v>0</v>
      </c>
      <c r="AW375" s="38"/>
      <c r="AX375" s="37">
        <f t="shared" ref="AX375" si="5236">TRUNC($M375 * AW375,2)</f>
        <v>0</v>
      </c>
      <c r="AY375" s="36">
        <f t="shared" si="4520"/>
        <v>0</v>
      </c>
      <c r="AZ375" s="38">
        <f t="shared" ref="AZ375" si="5237">TRUNC($M375 * AY375,2)</f>
        <v>0</v>
      </c>
      <c r="BA375" s="38">
        <f t="shared" si="4522"/>
        <v>15</v>
      </c>
      <c r="BB375" s="37">
        <f t="shared" ref="BB375" si="5238">TRUNC($M375 * BA375,2)</f>
        <v>441.45</v>
      </c>
    </row>
    <row r="376" spans="1:54" ht="24" customHeight="1" x14ac:dyDescent="0.25">
      <c r="A376" s="31" t="s">
        <v>1188</v>
      </c>
      <c r="B376" s="31" t="s">
        <v>763</v>
      </c>
      <c r="C376" s="31" t="s">
        <v>245</v>
      </c>
      <c r="D376" s="31" t="s">
        <v>764</v>
      </c>
      <c r="E376" s="32" t="s">
        <v>36</v>
      </c>
      <c r="F376" s="33">
        <v>1</v>
      </c>
      <c r="G376" s="34">
        <v>202.56</v>
      </c>
      <c r="H376" s="34">
        <f t="shared" si="4499"/>
        <v>186.5</v>
      </c>
      <c r="I376" s="34">
        <f t="shared" si="4500"/>
        <v>186.5</v>
      </c>
      <c r="J376" s="34">
        <f>(TRUNC(H376 * L14,2) + H376)</f>
        <v>224.43</v>
      </c>
      <c r="K376" s="34">
        <f t="shared" si="5051"/>
        <v>224.43</v>
      </c>
      <c r="L376" s="35">
        <f>K376 / L13</f>
        <v>7.7389655172413786E-5</v>
      </c>
      <c r="M376" s="36">
        <v>42.31</v>
      </c>
      <c r="N376" s="37">
        <f t="shared" si="4502"/>
        <v>42.31</v>
      </c>
      <c r="O376" s="36"/>
      <c r="P376" s="38">
        <f t="shared" si="4503"/>
        <v>0</v>
      </c>
      <c r="Q376" s="38"/>
      <c r="R376" s="38">
        <f t="shared" si="4503"/>
        <v>0</v>
      </c>
      <c r="S376" s="38">
        <f t="shared" si="4504"/>
        <v>1</v>
      </c>
      <c r="T376" s="37">
        <f t="shared" ref="T376:V376" si="5239">TRUNC($M376 * S376,2)</f>
        <v>42.31</v>
      </c>
      <c r="U376" s="36"/>
      <c r="V376" s="38">
        <f t="shared" si="5239"/>
        <v>0</v>
      </c>
      <c r="W376" s="38"/>
      <c r="X376" s="38">
        <f t="shared" ref="X376" si="5240">TRUNC($M376 * W376,2)</f>
        <v>0</v>
      </c>
      <c r="Y376" s="38"/>
      <c r="Z376" s="38">
        <f t="shared" ref="Z376" si="5241">TRUNC($M376 * Y376,2)</f>
        <v>0</v>
      </c>
      <c r="AA376" s="38"/>
      <c r="AB376" s="38">
        <f t="shared" ref="AB376" si="5242">TRUNC($M376 * AA376,2)</f>
        <v>0</v>
      </c>
      <c r="AC376" s="38"/>
      <c r="AD376" s="38">
        <f t="shared" ref="AD376" si="5243">TRUNC($M376 * AC376,2)</f>
        <v>0</v>
      </c>
      <c r="AE376" s="38"/>
      <c r="AF376" s="38">
        <f t="shared" ref="AF376" si="5244">TRUNC($M376 * AE376,2)</f>
        <v>0</v>
      </c>
      <c r="AG376" s="38"/>
      <c r="AH376" s="38">
        <f t="shared" ref="AH376" si="5245">TRUNC($M376 * AG376,2)</f>
        <v>0</v>
      </c>
      <c r="AI376" s="38"/>
      <c r="AJ376" s="38">
        <f t="shared" ref="AJ376" si="5246">TRUNC($M376 * AI376,2)</f>
        <v>0</v>
      </c>
      <c r="AK376" s="38"/>
      <c r="AL376" s="38">
        <f t="shared" ref="AL376" si="5247">TRUNC($M376 * AK376,2)</f>
        <v>0</v>
      </c>
      <c r="AM376" s="38"/>
      <c r="AN376" s="38">
        <f t="shared" ref="AN376" si="5248">TRUNC($M376 * AM376,2)</f>
        <v>0</v>
      </c>
      <c r="AO376" s="38"/>
      <c r="AP376" s="38">
        <f t="shared" ref="AP376" si="5249">TRUNC($M376 * AO376,2)</f>
        <v>0</v>
      </c>
      <c r="AQ376" s="38"/>
      <c r="AR376" s="38">
        <f t="shared" ref="AR376" si="5250">TRUNC($M376 * AQ376,2)</f>
        <v>0</v>
      </c>
      <c r="AS376" s="38"/>
      <c r="AT376" s="38">
        <f t="shared" ref="AT376" si="5251">TRUNC($M376 * AS376,2)</f>
        <v>0</v>
      </c>
      <c r="AU376" s="38"/>
      <c r="AV376" s="38">
        <f t="shared" ref="AV376" si="5252">TRUNC($M376 * AU376,2)</f>
        <v>0</v>
      </c>
      <c r="AW376" s="38"/>
      <c r="AX376" s="37">
        <f t="shared" ref="AX376" si="5253">TRUNC($M376 * AW376,2)</f>
        <v>0</v>
      </c>
      <c r="AY376" s="36">
        <f t="shared" si="4520"/>
        <v>0</v>
      </c>
      <c r="AZ376" s="38">
        <f t="shared" ref="AZ376" si="5254">TRUNC($M376 * AY376,2)</f>
        <v>0</v>
      </c>
      <c r="BA376" s="38">
        <f t="shared" si="4522"/>
        <v>1</v>
      </c>
      <c r="BB376" s="37">
        <f t="shared" ref="BB376" si="5255">TRUNC($M376 * BA376,2)</f>
        <v>42.31</v>
      </c>
    </row>
    <row r="377" spans="1:54" ht="39" customHeight="1" x14ac:dyDescent="0.25">
      <c r="A377" s="31" t="s">
        <v>1189</v>
      </c>
      <c r="B377" s="31" t="s">
        <v>765</v>
      </c>
      <c r="C377" s="31" t="s">
        <v>24</v>
      </c>
      <c r="D377" s="31" t="s">
        <v>766</v>
      </c>
      <c r="E377" s="32" t="s">
        <v>171</v>
      </c>
      <c r="F377" s="33">
        <v>2</v>
      </c>
      <c r="G377" s="34">
        <v>299.52999999999997</v>
      </c>
      <c r="H377" s="34">
        <f t="shared" si="4499"/>
        <v>275.77999999999997</v>
      </c>
      <c r="I377" s="34">
        <f t="shared" si="4500"/>
        <v>551.55999999999995</v>
      </c>
      <c r="J377" s="34">
        <f>(TRUNC(H377 * L14,2) + H377)</f>
        <v>331.87</v>
      </c>
      <c r="K377" s="34">
        <f t="shared" si="5051"/>
        <v>663.74</v>
      </c>
      <c r="L377" s="35">
        <f>K377 / L13</f>
        <v>2.288758620689655E-4</v>
      </c>
      <c r="M377" s="36">
        <v>232.41</v>
      </c>
      <c r="N377" s="37">
        <f t="shared" si="4502"/>
        <v>464.82</v>
      </c>
      <c r="O377" s="36"/>
      <c r="P377" s="38">
        <f t="shared" si="4503"/>
        <v>0</v>
      </c>
      <c r="Q377" s="38"/>
      <c r="R377" s="38">
        <f t="shared" si="4503"/>
        <v>0</v>
      </c>
      <c r="S377" s="38">
        <f t="shared" si="4504"/>
        <v>2</v>
      </c>
      <c r="T377" s="37">
        <f t="shared" ref="T377:V377" si="5256">TRUNC($M377 * S377,2)</f>
        <v>464.82</v>
      </c>
      <c r="U377" s="36"/>
      <c r="V377" s="38">
        <f t="shared" si="5256"/>
        <v>0</v>
      </c>
      <c r="W377" s="38"/>
      <c r="X377" s="38">
        <f t="shared" ref="X377" si="5257">TRUNC($M377 * W377,2)</f>
        <v>0</v>
      </c>
      <c r="Y377" s="38"/>
      <c r="Z377" s="38">
        <f t="shared" ref="Z377" si="5258">TRUNC($M377 * Y377,2)</f>
        <v>0</v>
      </c>
      <c r="AA377" s="38"/>
      <c r="AB377" s="38">
        <f t="shared" ref="AB377" si="5259">TRUNC($M377 * AA377,2)</f>
        <v>0</v>
      </c>
      <c r="AC377" s="38"/>
      <c r="AD377" s="38">
        <f t="shared" ref="AD377" si="5260">TRUNC($M377 * AC377,2)</f>
        <v>0</v>
      </c>
      <c r="AE377" s="38"/>
      <c r="AF377" s="38">
        <f t="shared" ref="AF377" si="5261">TRUNC($M377 * AE377,2)</f>
        <v>0</v>
      </c>
      <c r="AG377" s="38"/>
      <c r="AH377" s="38">
        <f t="shared" ref="AH377" si="5262">TRUNC($M377 * AG377,2)</f>
        <v>0</v>
      </c>
      <c r="AI377" s="38"/>
      <c r="AJ377" s="38">
        <f t="shared" ref="AJ377" si="5263">TRUNC($M377 * AI377,2)</f>
        <v>0</v>
      </c>
      <c r="AK377" s="38"/>
      <c r="AL377" s="38">
        <f t="shared" ref="AL377" si="5264">TRUNC($M377 * AK377,2)</f>
        <v>0</v>
      </c>
      <c r="AM377" s="38"/>
      <c r="AN377" s="38">
        <f t="shared" ref="AN377" si="5265">TRUNC($M377 * AM377,2)</f>
        <v>0</v>
      </c>
      <c r="AO377" s="38"/>
      <c r="AP377" s="38">
        <f t="shared" ref="AP377" si="5266">TRUNC($M377 * AO377,2)</f>
        <v>0</v>
      </c>
      <c r="AQ377" s="38"/>
      <c r="AR377" s="38">
        <f t="shared" ref="AR377" si="5267">TRUNC($M377 * AQ377,2)</f>
        <v>0</v>
      </c>
      <c r="AS377" s="38"/>
      <c r="AT377" s="38">
        <f t="shared" ref="AT377" si="5268">TRUNC($M377 * AS377,2)</f>
        <v>0</v>
      </c>
      <c r="AU377" s="38"/>
      <c r="AV377" s="38">
        <f t="shared" ref="AV377" si="5269">TRUNC($M377 * AU377,2)</f>
        <v>0</v>
      </c>
      <c r="AW377" s="38"/>
      <c r="AX377" s="37">
        <f t="shared" ref="AX377" si="5270">TRUNC($M377 * AW377,2)</f>
        <v>0</v>
      </c>
      <c r="AY377" s="36">
        <f t="shared" si="4520"/>
        <v>0</v>
      </c>
      <c r="AZ377" s="38">
        <f t="shared" ref="AZ377" si="5271">TRUNC($M377 * AY377,2)</f>
        <v>0</v>
      </c>
      <c r="BA377" s="38">
        <f t="shared" si="4522"/>
        <v>2</v>
      </c>
      <c r="BB377" s="37">
        <f t="shared" ref="BB377" si="5272">TRUNC($M377 * BA377,2)</f>
        <v>464.82</v>
      </c>
    </row>
    <row r="378" spans="1:54" ht="39" customHeight="1" x14ac:dyDescent="0.25">
      <c r="A378" s="31" t="s">
        <v>1190</v>
      </c>
      <c r="B378" s="31" t="s">
        <v>767</v>
      </c>
      <c r="C378" s="31" t="s">
        <v>34</v>
      </c>
      <c r="D378" s="31" t="s">
        <v>768</v>
      </c>
      <c r="E378" s="32" t="s">
        <v>36</v>
      </c>
      <c r="F378" s="33">
        <v>2</v>
      </c>
      <c r="G378" s="34">
        <v>161.22999999999999</v>
      </c>
      <c r="H378" s="34">
        <f t="shared" si="4499"/>
        <v>148.44999999999999</v>
      </c>
      <c r="I378" s="34">
        <f t="shared" si="4500"/>
        <v>296.89999999999998</v>
      </c>
      <c r="J378" s="34">
        <f>(TRUNC(H378 * L14,2) + H378)</f>
        <v>178.64</v>
      </c>
      <c r="K378" s="34">
        <f t="shared" si="5051"/>
        <v>357.28</v>
      </c>
      <c r="L378" s="35">
        <f>K378 / L13</f>
        <v>1.2319999999999996E-4</v>
      </c>
      <c r="M378" s="36">
        <v>131.86000000000001</v>
      </c>
      <c r="N378" s="37">
        <f t="shared" si="4502"/>
        <v>263.72000000000003</v>
      </c>
      <c r="O378" s="36"/>
      <c r="P378" s="38">
        <f t="shared" si="4503"/>
        <v>0</v>
      </c>
      <c r="Q378" s="38"/>
      <c r="R378" s="38">
        <f t="shared" si="4503"/>
        <v>0</v>
      </c>
      <c r="S378" s="38">
        <f t="shared" si="4504"/>
        <v>2</v>
      </c>
      <c r="T378" s="37">
        <f t="shared" ref="T378:V378" si="5273">TRUNC($M378 * S378,2)</f>
        <v>263.72000000000003</v>
      </c>
      <c r="U378" s="36"/>
      <c r="V378" s="38">
        <f t="shared" si="5273"/>
        <v>0</v>
      </c>
      <c r="W378" s="38"/>
      <c r="X378" s="38">
        <f t="shared" ref="X378" si="5274">TRUNC($M378 * W378,2)</f>
        <v>0</v>
      </c>
      <c r="Y378" s="38"/>
      <c r="Z378" s="38">
        <f t="shared" ref="Z378" si="5275">TRUNC($M378 * Y378,2)</f>
        <v>0</v>
      </c>
      <c r="AA378" s="38"/>
      <c r="AB378" s="38">
        <f t="shared" ref="AB378" si="5276">TRUNC($M378 * AA378,2)</f>
        <v>0</v>
      </c>
      <c r="AC378" s="38"/>
      <c r="AD378" s="38">
        <f t="shared" ref="AD378" si="5277">TRUNC($M378 * AC378,2)</f>
        <v>0</v>
      </c>
      <c r="AE378" s="38"/>
      <c r="AF378" s="38">
        <f t="shared" ref="AF378" si="5278">TRUNC($M378 * AE378,2)</f>
        <v>0</v>
      </c>
      <c r="AG378" s="38"/>
      <c r="AH378" s="38">
        <f t="shared" ref="AH378" si="5279">TRUNC($M378 * AG378,2)</f>
        <v>0</v>
      </c>
      <c r="AI378" s="38"/>
      <c r="AJ378" s="38">
        <f t="shared" ref="AJ378" si="5280">TRUNC($M378 * AI378,2)</f>
        <v>0</v>
      </c>
      <c r="AK378" s="38"/>
      <c r="AL378" s="38">
        <f t="shared" ref="AL378" si="5281">TRUNC($M378 * AK378,2)</f>
        <v>0</v>
      </c>
      <c r="AM378" s="38"/>
      <c r="AN378" s="38">
        <f t="shared" ref="AN378" si="5282">TRUNC($M378 * AM378,2)</f>
        <v>0</v>
      </c>
      <c r="AO378" s="38"/>
      <c r="AP378" s="38">
        <f t="shared" ref="AP378" si="5283">TRUNC($M378 * AO378,2)</f>
        <v>0</v>
      </c>
      <c r="AQ378" s="38"/>
      <c r="AR378" s="38">
        <f t="shared" ref="AR378" si="5284">TRUNC($M378 * AQ378,2)</f>
        <v>0</v>
      </c>
      <c r="AS378" s="38"/>
      <c r="AT378" s="38">
        <f t="shared" ref="AT378" si="5285">TRUNC($M378 * AS378,2)</f>
        <v>0</v>
      </c>
      <c r="AU378" s="38"/>
      <c r="AV378" s="38">
        <f t="shared" ref="AV378" si="5286">TRUNC($M378 * AU378,2)</f>
        <v>0</v>
      </c>
      <c r="AW378" s="38"/>
      <c r="AX378" s="37">
        <f t="shared" ref="AX378" si="5287">TRUNC($M378 * AW378,2)</f>
        <v>0</v>
      </c>
      <c r="AY378" s="36">
        <f t="shared" si="4520"/>
        <v>0</v>
      </c>
      <c r="AZ378" s="38">
        <f t="shared" ref="AZ378" si="5288">TRUNC($M378 * AY378,2)</f>
        <v>0</v>
      </c>
      <c r="BA378" s="38">
        <f t="shared" si="4522"/>
        <v>2</v>
      </c>
      <c r="BB378" s="37">
        <f t="shared" ref="BB378" si="5289">TRUNC($M378 * BA378,2)</f>
        <v>263.72000000000003</v>
      </c>
    </row>
    <row r="379" spans="1:54" ht="26.1" customHeight="1" x14ac:dyDescent="0.25">
      <c r="A379" s="31" t="s">
        <v>1191</v>
      </c>
      <c r="B379" s="31" t="s">
        <v>769</v>
      </c>
      <c r="C379" s="31" t="s">
        <v>34</v>
      </c>
      <c r="D379" s="31" t="s">
        <v>770</v>
      </c>
      <c r="E379" s="32" t="s">
        <v>36</v>
      </c>
      <c r="F379" s="33">
        <v>11</v>
      </c>
      <c r="G379" s="34">
        <v>11.53</v>
      </c>
      <c r="H379" s="34">
        <f t="shared" si="4499"/>
        <v>10.61</v>
      </c>
      <c r="I379" s="34">
        <f t="shared" si="4500"/>
        <v>116.71</v>
      </c>
      <c r="J379" s="34">
        <f>(TRUNC(H379 * L14,2) + H379)</f>
        <v>12.76</v>
      </c>
      <c r="K379" s="34">
        <f t="shared" si="5051"/>
        <v>140.36000000000001</v>
      </c>
      <c r="L379" s="35">
        <f>K379 / L13</f>
        <v>4.8399999999999997E-5</v>
      </c>
      <c r="M379" s="36">
        <v>8.94</v>
      </c>
      <c r="N379" s="37">
        <f t="shared" si="4502"/>
        <v>98.34</v>
      </c>
      <c r="O379" s="36"/>
      <c r="P379" s="38">
        <f t="shared" si="4503"/>
        <v>0</v>
      </c>
      <c r="Q379" s="38"/>
      <c r="R379" s="38">
        <f t="shared" si="4503"/>
        <v>0</v>
      </c>
      <c r="S379" s="38">
        <f t="shared" si="4504"/>
        <v>11</v>
      </c>
      <c r="T379" s="37">
        <f t="shared" ref="T379:V379" si="5290">TRUNC($M379 * S379,2)</f>
        <v>98.34</v>
      </c>
      <c r="U379" s="36"/>
      <c r="V379" s="38">
        <f t="shared" si="5290"/>
        <v>0</v>
      </c>
      <c r="W379" s="38"/>
      <c r="X379" s="38">
        <f t="shared" ref="X379" si="5291">TRUNC($M379 * W379,2)</f>
        <v>0</v>
      </c>
      <c r="Y379" s="38"/>
      <c r="Z379" s="38">
        <f t="shared" ref="Z379" si="5292">TRUNC($M379 * Y379,2)</f>
        <v>0</v>
      </c>
      <c r="AA379" s="38"/>
      <c r="AB379" s="38">
        <f t="shared" ref="AB379" si="5293">TRUNC($M379 * AA379,2)</f>
        <v>0</v>
      </c>
      <c r="AC379" s="38"/>
      <c r="AD379" s="38">
        <f t="shared" ref="AD379" si="5294">TRUNC($M379 * AC379,2)</f>
        <v>0</v>
      </c>
      <c r="AE379" s="38"/>
      <c r="AF379" s="38">
        <f t="shared" ref="AF379" si="5295">TRUNC($M379 * AE379,2)</f>
        <v>0</v>
      </c>
      <c r="AG379" s="38"/>
      <c r="AH379" s="38">
        <f t="shared" ref="AH379" si="5296">TRUNC($M379 * AG379,2)</f>
        <v>0</v>
      </c>
      <c r="AI379" s="38"/>
      <c r="AJ379" s="38">
        <f t="shared" ref="AJ379" si="5297">TRUNC($M379 * AI379,2)</f>
        <v>0</v>
      </c>
      <c r="AK379" s="38"/>
      <c r="AL379" s="38">
        <f t="shared" ref="AL379" si="5298">TRUNC($M379 * AK379,2)</f>
        <v>0</v>
      </c>
      <c r="AM379" s="38"/>
      <c r="AN379" s="38">
        <f t="shared" ref="AN379" si="5299">TRUNC($M379 * AM379,2)</f>
        <v>0</v>
      </c>
      <c r="AO379" s="38"/>
      <c r="AP379" s="38">
        <f t="shared" ref="AP379" si="5300">TRUNC($M379 * AO379,2)</f>
        <v>0</v>
      </c>
      <c r="AQ379" s="38"/>
      <c r="AR379" s="38">
        <f t="shared" ref="AR379" si="5301">TRUNC($M379 * AQ379,2)</f>
        <v>0</v>
      </c>
      <c r="AS379" s="38"/>
      <c r="AT379" s="38">
        <f t="shared" ref="AT379" si="5302">TRUNC($M379 * AS379,2)</f>
        <v>0</v>
      </c>
      <c r="AU379" s="38"/>
      <c r="AV379" s="38">
        <f t="shared" ref="AV379" si="5303">TRUNC($M379 * AU379,2)</f>
        <v>0</v>
      </c>
      <c r="AW379" s="38"/>
      <c r="AX379" s="37">
        <f t="shared" ref="AX379" si="5304">TRUNC($M379 * AW379,2)</f>
        <v>0</v>
      </c>
      <c r="AY379" s="36">
        <f t="shared" si="4520"/>
        <v>0</v>
      </c>
      <c r="AZ379" s="38">
        <f t="shared" ref="AZ379" si="5305">TRUNC($M379 * AY379,2)</f>
        <v>0</v>
      </c>
      <c r="BA379" s="38">
        <f t="shared" si="4522"/>
        <v>11</v>
      </c>
      <c r="BB379" s="37">
        <f t="shared" ref="BB379" si="5306">TRUNC($M379 * BA379,2)</f>
        <v>98.34</v>
      </c>
    </row>
    <row r="380" spans="1:54" ht="26.1" customHeight="1" x14ac:dyDescent="0.25">
      <c r="A380" s="31" t="s">
        <v>1192</v>
      </c>
      <c r="B380" s="31" t="s">
        <v>771</v>
      </c>
      <c r="C380" s="31" t="s">
        <v>34</v>
      </c>
      <c r="D380" s="31" t="s">
        <v>772</v>
      </c>
      <c r="E380" s="32" t="s">
        <v>36</v>
      </c>
      <c r="F380" s="33">
        <v>34</v>
      </c>
      <c r="G380" s="34">
        <v>12.37</v>
      </c>
      <c r="H380" s="34">
        <f t="shared" si="4499"/>
        <v>11.38</v>
      </c>
      <c r="I380" s="34">
        <f t="shared" si="4500"/>
        <v>386.92</v>
      </c>
      <c r="J380" s="34">
        <f>(TRUNC(H380 * L14,2) + H380)</f>
        <v>13.690000000000001</v>
      </c>
      <c r="K380" s="34">
        <f t="shared" si="5051"/>
        <v>465.46</v>
      </c>
      <c r="L380" s="35">
        <f>K380 / L13</f>
        <v>1.6050344827586203E-4</v>
      </c>
      <c r="M380" s="36">
        <v>9.83</v>
      </c>
      <c r="N380" s="37">
        <f t="shared" si="4502"/>
        <v>334.22</v>
      </c>
      <c r="O380" s="36"/>
      <c r="P380" s="38">
        <f t="shared" si="4503"/>
        <v>0</v>
      </c>
      <c r="Q380" s="38"/>
      <c r="R380" s="38">
        <f t="shared" si="4503"/>
        <v>0</v>
      </c>
      <c r="S380" s="38">
        <f t="shared" si="4504"/>
        <v>34</v>
      </c>
      <c r="T380" s="37">
        <f t="shared" ref="T380:V380" si="5307">TRUNC($M380 * S380,2)</f>
        <v>334.22</v>
      </c>
      <c r="U380" s="36"/>
      <c r="V380" s="38">
        <f t="shared" si="5307"/>
        <v>0</v>
      </c>
      <c r="W380" s="38"/>
      <c r="X380" s="38">
        <f t="shared" ref="X380" si="5308">TRUNC($M380 * W380,2)</f>
        <v>0</v>
      </c>
      <c r="Y380" s="38"/>
      <c r="Z380" s="38">
        <f t="shared" ref="Z380" si="5309">TRUNC($M380 * Y380,2)</f>
        <v>0</v>
      </c>
      <c r="AA380" s="38"/>
      <c r="AB380" s="38">
        <f t="shared" ref="AB380" si="5310">TRUNC($M380 * AA380,2)</f>
        <v>0</v>
      </c>
      <c r="AC380" s="38"/>
      <c r="AD380" s="38">
        <f t="shared" ref="AD380" si="5311">TRUNC($M380 * AC380,2)</f>
        <v>0</v>
      </c>
      <c r="AE380" s="38"/>
      <c r="AF380" s="38">
        <f t="shared" ref="AF380" si="5312">TRUNC($M380 * AE380,2)</f>
        <v>0</v>
      </c>
      <c r="AG380" s="38"/>
      <c r="AH380" s="38">
        <f t="shared" ref="AH380" si="5313">TRUNC($M380 * AG380,2)</f>
        <v>0</v>
      </c>
      <c r="AI380" s="38"/>
      <c r="AJ380" s="38">
        <f t="shared" ref="AJ380" si="5314">TRUNC($M380 * AI380,2)</f>
        <v>0</v>
      </c>
      <c r="AK380" s="38"/>
      <c r="AL380" s="38">
        <f t="shared" ref="AL380" si="5315">TRUNC($M380 * AK380,2)</f>
        <v>0</v>
      </c>
      <c r="AM380" s="38"/>
      <c r="AN380" s="38">
        <f t="shared" ref="AN380" si="5316">TRUNC($M380 * AM380,2)</f>
        <v>0</v>
      </c>
      <c r="AO380" s="38"/>
      <c r="AP380" s="38">
        <f t="shared" ref="AP380" si="5317">TRUNC($M380 * AO380,2)</f>
        <v>0</v>
      </c>
      <c r="AQ380" s="38"/>
      <c r="AR380" s="38">
        <f t="shared" ref="AR380" si="5318">TRUNC($M380 * AQ380,2)</f>
        <v>0</v>
      </c>
      <c r="AS380" s="38"/>
      <c r="AT380" s="38">
        <f t="shared" ref="AT380" si="5319">TRUNC($M380 * AS380,2)</f>
        <v>0</v>
      </c>
      <c r="AU380" s="38"/>
      <c r="AV380" s="38">
        <f t="shared" ref="AV380" si="5320">TRUNC($M380 * AU380,2)</f>
        <v>0</v>
      </c>
      <c r="AW380" s="38"/>
      <c r="AX380" s="37">
        <f t="shared" ref="AX380" si="5321">TRUNC($M380 * AW380,2)</f>
        <v>0</v>
      </c>
      <c r="AY380" s="36">
        <f t="shared" si="4520"/>
        <v>0</v>
      </c>
      <c r="AZ380" s="38">
        <f t="shared" ref="AZ380" si="5322">TRUNC($M380 * AY380,2)</f>
        <v>0</v>
      </c>
      <c r="BA380" s="38">
        <f t="shared" si="4522"/>
        <v>34</v>
      </c>
      <c r="BB380" s="37">
        <f t="shared" ref="BB380" si="5323">TRUNC($M380 * BA380,2)</f>
        <v>334.22</v>
      </c>
    </row>
    <row r="381" spans="1:54" ht="26.1" customHeight="1" x14ac:dyDescent="0.25">
      <c r="A381" s="31" t="s">
        <v>1193</v>
      </c>
      <c r="B381" s="31" t="s">
        <v>773</v>
      </c>
      <c r="C381" s="31" t="s">
        <v>34</v>
      </c>
      <c r="D381" s="31" t="s">
        <v>774</v>
      </c>
      <c r="E381" s="32" t="s">
        <v>36</v>
      </c>
      <c r="F381" s="33">
        <v>1</v>
      </c>
      <c r="G381" s="34">
        <v>13.93</v>
      </c>
      <c r="H381" s="34">
        <f t="shared" si="4499"/>
        <v>12.82</v>
      </c>
      <c r="I381" s="34">
        <f t="shared" si="4500"/>
        <v>12.82</v>
      </c>
      <c r="J381" s="34">
        <f>(TRUNC(H381 * L14,2) + H381)</f>
        <v>15.42</v>
      </c>
      <c r="K381" s="34">
        <f t="shared" si="5051"/>
        <v>15.42</v>
      </c>
      <c r="L381" s="35">
        <f>K381 / L13</f>
        <v>5.3172413793103444E-6</v>
      </c>
      <c r="M381" s="36">
        <v>11.33</v>
      </c>
      <c r="N381" s="37">
        <f t="shared" si="4502"/>
        <v>11.33</v>
      </c>
      <c r="O381" s="36"/>
      <c r="P381" s="38">
        <f t="shared" si="4503"/>
        <v>0</v>
      </c>
      <c r="Q381" s="38"/>
      <c r="R381" s="38">
        <f t="shared" si="4503"/>
        <v>0</v>
      </c>
      <c r="S381" s="38">
        <f t="shared" si="4504"/>
        <v>1</v>
      </c>
      <c r="T381" s="37">
        <f t="shared" ref="T381:V381" si="5324">TRUNC($M381 * S381,2)</f>
        <v>11.33</v>
      </c>
      <c r="U381" s="36"/>
      <c r="V381" s="38">
        <f t="shared" si="5324"/>
        <v>0</v>
      </c>
      <c r="W381" s="38"/>
      <c r="X381" s="38">
        <f t="shared" ref="X381" si="5325">TRUNC($M381 * W381,2)</f>
        <v>0</v>
      </c>
      <c r="Y381" s="38"/>
      <c r="Z381" s="38">
        <f t="shared" ref="Z381" si="5326">TRUNC($M381 * Y381,2)</f>
        <v>0</v>
      </c>
      <c r="AA381" s="38"/>
      <c r="AB381" s="38">
        <f t="shared" ref="AB381" si="5327">TRUNC($M381 * AA381,2)</f>
        <v>0</v>
      </c>
      <c r="AC381" s="38"/>
      <c r="AD381" s="38">
        <f t="shared" ref="AD381" si="5328">TRUNC($M381 * AC381,2)</f>
        <v>0</v>
      </c>
      <c r="AE381" s="38"/>
      <c r="AF381" s="38">
        <f t="shared" ref="AF381" si="5329">TRUNC($M381 * AE381,2)</f>
        <v>0</v>
      </c>
      <c r="AG381" s="38"/>
      <c r="AH381" s="38">
        <f t="shared" ref="AH381" si="5330">TRUNC($M381 * AG381,2)</f>
        <v>0</v>
      </c>
      <c r="AI381" s="38"/>
      <c r="AJ381" s="38">
        <f t="shared" ref="AJ381" si="5331">TRUNC($M381 * AI381,2)</f>
        <v>0</v>
      </c>
      <c r="AK381" s="38"/>
      <c r="AL381" s="38">
        <f t="shared" ref="AL381" si="5332">TRUNC($M381 * AK381,2)</f>
        <v>0</v>
      </c>
      <c r="AM381" s="38"/>
      <c r="AN381" s="38">
        <f t="shared" ref="AN381" si="5333">TRUNC($M381 * AM381,2)</f>
        <v>0</v>
      </c>
      <c r="AO381" s="38"/>
      <c r="AP381" s="38">
        <f t="shared" ref="AP381" si="5334">TRUNC($M381 * AO381,2)</f>
        <v>0</v>
      </c>
      <c r="AQ381" s="38"/>
      <c r="AR381" s="38">
        <f t="shared" ref="AR381" si="5335">TRUNC($M381 * AQ381,2)</f>
        <v>0</v>
      </c>
      <c r="AS381" s="38"/>
      <c r="AT381" s="38">
        <f t="shared" ref="AT381" si="5336">TRUNC($M381 * AS381,2)</f>
        <v>0</v>
      </c>
      <c r="AU381" s="38"/>
      <c r="AV381" s="38">
        <f t="shared" ref="AV381" si="5337">TRUNC($M381 * AU381,2)</f>
        <v>0</v>
      </c>
      <c r="AW381" s="38"/>
      <c r="AX381" s="37">
        <f t="shared" ref="AX381" si="5338">TRUNC($M381 * AW381,2)</f>
        <v>0</v>
      </c>
      <c r="AY381" s="36">
        <f t="shared" si="4520"/>
        <v>0</v>
      </c>
      <c r="AZ381" s="38">
        <f t="shared" ref="AZ381" si="5339">TRUNC($M381 * AY381,2)</f>
        <v>0</v>
      </c>
      <c r="BA381" s="38">
        <f t="shared" si="4522"/>
        <v>1</v>
      </c>
      <c r="BB381" s="37">
        <f t="shared" ref="BB381" si="5340">TRUNC($M381 * BA381,2)</f>
        <v>11.33</v>
      </c>
    </row>
    <row r="382" spans="1:54" ht="26.1" customHeight="1" x14ac:dyDescent="0.25">
      <c r="A382" s="31" t="s">
        <v>1194</v>
      </c>
      <c r="B382" s="31" t="s">
        <v>775</v>
      </c>
      <c r="C382" s="31" t="s">
        <v>34</v>
      </c>
      <c r="D382" s="31" t="s">
        <v>776</v>
      </c>
      <c r="E382" s="32" t="s">
        <v>36</v>
      </c>
      <c r="F382" s="33">
        <v>36</v>
      </c>
      <c r="G382" s="34">
        <v>55.28</v>
      </c>
      <c r="H382" s="34">
        <f t="shared" si="4499"/>
        <v>50.89</v>
      </c>
      <c r="I382" s="34">
        <f t="shared" si="4500"/>
        <v>1832.04</v>
      </c>
      <c r="J382" s="34">
        <f>(TRUNC(H382 * L14,2) + H382)</f>
        <v>61.24</v>
      </c>
      <c r="K382" s="34">
        <f t="shared" si="5051"/>
        <v>2204.64</v>
      </c>
      <c r="L382" s="35">
        <f>K382 / L13</f>
        <v>7.602206896551722E-4</v>
      </c>
      <c r="M382" s="36">
        <v>41.36</v>
      </c>
      <c r="N382" s="37">
        <f t="shared" si="4502"/>
        <v>1488.96</v>
      </c>
      <c r="O382" s="36"/>
      <c r="P382" s="38">
        <f t="shared" si="4503"/>
        <v>0</v>
      </c>
      <c r="Q382" s="38"/>
      <c r="R382" s="38">
        <f t="shared" si="4503"/>
        <v>0</v>
      </c>
      <c r="S382" s="38">
        <f t="shared" si="4504"/>
        <v>36</v>
      </c>
      <c r="T382" s="37">
        <f t="shared" ref="T382:V382" si="5341">TRUNC($M382 * S382,2)</f>
        <v>1488.96</v>
      </c>
      <c r="U382" s="36"/>
      <c r="V382" s="38">
        <f t="shared" si="5341"/>
        <v>0</v>
      </c>
      <c r="W382" s="38"/>
      <c r="X382" s="38">
        <f t="shared" ref="X382" si="5342">TRUNC($M382 * W382,2)</f>
        <v>0</v>
      </c>
      <c r="Y382" s="38"/>
      <c r="Z382" s="38">
        <f t="shared" ref="Z382" si="5343">TRUNC($M382 * Y382,2)</f>
        <v>0</v>
      </c>
      <c r="AA382" s="38"/>
      <c r="AB382" s="38">
        <f t="shared" ref="AB382" si="5344">TRUNC($M382 * AA382,2)</f>
        <v>0</v>
      </c>
      <c r="AC382" s="38"/>
      <c r="AD382" s="38">
        <f t="shared" ref="AD382" si="5345">TRUNC($M382 * AC382,2)</f>
        <v>0</v>
      </c>
      <c r="AE382" s="38"/>
      <c r="AF382" s="38">
        <f t="shared" ref="AF382" si="5346">TRUNC($M382 * AE382,2)</f>
        <v>0</v>
      </c>
      <c r="AG382" s="38"/>
      <c r="AH382" s="38">
        <f t="shared" ref="AH382" si="5347">TRUNC($M382 * AG382,2)</f>
        <v>0</v>
      </c>
      <c r="AI382" s="38"/>
      <c r="AJ382" s="38">
        <f t="shared" ref="AJ382" si="5348">TRUNC($M382 * AI382,2)</f>
        <v>0</v>
      </c>
      <c r="AK382" s="38"/>
      <c r="AL382" s="38">
        <f t="shared" ref="AL382" si="5349">TRUNC($M382 * AK382,2)</f>
        <v>0</v>
      </c>
      <c r="AM382" s="38"/>
      <c r="AN382" s="38">
        <f t="shared" ref="AN382" si="5350">TRUNC($M382 * AM382,2)</f>
        <v>0</v>
      </c>
      <c r="AO382" s="38"/>
      <c r="AP382" s="38">
        <f t="shared" ref="AP382" si="5351">TRUNC($M382 * AO382,2)</f>
        <v>0</v>
      </c>
      <c r="AQ382" s="38"/>
      <c r="AR382" s="38">
        <f t="shared" ref="AR382" si="5352">TRUNC($M382 * AQ382,2)</f>
        <v>0</v>
      </c>
      <c r="AS382" s="38"/>
      <c r="AT382" s="38">
        <f t="shared" ref="AT382" si="5353">TRUNC($M382 * AS382,2)</f>
        <v>0</v>
      </c>
      <c r="AU382" s="38"/>
      <c r="AV382" s="38">
        <f t="shared" ref="AV382" si="5354">TRUNC($M382 * AU382,2)</f>
        <v>0</v>
      </c>
      <c r="AW382" s="38"/>
      <c r="AX382" s="37">
        <f t="shared" ref="AX382" si="5355">TRUNC($M382 * AW382,2)</f>
        <v>0</v>
      </c>
      <c r="AY382" s="36">
        <f t="shared" si="4520"/>
        <v>0</v>
      </c>
      <c r="AZ382" s="38">
        <f t="shared" ref="AZ382" si="5356">TRUNC($M382 * AY382,2)</f>
        <v>0</v>
      </c>
      <c r="BA382" s="38">
        <f t="shared" si="4522"/>
        <v>36</v>
      </c>
      <c r="BB382" s="37">
        <f t="shared" ref="BB382" si="5357">TRUNC($M382 * BA382,2)</f>
        <v>1488.96</v>
      </c>
    </row>
    <row r="383" spans="1:54" ht="26.1" customHeight="1" x14ac:dyDescent="0.25">
      <c r="A383" s="31" t="s">
        <v>1195</v>
      </c>
      <c r="B383" s="31" t="s">
        <v>777</v>
      </c>
      <c r="C383" s="31" t="s">
        <v>34</v>
      </c>
      <c r="D383" s="31" t="s">
        <v>778</v>
      </c>
      <c r="E383" s="32" t="s">
        <v>36</v>
      </c>
      <c r="F383" s="33">
        <v>5</v>
      </c>
      <c r="G383" s="34">
        <v>58.41</v>
      </c>
      <c r="H383" s="34">
        <f t="shared" si="4499"/>
        <v>53.78</v>
      </c>
      <c r="I383" s="34">
        <f t="shared" si="4500"/>
        <v>268.89999999999998</v>
      </c>
      <c r="J383" s="34">
        <f>(TRUNC(H383 * L14,2) + H383)</f>
        <v>64.710000000000008</v>
      </c>
      <c r="K383" s="34">
        <f t="shared" si="5051"/>
        <v>323.55</v>
      </c>
      <c r="L383" s="35">
        <f>K383 / L13</f>
        <v>1.1156896551724137E-4</v>
      </c>
      <c r="M383" s="36">
        <v>44.42</v>
      </c>
      <c r="N383" s="37">
        <f t="shared" si="4502"/>
        <v>222.1</v>
      </c>
      <c r="O383" s="36"/>
      <c r="P383" s="38">
        <f t="shared" si="4503"/>
        <v>0</v>
      </c>
      <c r="Q383" s="38"/>
      <c r="R383" s="38">
        <f t="shared" si="4503"/>
        <v>0</v>
      </c>
      <c r="S383" s="38">
        <f t="shared" si="4504"/>
        <v>5</v>
      </c>
      <c r="T383" s="37">
        <f t="shared" ref="T383:V383" si="5358">TRUNC($M383 * S383,2)</f>
        <v>222.1</v>
      </c>
      <c r="U383" s="36"/>
      <c r="V383" s="38">
        <f t="shared" si="5358"/>
        <v>0</v>
      </c>
      <c r="W383" s="38"/>
      <c r="X383" s="38">
        <f t="shared" ref="X383" si="5359">TRUNC($M383 * W383,2)</f>
        <v>0</v>
      </c>
      <c r="Y383" s="38"/>
      <c r="Z383" s="38">
        <f t="shared" ref="Z383" si="5360">TRUNC($M383 * Y383,2)</f>
        <v>0</v>
      </c>
      <c r="AA383" s="38"/>
      <c r="AB383" s="38">
        <f t="shared" ref="AB383" si="5361">TRUNC($M383 * AA383,2)</f>
        <v>0</v>
      </c>
      <c r="AC383" s="38"/>
      <c r="AD383" s="38">
        <f t="shared" ref="AD383" si="5362">TRUNC($M383 * AC383,2)</f>
        <v>0</v>
      </c>
      <c r="AE383" s="38"/>
      <c r="AF383" s="38">
        <f t="shared" ref="AF383" si="5363">TRUNC($M383 * AE383,2)</f>
        <v>0</v>
      </c>
      <c r="AG383" s="38"/>
      <c r="AH383" s="38">
        <f t="shared" ref="AH383" si="5364">TRUNC($M383 * AG383,2)</f>
        <v>0</v>
      </c>
      <c r="AI383" s="38"/>
      <c r="AJ383" s="38">
        <f t="shared" ref="AJ383" si="5365">TRUNC($M383 * AI383,2)</f>
        <v>0</v>
      </c>
      <c r="AK383" s="38"/>
      <c r="AL383" s="38">
        <f t="shared" ref="AL383" si="5366">TRUNC($M383 * AK383,2)</f>
        <v>0</v>
      </c>
      <c r="AM383" s="38"/>
      <c r="AN383" s="38">
        <f t="shared" ref="AN383" si="5367">TRUNC($M383 * AM383,2)</f>
        <v>0</v>
      </c>
      <c r="AO383" s="38"/>
      <c r="AP383" s="38">
        <f t="shared" ref="AP383" si="5368">TRUNC($M383 * AO383,2)</f>
        <v>0</v>
      </c>
      <c r="AQ383" s="38"/>
      <c r="AR383" s="38">
        <f t="shared" ref="AR383" si="5369">TRUNC($M383 * AQ383,2)</f>
        <v>0</v>
      </c>
      <c r="AS383" s="38"/>
      <c r="AT383" s="38">
        <f t="shared" ref="AT383" si="5370">TRUNC($M383 * AS383,2)</f>
        <v>0</v>
      </c>
      <c r="AU383" s="38"/>
      <c r="AV383" s="38">
        <f t="shared" ref="AV383" si="5371">TRUNC($M383 * AU383,2)</f>
        <v>0</v>
      </c>
      <c r="AW383" s="38"/>
      <c r="AX383" s="37">
        <f t="shared" ref="AX383" si="5372">TRUNC($M383 * AW383,2)</f>
        <v>0</v>
      </c>
      <c r="AY383" s="36">
        <f t="shared" si="4520"/>
        <v>0</v>
      </c>
      <c r="AZ383" s="38">
        <f t="shared" ref="AZ383" si="5373">TRUNC($M383 * AY383,2)</f>
        <v>0</v>
      </c>
      <c r="BA383" s="38">
        <f t="shared" si="4522"/>
        <v>5</v>
      </c>
      <c r="BB383" s="37">
        <f t="shared" ref="BB383" si="5374">TRUNC($M383 * BA383,2)</f>
        <v>222.1</v>
      </c>
    </row>
    <row r="384" spans="1:54" ht="26.1" customHeight="1" x14ac:dyDescent="0.25">
      <c r="A384" s="31" t="s">
        <v>1196</v>
      </c>
      <c r="B384" s="31" t="s">
        <v>779</v>
      </c>
      <c r="C384" s="31" t="s">
        <v>34</v>
      </c>
      <c r="D384" s="31" t="s">
        <v>780</v>
      </c>
      <c r="E384" s="32" t="s">
        <v>36</v>
      </c>
      <c r="F384" s="33">
        <v>2</v>
      </c>
      <c r="G384" s="34">
        <v>53.6</v>
      </c>
      <c r="H384" s="34">
        <f t="shared" si="4499"/>
        <v>49.35</v>
      </c>
      <c r="I384" s="34">
        <f t="shared" si="4500"/>
        <v>98.7</v>
      </c>
      <c r="J384" s="34">
        <f>(TRUNC(H384 * L14,2) + H384)</f>
        <v>59.38</v>
      </c>
      <c r="K384" s="34">
        <f t="shared" si="5051"/>
        <v>118.76</v>
      </c>
      <c r="L384" s="35">
        <f>K384 / L13</f>
        <v>4.095172413793103E-5</v>
      </c>
      <c r="M384" s="36">
        <v>39.61</v>
      </c>
      <c r="N384" s="37">
        <f t="shared" si="4502"/>
        <v>79.22</v>
      </c>
      <c r="O384" s="36"/>
      <c r="P384" s="38">
        <f t="shared" si="4503"/>
        <v>0</v>
      </c>
      <c r="Q384" s="38"/>
      <c r="R384" s="38">
        <f t="shared" si="4503"/>
        <v>0</v>
      </c>
      <c r="S384" s="38">
        <f t="shared" si="4504"/>
        <v>2</v>
      </c>
      <c r="T384" s="37">
        <f t="shared" ref="T384:V384" si="5375">TRUNC($M384 * S384,2)</f>
        <v>79.22</v>
      </c>
      <c r="U384" s="36"/>
      <c r="V384" s="38">
        <f t="shared" si="5375"/>
        <v>0</v>
      </c>
      <c r="W384" s="38"/>
      <c r="X384" s="38">
        <f t="shared" ref="X384" si="5376">TRUNC($M384 * W384,2)</f>
        <v>0</v>
      </c>
      <c r="Y384" s="38"/>
      <c r="Z384" s="38">
        <f t="shared" ref="Z384" si="5377">TRUNC($M384 * Y384,2)</f>
        <v>0</v>
      </c>
      <c r="AA384" s="38"/>
      <c r="AB384" s="38">
        <f t="shared" ref="AB384" si="5378">TRUNC($M384 * AA384,2)</f>
        <v>0</v>
      </c>
      <c r="AC384" s="38"/>
      <c r="AD384" s="38">
        <f t="shared" ref="AD384" si="5379">TRUNC($M384 * AC384,2)</f>
        <v>0</v>
      </c>
      <c r="AE384" s="38"/>
      <c r="AF384" s="38">
        <f t="shared" ref="AF384" si="5380">TRUNC($M384 * AE384,2)</f>
        <v>0</v>
      </c>
      <c r="AG384" s="38"/>
      <c r="AH384" s="38">
        <f t="shared" ref="AH384" si="5381">TRUNC($M384 * AG384,2)</f>
        <v>0</v>
      </c>
      <c r="AI384" s="38"/>
      <c r="AJ384" s="38">
        <f t="shared" ref="AJ384" si="5382">TRUNC($M384 * AI384,2)</f>
        <v>0</v>
      </c>
      <c r="AK384" s="38"/>
      <c r="AL384" s="38">
        <f t="shared" ref="AL384" si="5383">TRUNC($M384 * AK384,2)</f>
        <v>0</v>
      </c>
      <c r="AM384" s="38"/>
      <c r="AN384" s="38">
        <f t="shared" ref="AN384" si="5384">TRUNC($M384 * AM384,2)</f>
        <v>0</v>
      </c>
      <c r="AO384" s="38"/>
      <c r="AP384" s="38">
        <f t="shared" ref="AP384" si="5385">TRUNC($M384 * AO384,2)</f>
        <v>0</v>
      </c>
      <c r="AQ384" s="38"/>
      <c r="AR384" s="38">
        <f t="shared" ref="AR384" si="5386">TRUNC($M384 * AQ384,2)</f>
        <v>0</v>
      </c>
      <c r="AS384" s="38"/>
      <c r="AT384" s="38">
        <f t="shared" ref="AT384" si="5387">TRUNC($M384 * AS384,2)</f>
        <v>0</v>
      </c>
      <c r="AU384" s="38"/>
      <c r="AV384" s="38">
        <f t="shared" ref="AV384" si="5388">TRUNC($M384 * AU384,2)</f>
        <v>0</v>
      </c>
      <c r="AW384" s="38"/>
      <c r="AX384" s="37">
        <f t="shared" ref="AX384" si="5389">TRUNC($M384 * AW384,2)</f>
        <v>0</v>
      </c>
      <c r="AY384" s="36">
        <f t="shared" si="4520"/>
        <v>0</v>
      </c>
      <c r="AZ384" s="38">
        <f t="shared" ref="AZ384" si="5390">TRUNC($M384 * AY384,2)</f>
        <v>0</v>
      </c>
      <c r="BA384" s="38">
        <f t="shared" si="4522"/>
        <v>2</v>
      </c>
      <c r="BB384" s="37">
        <f t="shared" ref="BB384" si="5391">TRUNC($M384 * BA384,2)</f>
        <v>79.22</v>
      </c>
    </row>
    <row r="385" spans="1:54" ht="26.1" customHeight="1" x14ac:dyDescent="0.25">
      <c r="A385" s="31" t="s">
        <v>1197</v>
      </c>
      <c r="B385" s="31" t="s">
        <v>781</v>
      </c>
      <c r="C385" s="31" t="s">
        <v>34</v>
      </c>
      <c r="D385" s="31" t="s">
        <v>782</v>
      </c>
      <c r="E385" s="32" t="s">
        <v>36</v>
      </c>
      <c r="F385" s="33">
        <v>3</v>
      </c>
      <c r="G385" s="34">
        <v>67.760000000000005</v>
      </c>
      <c r="H385" s="34">
        <f t="shared" si="4499"/>
        <v>62.38</v>
      </c>
      <c r="I385" s="34">
        <f t="shared" si="4500"/>
        <v>187.14</v>
      </c>
      <c r="J385" s="34">
        <f>(TRUNC(H385 * L14,2) + H385)</f>
        <v>75.06</v>
      </c>
      <c r="K385" s="34">
        <f t="shared" si="5051"/>
        <v>225.18</v>
      </c>
      <c r="L385" s="35">
        <f>K385 / L13</f>
        <v>7.7648275862068959E-5</v>
      </c>
      <c r="M385" s="36">
        <v>59.33</v>
      </c>
      <c r="N385" s="37">
        <f t="shared" si="4502"/>
        <v>177.99</v>
      </c>
      <c r="O385" s="36"/>
      <c r="P385" s="38">
        <f t="shared" si="4503"/>
        <v>0</v>
      </c>
      <c r="Q385" s="38"/>
      <c r="R385" s="38">
        <f t="shared" si="4503"/>
        <v>0</v>
      </c>
      <c r="S385" s="38">
        <f t="shared" si="4504"/>
        <v>3</v>
      </c>
      <c r="T385" s="37">
        <f t="shared" ref="T385:V385" si="5392">TRUNC($M385 * S385,2)</f>
        <v>177.99</v>
      </c>
      <c r="U385" s="36"/>
      <c r="V385" s="38">
        <f t="shared" si="5392"/>
        <v>0</v>
      </c>
      <c r="W385" s="38"/>
      <c r="X385" s="38">
        <f t="shared" ref="X385" si="5393">TRUNC($M385 * W385,2)</f>
        <v>0</v>
      </c>
      <c r="Y385" s="38"/>
      <c r="Z385" s="38">
        <f t="shared" ref="Z385" si="5394">TRUNC($M385 * Y385,2)</f>
        <v>0</v>
      </c>
      <c r="AA385" s="38"/>
      <c r="AB385" s="38">
        <f t="shared" ref="AB385" si="5395">TRUNC($M385 * AA385,2)</f>
        <v>0</v>
      </c>
      <c r="AC385" s="38"/>
      <c r="AD385" s="38">
        <f t="shared" ref="AD385" si="5396">TRUNC($M385 * AC385,2)</f>
        <v>0</v>
      </c>
      <c r="AE385" s="38"/>
      <c r="AF385" s="38">
        <f t="shared" ref="AF385" si="5397">TRUNC($M385 * AE385,2)</f>
        <v>0</v>
      </c>
      <c r="AG385" s="38"/>
      <c r="AH385" s="38">
        <f t="shared" ref="AH385" si="5398">TRUNC($M385 * AG385,2)</f>
        <v>0</v>
      </c>
      <c r="AI385" s="38"/>
      <c r="AJ385" s="38">
        <f t="shared" ref="AJ385" si="5399">TRUNC($M385 * AI385,2)</f>
        <v>0</v>
      </c>
      <c r="AK385" s="38"/>
      <c r="AL385" s="38">
        <f t="shared" ref="AL385" si="5400">TRUNC($M385 * AK385,2)</f>
        <v>0</v>
      </c>
      <c r="AM385" s="38"/>
      <c r="AN385" s="38">
        <f t="shared" ref="AN385" si="5401">TRUNC($M385 * AM385,2)</f>
        <v>0</v>
      </c>
      <c r="AO385" s="38"/>
      <c r="AP385" s="38">
        <f t="shared" ref="AP385" si="5402">TRUNC($M385 * AO385,2)</f>
        <v>0</v>
      </c>
      <c r="AQ385" s="38"/>
      <c r="AR385" s="38">
        <f t="shared" ref="AR385" si="5403">TRUNC($M385 * AQ385,2)</f>
        <v>0</v>
      </c>
      <c r="AS385" s="38"/>
      <c r="AT385" s="38">
        <f t="shared" ref="AT385" si="5404">TRUNC($M385 * AS385,2)</f>
        <v>0</v>
      </c>
      <c r="AU385" s="38"/>
      <c r="AV385" s="38">
        <f t="shared" ref="AV385" si="5405">TRUNC($M385 * AU385,2)</f>
        <v>0</v>
      </c>
      <c r="AW385" s="38"/>
      <c r="AX385" s="37">
        <f t="shared" ref="AX385" si="5406">TRUNC($M385 * AW385,2)</f>
        <v>0</v>
      </c>
      <c r="AY385" s="36">
        <f t="shared" si="4520"/>
        <v>0</v>
      </c>
      <c r="AZ385" s="38">
        <f t="shared" ref="AZ385" si="5407">TRUNC($M385 * AY385,2)</f>
        <v>0</v>
      </c>
      <c r="BA385" s="38">
        <f t="shared" si="4522"/>
        <v>3</v>
      </c>
      <c r="BB385" s="37">
        <f t="shared" ref="BB385" si="5408">TRUNC($M385 * BA385,2)</f>
        <v>177.99</v>
      </c>
    </row>
    <row r="386" spans="1:54" ht="26.1" customHeight="1" x14ac:dyDescent="0.25">
      <c r="A386" s="31" t="s">
        <v>1198</v>
      </c>
      <c r="B386" s="31" t="s">
        <v>783</v>
      </c>
      <c r="C386" s="31" t="s">
        <v>24</v>
      </c>
      <c r="D386" s="31" t="s">
        <v>784</v>
      </c>
      <c r="E386" s="32" t="s">
        <v>171</v>
      </c>
      <c r="F386" s="33">
        <v>2</v>
      </c>
      <c r="G386" s="34">
        <v>83.01</v>
      </c>
      <c r="H386" s="34">
        <f t="shared" si="4499"/>
        <v>76.430000000000007</v>
      </c>
      <c r="I386" s="34">
        <f t="shared" si="4500"/>
        <v>152.86000000000001</v>
      </c>
      <c r="J386" s="34">
        <f>(TRUNC(H386 * L14,2) + H386)</f>
        <v>91.97</v>
      </c>
      <c r="K386" s="34">
        <f t="shared" si="5051"/>
        <v>183.94</v>
      </c>
      <c r="L386" s="35">
        <f>K386 / L13</f>
        <v>6.3427586206896543E-5</v>
      </c>
      <c r="M386" s="36">
        <v>70</v>
      </c>
      <c r="N386" s="37">
        <f t="shared" si="4502"/>
        <v>140</v>
      </c>
      <c r="O386" s="36"/>
      <c r="P386" s="38">
        <f t="shared" si="4503"/>
        <v>0</v>
      </c>
      <c r="Q386" s="38"/>
      <c r="R386" s="38">
        <f t="shared" si="4503"/>
        <v>0</v>
      </c>
      <c r="S386" s="38">
        <f t="shared" si="4504"/>
        <v>2</v>
      </c>
      <c r="T386" s="37">
        <f t="shared" ref="T386:V386" si="5409">TRUNC($M386 * S386,2)</f>
        <v>140</v>
      </c>
      <c r="U386" s="36"/>
      <c r="V386" s="38">
        <f t="shared" si="5409"/>
        <v>0</v>
      </c>
      <c r="W386" s="38"/>
      <c r="X386" s="38">
        <f t="shared" ref="X386" si="5410">TRUNC($M386 * W386,2)</f>
        <v>0</v>
      </c>
      <c r="Y386" s="38"/>
      <c r="Z386" s="38">
        <f t="shared" ref="Z386" si="5411">TRUNC($M386 * Y386,2)</f>
        <v>0</v>
      </c>
      <c r="AA386" s="38"/>
      <c r="AB386" s="38">
        <f t="shared" ref="AB386" si="5412">TRUNC($M386 * AA386,2)</f>
        <v>0</v>
      </c>
      <c r="AC386" s="38"/>
      <c r="AD386" s="38">
        <f t="shared" ref="AD386" si="5413">TRUNC($M386 * AC386,2)</f>
        <v>0</v>
      </c>
      <c r="AE386" s="38"/>
      <c r="AF386" s="38">
        <f t="shared" ref="AF386" si="5414">TRUNC($M386 * AE386,2)</f>
        <v>0</v>
      </c>
      <c r="AG386" s="38"/>
      <c r="AH386" s="38">
        <f t="shared" ref="AH386" si="5415">TRUNC($M386 * AG386,2)</f>
        <v>0</v>
      </c>
      <c r="AI386" s="38"/>
      <c r="AJ386" s="38">
        <f t="shared" ref="AJ386" si="5416">TRUNC($M386 * AI386,2)</f>
        <v>0</v>
      </c>
      <c r="AK386" s="38"/>
      <c r="AL386" s="38">
        <f t="shared" ref="AL386" si="5417">TRUNC($M386 * AK386,2)</f>
        <v>0</v>
      </c>
      <c r="AM386" s="38"/>
      <c r="AN386" s="38">
        <f t="shared" ref="AN386" si="5418">TRUNC($M386 * AM386,2)</f>
        <v>0</v>
      </c>
      <c r="AO386" s="38"/>
      <c r="AP386" s="38">
        <f t="shared" ref="AP386" si="5419">TRUNC($M386 * AO386,2)</f>
        <v>0</v>
      </c>
      <c r="AQ386" s="38"/>
      <c r="AR386" s="38">
        <f t="shared" ref="AR386" si="5420">TRUNC($M386 * AQ386,2)</f>
        <v>0</v>
      </c>
      <c r="AS386" s="38"/>
      <c r="AT386" s="38">
        <f t="shared" ref="AT386" si="5421">TRUNC($M386 * AS386,2)</f>
        <v>0</v>
      </c>
      <c r="AU386" s="38"/>
      <c r="AV386" s="38">
        <f t="shared" ref="AV386" si="5422">TRUNC($M386 * AU386,2)</f>
        <v>0</v>
      </c>
      <c r="AW386" s="38"/>
      <c r="AX386" s="37">
        <f t="shared" ref="AX386" si="5423">TRUNC($M386 * AW386,2)</f>
        <v>0</v>
      </c>
      <c r="AY386" s="36">
        <f t="shared" si="4520"/>
        <v>0</v>
      </c>
      <c r="AZ386" s="38">
        <f t="shared" ref="AZ386" si="5424">TRUNC($M386 * AY386,2)</f>
        <v>0</v>
      </c>
      <c r="BA386" s="38">
        <f t="shared" si="4522"/>
        <v>2</v>
      </c>
      <c r="BB386" s="37">
        <f t="shared" ref="BB386" si="5425">TRUNC($M386 * BA386,2)</f>
        <v>140</v>
      </c>
    </row>
    <row r="387" spans="1:54" ht="39" customHeight="1" x14ac:dyDescent="0.25">
      <c r="A387" s="31" t="s">
        <v>1199</v>
      </c>
      <c r="B387" s="31" t="s">
        <v>785</v>
      </c>
      <c r="C387" s="31" t="s">
        <v>34</v>
      </c>
      <c r="D387" s="31" t="s">
        <v>786</v>
      </c>
      <c r="E387" s="32" t="s">
        <v>36</v>
      </c>
      <c r="F387" s="33">
        <v>2</v>
      </c>
      <c r="G387" s="34">
        <v>418.65</v>
      </c>
      <c r="H387" s="34">
        <f t="shared" si="4499"/>
        <v>385.46</v>
      </c>
      <c r="I387" s="34">
        <f t="shared" si="4500"/>
        <v>770.92</v>
      </c>
      <c r="J387" s="34">
        <f>(TRUNC(H387 * L14,2) + H387)</f>
        <v>463.86</v>
      </c>
      <c r="K387" s="34">
        <f t="shared" si="5051"/>
        <v>927.72</v>
      </c>
      <c r="L387" s="35">
        <f>K387 / L13</f>
        <v>3.1990344827586203E-4</v>
      </c>
      <c r="M387" s="36">
        <v>326.89</v>
      </c>
      <c r="N387" s="37">
        <f t="shared" si="4502"/>
        <v>653.78</v>
      </c>
      <c r="O387" s="36"/>
      <c r="P387" s="38">
        <f t="shared" si="4503"/>
        <v>0</v>
      </c>
      <c r="Q387" s="38"/>
      <c r="R387" s="38">
        <f t="shared" si="4503"/>
        <v>0</v>
      </c>
      <c r="S387" s="38">
        <f t="shared" si="4504"/>
        <v>2</v>
      </c>
      <c r="T387" s="37">
        <f t="shared" ref="T387:V387" si="5426">TRUNC($M387 * S387,2)</f>
        <v>653.78</v>
      </c>
      <c r="U387" s="36"/>
      <c r="V387" s="38">
        <f t="shared" si="5426"/>
        <v>0</v>
      </c>
      <c r="W387" s="38"/>
      <c r="X387" s="38">
        <f t="shared" ref="X387" si="5427">TRUNC($M387 * W387,2)</f>
        <v>0</v>
      </c>
      <c r="Y387" s="38"/>
      <c r="Z387" s="38">
        <f t="shared" ref="Z387" si="5428">TRUNC($M387 * Y387,2)</f>
        <v>0</v>
      </c>
      <c r="AA387" s="38"/>
      <c r="AB387" s="38">
        <f t="shared" ref="AB387" si="5429">TRUNC($M387 * AA387,2)</f>
        <v>0</v>
      </c>
      <c r="AC387" s="38"/>
      <c r="AD387" s="38">
        <f t="shared" ref="AD387" si="5430">TRUNC($M387 * AC387,2)</f>
        <v>0</v>
      </c>
      <c r="AE387" s="38"/>
      <c r="AF387" s="38">
        <f t="shared" ref="AF387" si="5431">TRUNC($M387 * AE387,2)</f>
        <v>0</v>
      </c>
      <c r="AG387" s="38"/>
      <c r="AH387" s="38">
        <f t="shared" ref="AH387" si="5432">TRUNC($M387 * AG387,2)</f>
        <v>0</v>
      </c>
      <c r="AI387" s="38"/>
      <c r="AJ387" s="38">
        <f t="shared" ref="AJ387" si="5433">TRUNC($M387 * AI387,2)</f>
        <v>0</v>
      </c>
      <c r="AK387" s="38"/>
      <c r="AL387" s="38">
        <f t="shared" ref="AL387" si="5434">TRUNC($M387 * AK387,2)</f>
        <v>0</v>
      </c>
      <c r="AM387" s="38"/>
      <c r="AN387" s="38">
        <f t="shared" ref="AN387" si="5435">TRUNC($M387 * AM387,2)</f>
        <v>0</v>
      </c>
      <c r="AO387" s="38"/>
      <c r="AP387" s="38">
        <f t="shared" ref="AP387" si="5436">TRUNC($M387 * AO387,2)</f>
        <v>0</v>
      </c>
      <c r="AQ387" s="38"/>
      <c r="AR387" s="38">
        <f t="shared" ref="AR387" si="5437">TRUNC($M387 * AQ387,2)</f>
        <v>0</v>
      </c>
      <c r="AS387" s="38"/>
      <c r="AT387" s="38">
        <f t="shared" ref="AT387" si="5438">TRUNC($M387 * AS387,2)</f>
        <v>0</v>
      </c>
      <c r="AU387" s="38"/>
      <c r="AV387" s="38">
        <f t="shared" ref="AV387" si="5439">TRUNC($M387 * AU387,2)</f>
        <v>0</v>
      </c>
      <c r="AW387" s="38"/>
      <c r="AX387" s="37">
        <f t="shared" ref="AX387" si="5440">TRUNC($M387 * AW387,2)</f>
        <v>0</v>
      </c>
      <c r="AY387" s="36">
        <f t="shared" si="4520"/>
        <v>0</v>
      </c>
      <c r="AZ387" s="38">
        <f t="shared" ref="AZ387" si="5441">TRUNC($M387 * AY387,2)</f>
        <v>0</v>
      </c>
      <c r="BA387" s="38">
        <f t="shared" si="4522"/>
        <v>2</v>
      </c>
      <c r="BB387" s="37">
        <f t="shared" ref="BB387" si="5442">TRUNC($M387 * BA387,2)</f>
        <v>653.78</v>
      </c>
    </row>
    <row r="388" spans="1:54" ht="39" customHeight="1" x14ac:dyDescent="0.25">
      <c r="A388" s="31" t="s">
        <v>1200</v>
      </c>
      <c r="B388" s="31" t="s">
        <v>787</v>
      </c>
      <c r="C388" s="31" t="s">
        <v>446</v>
      </c>
      <c r="D388" s="31" t="s">
        <v>788</v>
      </c>
      <c r="E388" s="32" t="s">
        <v>448</v>
      </c>
      <c r="F388" s="33">
        <v>1</v>
      </c>
      <c r="G388" s="34">
        <v>483.41</v>
      </c>
      <c r="H388" s="34">
        <f t="shared" si="4499"/>
        <v>445.09</v>
      </c>
      <c r="I388" s="34">
        <f t="shared" si="4500"/>
        <v>445.09</v>
      </c>
      <c r="J388" s="34">
        <f>(TRUNC(H388 * L14,2) + H388)</f>
        <v>535.62</v>
      </c>
      <c r="K388" s="34">
        <f t="shared" si="5051"/>
        <v>535.62</v>
      </c>
      <c r="L388" s="35">
        <f>K388 / L13</f>
        <v>1.846965517241379E-4</v>
      </c>
      <c r="M388" s="36">
        <v>534.66999999999996</v>
      </c>
      <c r="N388" s="37">
        <f t="shared" si="4502"/>
        <v>534.66999999999996</v>
      </c>
      <c r="O388" s="36"/>
      <c r="P388" s="38">
        <f t="shared" si="4503"/>
        <v>0</v>
      </c>
      <c r="Q388" s="38"/>
      <c r="R388" s="38">
        <f t="shared" si="4503"/>
        <v>0</v>
      </c>
      <c r="S388" s="38">
        <f t="shared" si="4504"/>
        <v>1</v>
      </c>
      <c r="T388" s="37">
        <f t="shared" ref="T388:V388" si="5443">TRUNC($M388 * S388,2)</f>
        <v>534.66999999999996</v>
      </c>
      <c r="U388" s="36"/>
      <c r="V388" s="38">
        <f t="shared" si="5443"/>
        <v>0</v>
      </c>
      <c r="W388" s="38"/>
      <c r="X388" s="38">
        <f t="shared" ref="X388" si="5444">TRUNC($M388 * W388,2)</f>
        <v>0</v>
      </c>
      <c r="Y388" s="38"/>
      <c r="Z388" s="38">
        <f t="shared" ref="Z388" si="5445">TRUNC($M388 * Y388,2)</f>
        <v>0</v>
      </c>
      <c r="AA388" s="38"/>
      <c r="AB388" s="38">
        <f t="shared" ref="AB388" si="5446">TRUNC($M388 * AA388,2)</f>
        <v>0</v>
      </c>
      <c r="AC388" s="38"/>
      <c r="AD388" s="38">
        <f t="shared" ref="AD388" si="5447">TRUNC($M388 * AC388,2)</f>
        <v>0</v>
      </c>
      <c r="AE388" s="38"/>
      <c r="AF388" s="38">
        <f t="shared" ref="AF388" si="5448">TRUNC($M388 * AE388,2)</f>
        <v>0</v>
      </c>
      <c r="AG388" s="38"/>
      <c r="AH388" s="38">
        <f t="shared" ref="AH388" si="5449">TRUNC($M388 * AG388,2)</f>
        <v>0</v>
      </c>
      <c r="AI388" s="38"/>
      <c r="AJ388" s="38">
        <f t="shared" ref="AJ388" si="5450">TRUNC($M388 * AI388,2)</f>
        <v>0</v>
      </c>
      <c r="AK388" s="38"/>
      <c r="AL388" s="38">
        <f t="shared" ref="AL388" si="5451">TRUNC($M388 * AK388,2)</f>
        <v>0</v>
      </c>
      <c r="AM388" s="38"/>
      <c r="AN388" s="38">
        <f t="shared" ref="AN388" si="5452">TRUNC($M388 * AM388,2)</f>
        <v>0</v>
      </c>
      <c r="AO388" s="38"/>
      <c r="AP388" s="38">
        <f t="shared" ref="AP388" si="5453">TRUNC($M388 * AO388,2)</f>
        <v>0</v>
      </c>
      <c r="AQ388" s="38"/>
      <c r="AR388" s="38">
        <f t="shared" ref="AR388" si="5454">TRUNC($M388 * AQ388,2)</f>
        <v>0</v>
      </c>
      <c r="AS388" s="38"/>
      <c r="AT388" s="38">
        <f t="shared" ref="AT388" si="5455">TRUNC($M388 * AS388,2)</f>
        <v>0</v>
      </c>
      <c r="AU388" s="38"/>
      <c r="AV388" s="38">
        <f t="shared" ref="AV388" si="5456">TRUNC($M388 * AU388,2)</f>
        <v>0</v>
      </c>
      <c r="AW388" s="38"/>
      <c r="AX388" s="37">
        <f t="shared" ref="AX388" si="5457">TRUNC($M388 * AW388,2)</f>
        <v>0</v>
      </c>
      <c r="AY388" s="36">
        <f t="shared" si="4520"/>
        <v>0</v>
      </c>
      <c r="AZ388" s="38">
        <f t="shared" ref="AZ388" si="5458">TRUNC($M388 * AY388,2)</f>
        <v>0</v>
      </c>
      <c r="BA388" s="38">
        <f t="shared" si="4522"/>
        <v>1</v>
      </c>
      <c r="BB388" s="37">
        <f t="shared" ref="BB388" si="5459">TRUNC($M388 * BA388,2)</f>
        <v>534.66999999999996</v>
      </c>
    </row>
    <row r="389" spans="1:54" ht="26.1" customHeight="1" x14ac:dyDescent="0.25">
      <c r="A389" s="31" t="s">
        <v>1201</v>
      </c>
      <c r="B389" s="31" t="s">
        <v>789</v>
      </c>
      <c r="C389" s="31" t="s">
        <v>245</v>
      </c>
      <c r="D389" s="31" t="s">
        <v>790</v>
      </c>
      <c r="E389" s="32" t="s">
        <v>36</v>
      </c>
      <c r="F389" s="33">
        <v>18</v>
      </c>
      <c r="G389" s="34">
        <v>309.67</v>
      </c>
      <c r="H389" s="34">
        <f t="shared" si="4499"/>
        <v>285.12</v>
      </c>
      <c r="I389" s="34">
        <f t="shared" si="4500"/>
        <v>5132.16</v>
      </c>
      <c r="J389" s="34">
        <f>(TRUNC(H389 * L14,2) + H389)</f>
        <v>343.11</v>
      </c>
      <c r="K389" s="34">
        <f t="shared" si="5051"/>
        <v>6175.98</v>
      </c>
      <c r="L389" s="35">
        <f>K389 / L13</f>
        <v>2.1296482758620685E-3</v>
      </c>
      <c r="M389" s="36">
        <v>64.69</v>
      </c>
      <c r="N389" s="37">
        <f t="shared" si="4502"/>
        <v>1164.42</v>
      </c>
      <c r="O389" s="36"/>
      <c r="P389" s="38">
        <f t="shared" si="4503"/>
        <v>0</v>
      </c>
      <c r="Q389" s="38"/>
      <c r="R389" s="38">
        <f t="shared" si="4503"/>
        <v>0</v>
      </c>
      <c r="S389" s="38">
        <f t="shared" si="4504"/>
        <v>18</v>
      </c>
      <c r="T389" s="37">
        <f t="shared" ref="T389:V389" si="5460">TRUNC($M389 * S389,2)</f>
        <v>1164.42</v>
      </c>
      <c r="U389" s="36"/>
      <c r="V389" s="38">
        <f t="shared" si="5460"/>
        <v>0</v>
      </c>
      <c r="W389" s="38"/>
      <c r="X389" s="38">
        <f t="shared" ref="X389" si="5461">TRUNC($M389 * W389,2)</f>
        <v>0</v>
      </c>
      <c r="Y389" s="38"/>
      <c r="Z389" s="38">
        <f t="shared" ref="Z389" si="5462">TRUNC($M389 * Y389,2)</f>
        <v>0</v>
      </c>
      <c r="AA389" s="38"/>
      <c r="AB389" s="38">
        <f t="shared" ref="AB389" si="5463">TRUNC($M389 * AA389,2)</f>
        <v>0</v>
      </c>
      <c r="AC389" s="38"/>
      <c r="AD389" s="38">
        <f t="shared" ref="AD389" si="5464">TRUNC($M389 * AC389,2)</f>
        <v>0</v>
      </c>
      <c r="AE389" s="38"/>
      <c r="AF389" s="38">
        <f t="shared" ref="AF389" si="5465">TRUNC($M389 * AE389,2)</f>
        <v>0</v>
      </c>
      <c r="AG389" s="38"/>
      <c r="AH389" s="38">
        <f t="shared" ref="AH389" si="5466">TRUNC($M389 * AG389,2)</f>
        <v>0</v>
      </c>
      <c r="AI389" s="38"/>
      <c r="AJ389" s="38">
        <f t="shared" ref="AJ389" si="5467">TRUNC($M389 * AI389,2)</f>
        <v>0</v>
      </c>
      <c r="AK389" s="38"/>
      <c r="AL389" s="38">
        <f t="shared" ref="AL389" si="5468">TRUNC($M389 * AK389,2)</f>
        <v>0</v>
      </c>
      <c r="AM389" s="38"/>
      <c r="AN389" s="38">
        <f t="shared" ref="AN389" si="5469">TRUNC($M389 * AM389,2)</f>
        <v>0</v>
      </c>
      <c r="AO389" s="38"/>
      <c r="AP389" s="38">
        <f t="shared" ref="AP389" si="5470">TRUNC($M389 * AO389,2)</f>
        <v>0</v>
      </c>
      <c r="AQ389" s="38"/>
      <c r="AR389" s="38">
        <f t="shared" ref="AR389" si="5471">TRUNC($M389 * AQ389,2)</f>
        <v>0</v>
      </c>
      <c r="AS389" s="38"/>
      <c r="AT389" s="38">
        <f t="shared" ref="AT389" si="5472">TRUNC($M389 * AS389,2)</f>
        <v>0</v>
      </c>
      <c r="AU389" s="38"/>
      <c r="AV389" s="38">
        <f t="shared" ref="AV389" si="5473">TRUNC($M389 * AU389,2)</f>
        <v>0</v>
      </c>
      <c r="AW389" s="38"/>
      <c r="AX389" s="37">
        <f t="shared" ref="AX389" si="5474">TRUNC($M389 * AW389,2)</f>
        <v>0</v>
      </c>
      <c r="AY389" s="36">
        <f t="shared" si="4520"/>
        <v>0</v>
      </c>
      <c r="AZ389" s="38">
        <f t="shared" ref="AZ389" si="5475">TRUNC($M389 * AY389,2)</f>
        <v>0</v>
      </c>
      <c r="BA389" s="38">
        <f t="shared" si="4522"/>
        <v>18</v>
      </c>
      <c r="BB389" s="37">
        <f t="shared" ref="BB389" si="5476">TRUNC($M389 * BA389,2)</f>
        <v>1164.42</v>
      </c>
    </row>
    <row r="390" spans="1:54" ht="39" customHeight="1" x14ac:dyDescent="0.25">
      <c r="A390" s="31" t="s">
        <v>1202</v>
      </c>
      <c r="B390" s="31" t="s">
        <v>791</v>
      </c>
      <c r="C390" s="31" t="s">
        <v>19</v>
      </c>
      <c r="D390" s="31" t="s">
        <v>792</v>
      </c>
      <c r="E390" s="32" t="s">
        <v>171</v>
      </c>
      <c r="F390" s="33">
        <v>7</v>
      </c>
      <c r="G390" s="34">
        <v>697.21</v>
      </c>
      <c r="H390" s="34">
        <f t="shared" si="4499"/>
        <v>641.94000000000005</v>
      </c>
      <c r="I390" s="34">
        <f t="shared" si="4500"/>
        <v>4493.58</v>
      </c>
      <c r="J390" s="34">
        <f>(TRUNC(H390 * L14,2) + H390)</f>
        <v>772.51</v>
      </c>
      <c r="K390" s="34">
        <f t="shared" si="5051"/>
        <v>5407.57</v>
      </c>
      <c r="L390" s="35">
        <f>K390 / L13</f>
        <v>1.8646793103448273E-3</v>
      </c>
      <c r="M390" s="36">
        <v>507.52</v>
      </c>
      <c r="N390" s="37">
        <f t="shared" si="4502"/>
        <v>3552.64</v>
      </c>
      <c r="O390" s="36"/>
      <c r="P390" s="38">
        <f t="shared" si="4503"/>
        <v>0</v>
      </c>
      <c r="Q390" s="38"/>
      <c r="R390" s="38">
        <f t="shared" si="4503"/>
        <v>0</v>
      </c>
      <c r="S390" s="38">
        <f t="shared" si="4504"/>
        <v>7</v>
      </c>
      <c r="T390" s="37">
        <f t="shared" ref="T390:V390" si="5477">TRUNC($M390 * S390,2)</f>
        <v>3552.64</v>
      </c>
      <c r="U390" s="36"/>
      <c r="V390" s="38">
        <f t="shared" si="5477"/>
        <v>0</v>
      </c>
      <c r="W390" s="38"/>
      <c r="X390" s="38">
        <f t="shared" ref="X390" si="5478">TRUNC($M390 * W390,2)</f>
        <v>0</v>
      </c>
      <c r="Y390" s="38"/>
      <c r="Z390" s="38">
        <f t="shared" ref="Z390" si="5479">TRUNC($M390 * Y390,2)</f>
        <v>0</v>
      </c>
      <c r="AA390" s="38"/>
      <c r="AB390" s="38">
        <f t="shared" ref="AB390" si="5480">TRUNC($M390 * AA390,2)</f>
        <v>0</v>
      </c>
      <c r="AC390" s="38"/>
      <c r="AD390" s="38">
        <f t="shared" ref="AD390" si="5481">TRUNC($M390 * AC390,2)</f>
        <v>0</v>
      </c>
      <c r="AE390" s="38"/>
      <c r="AF390" s="38">
        <f t="shared" ref="AF390" si="5482">TRUNC($M390 * AE390,2)</f>
        <v>0</v>
      </c>
      <c r="AG390" s="38"/>
      <c r="AH390" s="38">
        <f t="shared" ref="AH390" si="5483">TRUNC($M390 * AG390,2)</f>
        <v>0</v>
      </c>
      <c r="AI390" s="38"/>
      <c r="AJ390" s="38">
        <f t="shared" ref="AJ390" si="5484">TRUNC($M390 * AI390,2)</f>
        <v>0</v>
      </c>
      <c r="AK390" s="38"/>
      <c r="AL390" s="38">
        <f t="shared" ref="AL390" si="5485">TRUNC($M390 * AK390,2)</f>
        <v>0</v>
      </c>
      <c r="AM390" s="38"/>
      <c r="AN390" s="38">
        <f t="shared" ref="AN390" si="5486">TRUNC($M390 * AM390,2)</f>
        <v>0</v>
      </c>
      <c r="AO390" s="38"/>
      <c r="AP390" s="38">
        <f t="shared" ref="AP390" si="5487">TRUNC($M390 * AO390,2)</f>
        <v>0</v>
      </c>
      <c r="AQ390" s="38"/>
      <c r="AR390" s="38">
        <f t="shared" ref="AR390" si="5488">TRUNC($M390 * AQ390,2)</f>
        <v>0</v>
      </c>
      <c r="AS390" s="38"/>
      <c r="AT390" s="38">
        <f t="shared" ref="AT390" si="5489">TRUNC($M390 * AS390,2)</f>
        <v>0</v>
      </c>
      <c r="AU390" s="38"/>
      <c r="AV390" s="38">
        <f t="shared" ref="AV390" si="5490">TRUNC($M390 * AU390,2)</f>
        <v>0</v>
      </c>
      <c r="AW390" s="38"/>
      <c r="AX390" s="37">
        <f t="shared" ref="AX390" si="5491">TRUNC($M390 * AW390,2)</f>
        <v>0</v>
      </c>
      <c r="AY390" s="36">
        <f t="shared" si="4520"/>
        <v>0</v>
      </c>
      <c r="AZ390" s="38">
        <f t="shared" ref="AZ390" si="5492">TRUNC($M390 * AY390,2)</f>
        <v>0</v>
      </c>
      <c r="BA390" s="38">
        <f t="shared" si="4522"/>
        <v>7</v>
      </c>
      <c r="BB390" s="37">
        <f t="shared" ref="BB390" si="5493">TRUNC($M390 * BA390,2)</f>
        <v>3552.64</v>
      </c>
    </row>
    <row r="391" spans="1:54" ht="39" customHeight="1" x14ac:dyDescent="0.25">
      <c r="A391" s="31" t="s">
        <v>1203</v>
      </c>
      <c r="B391" s="31" t="s">
        <v>793</v>
      </c>
      <c r="C391" s="31" t="s">
        <v>446</v>
      </c>
      <c r="D391" s="31" t="s">
        <v>794</v>
      </c>
      <c r="E391" s="32" t="s">
        <v>448</v>
      </c>
      <c r="F391" s="33">
        <v>11</v>
      </c>
      <c r="G391" s="34">
        <v>129.25</v>
      </c>
      <c r="H391" s="34">
        <f t="shared" si="4499"/>
        <v>119</v>
      </c>
      <c r="I391" s="34">
        <f t="shared" si="4500"/>
        <v>1309</v>
      </c>
      <c r="J391" s="34">
        <f>(TRUNC(H391 * L14,2) + H391)</f>
        <v>143.19999999999999</v>
      </c>
      <c r="K391" s="34">
        <f t="shared" si="5051"/>
        <v>1575.2</v>
      </c>
      <c r="L391" s="35">
        <f>K391 / L13</f>
        <v>5.4317241379310338E-4</v>
      </c>
      <c r="M391" s="36">
        <v>141.96</v>
      </c>
      <c r="N391" s="37">
        <f t="shared" si="4502"/>
        <v>1561.56</v>
      </c>
      <c r="O391" s="36"/>
      <c r="P391" s="38">
        <f t="shared" si="4503"/>
        <v>0</v>
      </c>
      <c r="Q391" s="38"/>
      <c r="R391" s="38">
        <f t="shared" si="4503"/>
        <v>0</v>
      </c>
      <c r="S391" s="38">
        <f t="shared" si="4504"/>
        <v>11</v>
      </c>
      <c r="T391" s="37">
        <f t="shared" ref="T391:V391" si="5494">TRUNC($M391 * S391,2)</f>
        <v>1561.56</v>
      </c>
      <c r="U391" s="36"/>
      <c r="V391" s="38">
        <f t="shared" si="5494"/>
        <v>0</v>
      </c>
      <c r="W391" s="38"/>
      <c r="X391" s="38">
        <f t="shared" ref="X391" si="5495">TRUNC($M391 * W391,2)</f>
        <v>0</v>
      </c>
      <c r="Y391" s="38"/>
      <c r="Z391" s="38">
        <f t="shared" ref="Z391" si="5496">TRUNC($M391 * Y391,2)</f>
        <v>0</v>
      </c>
      <c r="AA391" s="38"/>
      <c r="AB391" s="38">
        <f t="shared" ref="AB391" si="5497">TRUNC($M391 * AA391,2)</f>
        <v>0</v>
      </c>
      <c r="AC391" s="38"/>
      <c r="AD391" s="38">
        <f t="shared" ref="AD391" si="5498">TRUNC($M391 * AC391,2)</f>
        <v>0</v>
      </c>
      <c r="AE391" s="38"/>
      <c r="AF391" s="38">
        <f t="shared" ref="AF391" si="5499">TRUNC($M391 * AE391,2)</f>
        <v>0</v>
      </c>
      <c r="AG391" s="38"/>
      <c r="AH391" s="38">
        <f t="shared" ref="AH391" si="5500">TRUNC($M391 * AG391,2)</f>
        <v>0</v>
      </c>
      <c r="AI391" s="38"/>
      <c r="AJ391" s="38">
        <f t="shared" ref="AJ391" si="5501">TRUNC($M391 * AI391,2)</f>
        <v>0</v>
      </c>
      <c r="AK391" s="38"/>
      <c r="AL391" s="38">
        <f t="shared" ref="AL391" si="5502">TRUNC($M391 * AK391,2)</f>
        <v>0</v>
      </c>
      <c r="AM391" s="38"/>
      <c r="AN391" s="38">
        <f t="shared" ref="AN391" si="5503">TRUNC($M391 * AM391,2)</f>
        <v>0</v>
      </c>
      <c r="AO391" s="38"/>
      <c r="AP391" s="38">
        <f t="shared" ref="AP391" si="5504">TRUNC($M391 * AO391,2)</f>
        <v>0</v>
      </c>
      <c r="AQ391" s="38"/>
      <c r="AR391" s="38">
        <f t="shared" ref="AR391" si="5505">TRUNC($M391 * AQ391,2)</f>
        <v>0</v>
      </c>
      <c r="AS391" s="38"/>
      <c r="AT391" s="38">
        <f t="shared" ref="AT391" si="5506">TRUNC($M391 * AS391,2)</f>
        <v>0</v>
      </c>
      <c r="AU391" s="38"/>
      <c r="AV391" s="38">
        <f t="shared" ref="AV391" si="5507">TRUNC($M391 * AU391,2)</f>
        <v>0</v>
      </c>
      <c r="AW391" s="38"/>
      <c r="AX391" s="37">
        <f t="shared" ref="AX391" si="5508">TRUNC($M391 * AW391,2)</f>
        <v>0</v>
      </c>
      <c r="AY391" s="36">
        <f t="shared" si="4520"/>
        <v>0</v>
      </c>
      <c r="AZ391" s="38">
        <f t="shared" ref="AZ391" si="5509">TRUNC($M391 * AY391,2)</f>
        <v>0</v>
      </c>
      <c r="BA391" s="38">
        <f t="shared" si="4522"/>
        <v>11</v>
      </c>
      <c r="BB391" s="37">
        <f t="shared" ref="BB391" si="5510">TRUNC($M391 * BA391,2)</f>
        <v>1561.56</v>
      </c>
    </row>
    <row r="392" spans="1:54" ht="39" customHeight="1" x14ac:dyDescent="0.25">
      <c r="A392" s="31" t="s">
        <v>1204</v>
      </c>
      <c r="B392" s="31" t="s">
        <v>795</v>
      </c>
      <c r="C392" s="31" t="s">
        <v>446</v>
      </c>
      <c r="D392" s="31" t="s">
        <v>796</v>
      </c>
      <c r="E392" s="32" t="s">
        <v>448</v>
      </c>
      <c r="F392" s="33">
        <v>4</v>
      </c>
      <c r="G392" s="34">
        <v>137.84</v>
      </c>
      <c r="H392" s="34">
        <f t="shared" si="4499"/>
        <v>126.91</v>
      </c>
      <c r="I392" s="34">
        <f t="shared" si="4500"/>
        <v>507.64</v>
      </c>
      <c r="J392" s="34">
        <f>(TRUNC(H392 * L14,2) + H392)</f>
        <v>152.72</v>
      </c>
      <c r="K392" s="34">
        <f t="shared" si="5051"/>
        <v>610.88</v>
      </c>
      <c r="L392" s="35">
        <f>K392 / L13</f>
        <v>2.1064827586206894E-4</v>
      </c>
      <c r="M392" s="36">
        <v>145.85</v>
      </c>
      <c r="N392" s="37">
        <f t="shared" si="4502"/>
        <v>583.4</v>
      </c>
      <c r="O392" s="36"/>
      <c r="P392" s="38">
        <f t="shared" si="4503"/>
        <v>0</v>
      </c>
      <c r="Q392" s="38"/>
      <c r="R392" s="38">
        <f t="shared" si="4503"/>
        <v>0</v>
      </c>
      <c r="S392" s="38">
        <f t="shared" si="4504"/>
        <v>4</v>
      </c>
      <c r="T392" s="37">
        <f t="shared" ref="T392:V392" si="5511">TRUNC($M392 * S392,2)</f>
        <v>583.4</v>
      </c>
      <c r="U392" s="36"/>
      <c r="V392" s="38">
        <f t="shared" si="5511"/>
        <v>0</v>
      </c>
      <c r="W392" s="38"/>
      <c r="X392" s="38">
        <f t="shared" ref="X392" si="5512">TRUNC($M392 * W392,2)</f>
        <v>0</v>
      </c>
      <c r="Y392" s="38"/>
      <c r="Z392" s="38">
        <f t="shared" ref="Z392" si="5513">TRUNC($M392 * Y392,2)</f>
        <v>0</v>
      </c>
      <c r="AA392" s="38"/>
      <c r="AB392" s="38">
        <f t="shared" ref="AB392" si="5514">TRUNC($M392 * AA392,2)</f>
        <v>0</v>
      </c>
      <c r="AC392" s="38"/>
      <c r="AD392" s="38">
        <f t="shared" ref="AD392" si="5515">TRUNC($M392 * AC392,2)</f>
        <v>0</v>
      </c>
      <c r="AE392" s="38"/>
      <c r="AF392" s="38">
        <f t="shared" ref="AF392" si="5516">TRUNC($M392 * AE392,2)</f>
        <v>0</v>
      </c>
      <c r="AG392" s="38"/>
      <c r="AH392" s="38">
        <f t="shared" ref="AH392" si="5517">TRUNC($M392 * AG392,2)</f>
        <v>0</v>
      </c>
      <c r="AI392" s="38"/>
      <c r="AJ392" s="38">
        <f t="shared" ref="AJ392" si="5518">TRUNC($M392 * AI392,2)</f>
        <v>0</v>
      </c>
      <c r="AK392" s="38"/>
      <c r="AL392" s="38">
        <f t="shared" ref="AL392" si="5519">TRUNC($M392 * AK392,2)</f>
        <v>0</v>
      </c>
      <c r="AM392" s="38"/>
      <c r="AN392" s="38">
        <f t="shared" ref="AN392" si="5520">TRUNC($M392 * AM392,2)</f>
        <v>0</v>
      </c>
      <c r="AO392" s="38"/>
      <c r="AP392" s="38">
        <f t="shared" ref="AP392" si="5521">TRUNC($M392 * AO392,2)</f>
        <v>0</v>
      </c>
      <c r="AQ392" s="38"/>
      <c r="AR392" s="38">
        <f t="shared" ref="AR392" si="5522">TRUNC($M392 * AQ392,2)</f>
        <v>0</v>
      </c>
      <c r="AS392" s="38"/>
      <c r="AT392" s="38">
        <f t="shared" ref="AT392" si="5523">TRUNC($M392 * AS392,2)</f>
        <v>0</v>
      </c>
      <c r="AU392" s="38"/>
      <c r="AV392" s="38">
        <f t="shared" ref="AV392" si="5524">TRUNC($M392 * AU392,2)</f>
        <v>0</v>
      </c>
      <c r="AW392" s="38"/>
      <c r="AX392" s="37">
        <f t="shared" ref="AX392" si="5525">TRUNC($M392 * AW392,2)</f>
        <v>0</v>
      </c>
      <c r="AY392" s="36">
        <f t="shared" si="4520"/>
        <v>0</v>
      </c>
      <c r="AZ392" s="38">
        <f t="shared" ref="AZ392" si="5526">TRUNC($M392 * AY392,2)</f>
        <v>0</v>
      </c>
      <c r="BA392" s="38">
        <f t="shared" si="4522"/>
        <v>4</v>
      </c>
      <c r="BB392" s="37">
        <f t="shared" ref="BB392" si="5527">TRUNC($M392 * BA392,2)</f>
        <v>583.4</v>
      </c>
    </row>
    <row r="393" spans="1:54" ht="24" customHeight="1" x14ac:dyDescent="0.25">
      <c r="A393" s="31" t="s">
        <v>1205</v>
      </c>
      <c r="B393" s="31" t="s">
        <v>797</v>
      </c>
      <c r="C393" s="31" t="s">
        <v>245</v>
      </c>
      <c r="D393" s="31" t="s">
        <v>798</v>
      </c>
      <c r="E393" s="32" t="s">
        <v>36</v>
      </c>
      <c r="F393" s="33">
        <v>8</v>
      </c>
      <c r="G393" s="34">
        <v>14.26</v>
      </c>
      <c r="H393" s="34">
        <f t="shared" si="4499"/>
        <v>13.12</v>
      </c>
      <c r="I393" s="34">
        <f t="shared" si="4500"/>
        <v>104.96</v>
      </c>
      <c r="J393" s="34">
        <f>(TRUNC(H393 * L14,2) + H393)</f>
        <v>15.78</v>
      </c>
      <c r="K393" s="34">
        <f t="shared" si="5051"/>
        <v>126.24</v>
      </c>
      <c r="L393" s="35">
        <f>K393 / L13</f>
        <v>4.3531034482758609E-5</v>
      </c>
      <c r="M393" s="36">
        <v>2.97</v>
      </c>
      <c r="N393" s="37">
        <f t="shared" si="4502"/>
        <v>23.76</v>
      </c>
      <c r="O393" s="36"/>
      <c r="P393" s="38">
        <f t="shared" si="4503"/>
        <v>0</v>
      </c>
      <c r="Q393" s="38"/>
      <c r="R393" s="38">
        <f t="shared" si="4503"/>
        <v>0</v>
      </c>
      <c r="S393" s="38">
        <f t="shared" si="4504"/>
        <v>8</v>
      </c>
      <c r="T393" s="37">
        <f t="shared" ref="T393:V393" si="5528">TRUNC($M393 * S393,2)</f>
        <v>23.76</v>
      </c>
      <c r="U393" s="36"/>
      <c r="V393" s="38">
        <f t="shared" si="5528"/>
        <v>0</v>
      </c>
      <c r="W393" s="38"/>
      <c r="X393" s="38">
        <f t="shared" ref="X393" si="5529">TRUNC($M393 * W393,2)</f>
        <v>0</v>
      </c>
      <c r="Y393" s="38"/>
      <c r="Z393" s="38">
        <f t="shared" ref="Z393" si="5530">TRUNC($M393 * Y393,2)</f>
        <v>0</v>
      </c>
      <c r="AA393" s="38"/>
      <c r="AB393" s="38">
        <f t="shared" ref="AB393" si="5531">TRUNC($M393 * AA393,2)</f>
        <v>0</v>
      </c>
      <c r="AC393" s="38"/>
      <c r="AD393" s="38">
        <f t="shared" ref="AD393" si="5532">TRUNC($M393 * AC393,2)</f>
        <v>0</v>
      </c>
      <c r="AE393" s="38"/>
      <c r="AF393" s="38">
        <f t="shared" ref="AF393" si="5533">TRUNC($M393 * AE393,2)</f>
        <v>0</v>
      </c>
      <c r="AG393" s="38"/>
      <c r="AH393" s="38">
        <f t="shared" ref="AH393" si="5534">TRUNC($M393 * AG393,2)</f>
        <v>0</v>
      </c>
      <c r="AI393" s="38"/>
      <c r="AJ393" s="38">
        <f t="shared" ref="AJ393" si="5535">TRUNC($M393 * AI393,2)</f>
        <v>0</v>
      </c>
      <c r="AK393" s="38"/>
      <c r="AL393" s="38">
        <f t="shared" ref="AL393" si="5536">TRUNC($M393 * AK393,2)</f>
        <v>0</v>
      </c>
      <c r="AM393" s="38"/>
      <c r="AN393" s="38">
        <f t="shared" ref="AN393" si="5537">TRUNC($M393 * AM393,2)</f>
        <v>0</v>
      </c>
      <c r="AO393" s="38"/>
      <c r="AP393" s="38">
        <f t="shared" ref="AP393" si="5538">TRUNC($M393 * AO393,2)</f>
        <v>0</v>
      </c>
      <c r="AQ393" s="38"/>
      <c r="AR393" s="38">
        <f t="shared" ref="AR393" si="5539">TRUNC($M393 * AQ393,2)</f>
        <v>0</v>
      </c>
      <c r="AS393" s="38"/>
      <c r="AT393" s="38">
        <f t="shared" ref="AT393" si="5540">TRUNC($M393 * AS393,2)</f>
        <v>0</v>
      </c>
      <c r="AU393" s="38"/>
      <c r="AV393" s="38">
        <f t="shared" ref="AV393" si="5541">TRUNC($M393 * AU393,2)</f>
        <v>0</v>
      </c>
      <c r="AW393" s="38"/>
      <c r="AX393" s="37">
        <f t="shared" ref="AX393" si="5542">TRUNC($M393 * AW393,2)</f>
        <v>0</v>
      </c>
      <c r="AY393" s="36">
        <f t="shared" si="4520"/>
        <v>0</v>
      </c>
      <c r="AZ393" s="38">
        <f t="shared" ref="AZ393" si="5543">TRUNC($M393 * AY393,2)</f>
        <v>0</v>
      </c>
      <c r="BA393" s="38">
        <f t="shared" si="4522"/>
        <v>8</v>
      </c>
      <c r="BB393" s="37">
        <f t="shared" ref="BB393" si="5544">TRUNC($M393 * BA393,2)</f>
        <v>23.76</v>
      </c>
    </row>
    <row r="394" spans="1:54" ht="26.1" customHeight="1" x14ac:dyDescent="0.25">
      <c r="A394" s="31" t="s">
        <v>1206</v>
      </c>
      <c r="B394" s="31" t="s">
        <v>799</v>
      </c>
      <c r="C394" s="31" t="s">
        <v>245</v>
      </c>
      <c r="D394" s="31" t="s">
        <v>800</v>
      </c>
      <c r="E394" s="32" t="s">
        <v>36</v>
      </c>
      <c r="F394" s="33">
        <v>21</v>
      </c>
      <c r="G394" s="34">
        <v>12.73</v>
      </c>
      <c r="H394" s="34">
        <f t="shared" si="4499"/>
        <v>11.72</v>
      </c>
      <c r="I394" s="34">
        <f t="shared" si="4500"/>
        <v>246.12</v>
      </c>
      <c r="J394" s="34">
        <f>(TRUNC(H394 * L14,2) + H394)</f>
        <v>14.100000000000001</v>
      </c>
      <c r="K394" s="34">
        <f t="shared" si="5051"/>
        <v>296.10000000000002</v>
      </c>
      <c r="L394" s="35">
        <f>K394 / L13</f>
        <v>1.0210344827586206E-4</v>
      </c>
      <c r="M394" s="36">
        <v>2.65</v>
      </c>
      <c r="N394" s="37">
        <f t="shared" si="4502"/>
        <v>55.65</v>
      </c>
      <c r="O394" s="36"/>
      <c r="P394" s="38">
        <f t="shared" si="4503"/>
        <v>0</v>
      </c>
      <c r="Q394" s="38"/>
      <c r="R394" s="38">
        <f t="shared" si="4503"/>
        <v>0</v>
      </c>
      <c r="S394" s="38">
        <f t="shared" si="4504"/>
        <v>21</v>
      </c>
      <c r="T394" s="37">
        <f t="shared" ref="T394:V394" si="5545">TRUNC($M394 * S394,2)</f>
        <v>55.65</v>
      </c>
      <c r="U394" s="36"/>
      <c r="V394" s="38">
        <f t="shared" si="5545"/>
        <v>0</v>
      </c>
      <c r="W394" s="38"/>
      <c r="X394" s="38">
        <f t="shared" ref="X394" si="5546">TRUNC($M394 * W394,2)</f>
        <v>0</v>
      </c>
      <c r="Y394" s="38"/>
      <c r="Z394" s="38">
        <f t="shared" ref="Z394" si="5547">TRUNC($M394 * Y394,2)</f>
        <v>0</v>
      </c>
      <c r="AA394" s="38"/>
      <c r="AB394" s="38">
        <f t="shared" ref="AB394" si="5548">TRUNC($M394 * AA394,2)</f>
        <v>0</v>
      </c>
      <c r="AC394" s="38"/>
      <c r="AD394" s="38">
        <f t="shared" ref="AD394" si="5549">TRUNC($M394 * AC394,2)</f>
        <v>0</v>
      </c>
      <c r="AE394" s="38"/>
      <c r="AF394" s="38">
        <f t="shared" ref="AF394" si="5550">TRUNC($M394 * AE394,2)</f>
        <v>0</v>
      </c>
      <c r="AG394" s="38"/>
      <c r="AH394" s="38">
        <f t="shared" ref="AH394" si="5551">TRUNC($M394 * AG394,2)</f>
        <v>0</v>
      </c>
      <c r="AI394" s="38"/>
      <c r="AJ394" s="38">
        <f t="shared" ref="AJ394" si="5552">TRUNC($M394 * AI394,2)</f>
        <v>0</v>
      </c>
      <c r="AK394" s="38"/>
      <c r="AL394" s="38">
        <f t="shared" ref="AL394" si="5553">TRUNC($M394 * AK394,2)</f>
        <v>0</v>
      </c>
      <c r="AM394" s="38"/>
      <c r="AN394" s="38">
        <f t="shared" ref="AN394" si="5554">TRUNC($M394 * AM394,2)</f>
        <v>0</v>
      </c>
      <c r="AO394" s="38"/>
      <c r="AP394" s="38">
        <f t="shared" ref="AP394" si="5555">TRUNC($M394 * AO394,2)</f>
        <v>0</v>
      </c>
      <c r="AQ394" s="38"/>
      <c r="AR394" s="38">
        <f t="shared" ref="AR394" si="5556">TRUNC($M394 * AQ394,2)</f>
        <v>0</v>
      </c>
      <c r="AS394" s="38"/>
      <c r="AT394" s="38">
        <f t="shared" ref="AT394" si="5557">TRUNC($M394 * AS394,2)</f>
        <v>0</v>
      </c>
      <c r="AU394" s="38"/>
      <c r="AV394" s="38">
        <f t="shared" ref="AV394" si="5558">TRUNC($M394 * AU394,2)</f>
        <v>0</v>
      </c>
      <c r="AW394" s="38"/>
      <c r="AX394" s="37">
        <f t="shared" ref="AX394" si="5559">TRUNC($M394 * AW394,2)</f>
        <v>0</v>
      </c>
      <c r="AY394" s="36">
        <f t="shared" si="4520"/>
        <v>0</v>
      </c>
      <c r="AZ394" s="38">
        <f t="shared" ref="AZ394" si="5560">TRUNC($M394 * AY394,2)</f>
        <v>0</v>
      </c>
      <c r="BA394" s="38">
        <f t="shared" si="4522"/>
        <v>21</v>
      </c>
      <c r="BB394" s="37">
        <f t="shared" ref="BB394" si="5561">TRUNC($M394 * BA394,2)</f>
        <v>55.65</v>
      </c>
    </row>
    <row r="395" spans="1:54" ht="26.1" customHeight="1" x14ac:dyDescent="0.25">
      <c r="A395" s="31" t="s">
        <v>1207</v>
      </c>
      <c r="B395" s="31" t="s">
        <v>801</v>
      </c>
      <c r="C395" s="31" t="s">
        <v>24</v>
      </c>
      <c r="D395" s="31" t="s">
        <v>802</v>
      </c>
      <c r="E395" s="32" t="s">
        <v>171</v>
      </c>
      <c r="F395" s="33">
        <v>2</v>
      </c>
      <c r="G395" s="34">
        <v>42.01</v>
      </c>
      <c r="H395" s="34">
        <f t="shared" ref="H395:H435" si="5562">TRUNC(G395*$L$1,2)</f>
        <v>38.68</v>
      </c>
      <c r="I395" s="34">
        <f t="shared" ref="I395:I435" si="5563">TRUNC(F395 * H395,2)</f>
        <v>77.36</v>
      </c>
      <c r="J395" s="34">
        <f>(TRUNC(H395 * L14,2) + H395)</f>
        <v>46.54</v>
      </c>
      <c r="K395" s="34">
        <f t="shared" ref="K395:K417" si="5564">TRUNC(F395 * J395,2)</f>
        <v>93.08</v>
      </c>
      <c r="L395" s="35">
        <f>K395 / L13</f>
        <v>3.2096551724137926E-5</v>
      </c>
      <c r="M395" s="36">
        <v>33.67</v>
      </c>
      <c r="N395" s="37">
        <f t="shared" ref="N395:N435" si="5565">TRUNC(F395 * M395,2)</f>
        <v>67.34</v>
      </c>
      <c r="O395" s="36"/>
      <c r="P395" s="38">
        <f t="shared" si="4503"/>
        <v>0</v>
      </c>
      <c r="Q395" s="38"/>
      <c r="R395" s="38">
        <f t="shared" si="4503"/>
        <v>0</v>
      </c>
      <c r="S395" s="38">
        <f t="shared" si="4504"/>
        <v>2</v>
      </c>
      <c r="T395" s="37">
        <f t="shared" ref="T395:V395" si="5566">TRUNC($M395 * S395,2)</f>
        <v>67.34</v>
      </c>
      <c r="U395" s="36"/>
      <c r="V395" s="38">
        <f t="shared" si="5566"/>
        <v>0</v>
      </c>
      <c r="W395" s="38"/>
      <c r="X395" s="38">
        <f t="shared" ref="X395" si="5567">TRUNC($M395 * W395,2)</f>
        <v>0</v>
      </c>
      <c r="Y395" s="38"/>
      <c r="Z395" s="38">
        <f t="shared" ref="Z395" si="5568">TRUNC($M395 * Y395,2)</f>
        <v>0</v>
      </c>
      <c r="AA395" s="38"/>
      <c r="AB395" s="38">
        <f t="shared" ref="AB395" si="5569">TRUNC($M395 * AA395,2)</f>
        <v>0</v>
      </c>
      <c r="AC395" s="38"/>
      <c r="AD395" s="38">
        <f t="shared" ref="AD395" si="5570">TRUNC($M395 * AC395,2)</f>
        <v>0</v>
      </c>
      <c r="AE395" s="38"/>
      <c r="AF395" s="38">
        <f t="shared" ref="AF395" si="5571">TRUNC($M395 * AE395,2)</f>
        <v>0</v>
      </c>
      <c r="AG395" s="38"/>
      <c r="AH395" s="38">
        <f t="shared" ref="AH395" si="5572">TRUNC($M395 * AG395,2)</f>
        <v>0</v>
      </c>
      <c r="AI395" s="38"/>
      <c r="AJ395" s="38">
        <f t="shared" ref="AJ395" si="5573">TRUNC($M395 * AI395,2)</f>
        <v>0</v>
      </c>
      <c r="AK395" s="38"/>
      <c r="AL395" s="38">
        <f t="shared" ref="AL395" si="5574">TRUNC($M395 * AK395,2)</f>
        <v>0</v>
      </c>
      <c r="AM395" s="38"/>
      <c r="AN395" s="38">
        <f t="shared" ref="AN395" si="5575">TRUNC($M395 * AM395,2)</f>
        <v>0</v>
      </c>
      <c r="AO395" s="38"/>
      <c r="AP395" s="38">
        <f t="shared" ref="AP395" si="5576">TRUNC($M395 * AO395,2)</f>
        <v>0</v>
      </c>
      <c r="AQ395" s="38"/>
      <c r="AR395" s="38">
        <f t="shared" ref="AR395" si="5577">TRUNC($M395 * AQ395,2)</f>
        <v>0</v>
      </c>
      <c r="AS395" s="38"/>
      <c r="AT395" s="38">
        <f t="shared" ref="AT395" si="5578">TRUNC($M395 * AS395,2)</f>
        <v>0</v>
      </c>
      <c r="AU395" s="38"/>
      <c r="AV395" s="38">
        <f t="shared" ref="AV395" si="5579">TRUNC($M395 * AU395,2)</f>
        <v>0</v>
      </c>
      <c r="AW395" s="38"/>
      <c r="AX395" s="37">
        <f t="shared" ref="AX395" si="5580">TRUNC($M395 * AW395,2)</f>
        <v>0</v>
      </c>
      <c r="AY395" s="36">
        <f t="shared" si="4520"/>
        <v>0</v>
      </c>
      <c r="AZ395" s="38">
        <f t="shared" ref="AZ395" si="5581">TRUNC($M395 * AY395,2)</f>
        <v>0</v>
      </c>
      <c r="BA395" s="38">
        <f t="shared" si="4522"/>
        <v>2</v>
      </c>
      <c r="BB395" s="37">
        <f t="shared" ref="BB395" si="5582">TRUNC($M395 * BA395,2)</f>
        <v>67.34</v>
      </c>
    </row>
    <row r="396" spans="1:54" ht="26.1" customHeight="1" x14ac:dyDescent="0.25">
      <c r="A396" s="31" t="s">
        <v>1208</v>
      </c>
      <c r="B396" s="31" t="s">
        <v>803</v>
      </c>
      <c r="C396" s="31" t="s">
        <v>245</v>
      </c>
      <c r="D396" s="31" t="s">
        <v>804</v>
      </c>
      <c r="E396" s="32" t="s">
        <v>218</v>
      </c>
      <c r="F396" s="33">
        <v>2.2999999999999998</v>
      </c>
      <c r="G396" s="34">
        <v>43.6</v>
      </c>
      <c r="H396" s="34">
        <f t="shared" si="5562"/>
        <v>40.14</v>
      </c>
      <c r="I396" s="34">
        <f t="shared" si="5563"/>
        <v>92.32</v>
      </c>
      <c r="J396" s="34">
        <f>(TRUNC(H396 * L14,2) + H396)</f>
        <v>48.3</v>
      </c>
      <c r="K396" s="34">
        <f t="shared" si="5564"/>
        <v>111.09</v>
      </c>
      <c r="L396" s="35">
        <f>K396 / L13</f>
        <v>3.8306896551724133E-5</v>
      </c>
      <c r="M396" s="36">
        <v>9.1</v>
      </c>
      <c r="N396" s="37">
        <f t="shared" si="5565"/>
        <v>20.93</v>
      </c>
      <c r="O396" s="36"/>
      <c r="P396" s="38">
        <f t="shared" si="4503"/>
        <v>0</v>
      </c>
      <c r="Q396" s="38"/>
      <c r="R396" s="38">
        <f t="shared" si="4503"/>
        <v>0</v>
      </c>
      <c r="S396" s="38">
        <f t="shared" si="4504"/>
        <v>2.2999999999999998</v>
      </c>
      <c r="T396" s="37">
        <f t="shared" ref="T396:V396" si="5583">TRUNC($M396 * S396,2)</f>
        <v>20.93</v>
      </c>
      <c r="U396" s="36"/>
      <c r="V396" s="38">
        <f t="shared" si="5583"/>
        <v>0</v>
      </c>
      <c r="W396" s="38"/>
      <c r="X396" s="38">
        <f t="shared" ref="X396" si="5584">TRUNC($M396 * W396,2)</f>
        <v>0</v>
      </c>
      <c r="Y396" s="38"/>
      <c r="Z396" s="38">
        <f t="shared" ref="Z396" si="5585">TRUNC($M396 * Y396,2)</f>
        <v>0</v>
      </c>
      <c r="AA396" s="38"/>
      <c r="AB396" s="38">
        <f t="shared" ref="AB396" si="5586">TRUNC($M396 * AA396,2)</f>
        <v>0</v>
      </c>
      <c r="AC396" s="38"/>
      <c r="AD396" s="38">
        <f t="shared" ref="AD396" si="5587">TRUNC($M396 * AC396,2)</f>
        <v>0</v>
      </c>
      <c r="AE396" s="38"/>
      <c r="AF396" s="38">
        <f t="shared" ref="AF396" si="5588">TRUNC($M396 * AE396,2)</f>
        <v>0</v>
      </c>
      <c r="AG396" s="38"/>
      <c r="AH396" s="38">
        <f t="shared" ref="AH396" si="5589">TRUNC($M396 * AG396,2)</f>
        <v>0</v>
      </c>
      <c r="AI396" s="38"/>
      <c r="AJ396" s="38">
        <f t="shared" ref="AJ396" si="5590">TRUNC($M396 * AI396,2)</f>
        <v>0</v>
      </c>
      <c r="AK396" s="38"/>
      <c r="AL396" s="38">
        <f t="shared" ref="AL396" si="5591">TRUNC($M396 * AK396,2)</f>
        <v>0</v>
      </c>
      <c r="AM396" s="38"/>
      <c r="AN396" s="38">
        <f t="shared" ref="AN396" si="5592">TRUNC($M396 * AM396,2)</f>
        <v>0</v>
      </c>
      <c r="AO396" s="38"/>
      <c r="AP396" s="38">
        <f t="shared" ref="AP396" si="5593">TRUNC($M396 * AO396,2)</f>
        <v>0</v>
      </c>
      <c r="AQ396" s="38"/>
      <c r="AR396" s="38">
        <f t="shared" ref="AR396" si="5594">TRUNC($M396 * AQ396,2)</f>
        <v>0</v>
      </c>
      <c r="AS396" s="38"/>
      <c r="AT396" s="38">
        <f t="shared" ref="AT396" si="5595">TRUNC($M396 * AS396,2)</f>
        <v>0</v>
      </c>
      <c r="AU396" s="38"/>
      <c r="AV396" s="38">
        <f t="shared" ref="AV396" si="5596">TRUNC($M396 * AU396,2)</f>
        <v>0</v>
      </c>
      <c r="AW396" s="38"/>
      <c r="AX396" s="37">
        <f t="shared" ref="AX396" si="5597">TRUNC($M396 * AW396,2)</f>
        <v>0</v>
      </c>
      <c r="AY396" s="36">
        <f t="shared" si="4520"/>
        <v>0</v>
      </c>
      <c r="AZ396" s="38">
        <f t="shared" ref="AZ396" si="5598">TRUNC($M396 * AY396,2)</f>
        <v>0</v>
      </c>
      <c r="BA396" s="38">
        <f t="shared" si="4522"/>
        <v>2.2999999999999998</v>
      </c>
      <c r="BB396" s="37">
        <f t="shared" ref="BB396" si="5599">TRUNC($M396 * BA396,2)</f>
        <v>20.93</v>
      </c>
    </row>
    <row r="397" spans="1:54" ht="65.099999999999994" customHeight="1" x14ac:dyDescent="0.25">
      <c r="A397" s="31" t="s">
        <v>1209</v>
      </c>
      <c r="B397" s="31" t="s">
        <v>805</v>
      </c>
      <c r="C397" s="31" t="s">
        <v>316</v>
      </c>
      <c r="D397" s="31" t="s">
        <v>806</v>
      </c>
      <c r="E397" s="32" t="s">
        <v>218</v>
      </c>
      <c r="F397" s="33">
        <v>71.599999999999994</v>
      </c>
      <c r="G397" s="34">
        <v>71.099999999999994</v>
      </c>
      <c r="H397" s="34">
        <f t="shared" si="5562"/>
        <v>65.459999999999994</v>
      </c>
      <c r="I397" s="34">
        <f t="shared" si="5563"/>
        <v>4686.93</v>
      </c>
      <c r="J397" s="34">
        <f>(TRUNC(H397 * L14,2) + H397)</f>
        <v>78.77</v>
      </c>
      <c r="K397" s="34">
        <f t="shared" si="5564"/>
        <v>5639.93</v>
      </c>
      <c r="L397" s="35">
        <f>K397 / L13</f>
        <v>1.9448034482758619E-3</v>
      </c>
      <c r="M397" s="36">
        <v>68.47</v>
      </c>
      <c r="N397" s="37">
        <f t="shared" si="5565"/>
        <v>4902.45</v>
      </c>
      <c r="O397" s="36"/>
      <c r="P397" s="38">
        <f t="shared" ref="P397:R435" si="5600">TRUNC($M397 * O397,2)</f>
        <v>0</v>
      </c>
      <c r="Q397" s="38"/>
      <c r="R397" s="38">
        <f t="shared" si="5600"/>
        <v>0</v>
      </c>
      <c r="S397" s="38">
        <f t="shared" ref="S397:S435" si="5601">F397+O397-Q397</f>
        <v>71.599999999999994</v>
      </c>
      <c r="T397" s="37">
        <f t="shared" ref="T397:V397" si="5602">TRUNC($M397 * S397,2)</f>
        <v>4902.45</v>
      </c>
      <c r="U397" s="36"/>
      <c r="V397" s="38">
        <f t="shared" si="5602"/>
        <v>0</v>
      </c>
      <c r="W397" s="38"/>
      <c r="X397" s="38">
        <f t="shared" ref="X397" si="5603">TRUNC($M397 * W397,2)</f>
        <v>0</v>
      </c>
      <c r="Y397" s="38"/>
      <c r="Z397" s="38">
        <f t="shared" ref="Z397" si="5604">TRUNC($M397 * Y397,2)</f>
        <v>0</v>
      </c>
      <c r="AA397" s="38"/>
      <c r="AB397" s="38">
        <f t="shared" ref="AB397" si="5605">TRUNC($M397 * AA397,2)</f>
        <v>0</v>
      </c>
      <c r="AC397" s="38"/>
      <c r="AD397" s="38">
        <f t="shared" ref="AD397" si="5606">TRUNC($M397 * AC397,2)</f>
        <v>0</v>
      </c>
      <c r="AE397" s="38"/>
      <c r="AF397" s="38">
        <f t="shared" ref="AF397" si="5607">TRUNC($M397 * AE397,2)</f>
        <v>0</v>
      </c>
      <c r="AG397" s="38"/>
      <c r="AH397" s="38">
        <f t="shared" ref="AH397" si="5608">TRUNC($M397 * AG397,2)</f>
        <v>0</v>
      </c>
      <c r="AI397" s="38"/>
      <c r="AJ397" s="38">
        <f t="shared" ref="AJ397" si="5609">TRUNC($M397 * AI397,2)</f>
        <v>0</v>
      </c>
      <c r="AK397" s="38"/>
      <c r="AL397" s="38">
        <f t="shared" ref="AL397" si="5610">TRUNC($M397 * AK397,2)</f>
        <v>0</v>
      </c>
      <c r="AM397" s="38"/>
      <c r="AN397" s="38">
        <f t="shared" ref="AN397" si="5611">TRUNC($M397 * AM397,2)</f>
        <v>0</v>
      </c>
      <c r="AO397" s="38"/>
      <c r="AP397" s="38">
        <f t="shared" ref="AP397" si="5612">TRUNC($M397 * AO397,2)</f>
        <v>0</v>
      </c>
      <c r="AQ397" s="38"/>
      <c r="AR397" s="38">
        <f t="shared" ref="AR397" si="5613">TRUNC($M397 * AQ397,2)</f>
        <v>0</v>
      </c>
      <c r="AS397" s="38"/>
      <c r="AT397" s="38">
        <f t="shared" ref="AT397" si="5614">TRUNC($M397 * AS397,2)</f>
        <v>0</v>
      </c>
      <c r="AU397" s="38"/>
      <c r="AV397" s="38">
        <f t="shared" ref="AV397" si="5615">TRUNC($M397 * AU397,2)</f>
        <v>0</v>
      </c>
      <c r="AW397" s="38"/>
      <c r="AX397" s="37">
        <f t="shared" ref="AX397" si="5616">TRUNC($M397 * AW397,2)</f>
        <v>0</v>
      </c>
      <c r="AY397" s="36">
        <f t="shared" ref="AY397:AY435" si="5617">SUM(U397,W397,Y397,AA397,AC397,AE397,AG397,AI397,AK397,AM397,AO397,AQ397,AS397,AU397,AW397)</f>
        <v>0</v>
      </c>
      <c r="AZ397" s="38">
        <f t="shared" ref="AZ397" si="5618">TRUNC($M397 * AY397,2)</f>
        <v>0</v>
      </c>
      <c r="BA397" s="38">
        <f t="shared" ref="BA397:BA435" si="5619">S397-AY397</f>
        <v>71.599999999999994</v>
      </c>
      <c r="BB397" s="37">
        <f t="shared" ref="BB397" si="5620">TRUNC($M397 * BA397,2)</f>
        <v>4902.45</v>
      </c>
    </row>
    <row r="398" spans="1:54" ht="26.1" customHeight="1" x14ac:dyDescent="0.25">
      <c r="A398" s="31" t="s">
        <v>1210</v>
      </c>
      <c r="B398" s="31" t="s">
        <v>807</v>
      </c>
      <c r="C398" s="31" t="s">
        <v>24</v>
      </c>
      <c r="D398" s="31" t="s">
        <v>808</v>
      </c>
      <c r="E398" s="32" t="s">
        <v>171</v>
      </c>
      <c r="F398" s="33">
        <v>65</v>
      </c>
      <c r="G398" s="34">
        <v>24.69</v>
      </c>
      <c r="H398" s="34">
        <f t="shared" si="5562"/>
        <v>22.73</v>
      </c>
      <c r="I398" s="34">
        <f t="shared" si="5563"/>
        <v>1477.45</v>
      </c>
      <c r="J398" s="34">
        <f>(TRUNC(H398 * L14,2) + H398)</f>
        <v>27.35</v>
      </c>
      <c r="K398" s="34">
        <f t="shared" si="5564"/>
        <v>1777.75</v>
      </c>
      <c r="L398" s="35">
        <f>K398 / L13</f>
        <v>6.130172413793103E-4</v>
      </c>
      <c r="M398" s="36">
        <v>21.11</v>
      </c>
      <c r="N398" s="37">
        <f t="shared" si="5565"/>
        <v>1372.15</v>
      </c>
      <c r="O398" s="36"/>
      <c r="P398" s="38">
        <f t="shared" si="5600"/>
        <v>0</v>
      </c>
      <c r="Q398" s="38"/>
      <c r="R398" s="38">
        <f t="shared" si="5600"/>
        <v>0</v>
      </c>
      <c r="S398" s="38">
        <f t="shared" si="5601"/>
        <v>65</v>
      </c>
      <c r="T398" s="37">
        <f t="shared" ref="T398:V398" si="5621">TRUNC($M398 * S398,2)</f>
        <v>1372.15</v>
      </c>
      <c r="U398" s="36"/>
      <c r="V398" s="38">
        <f t="shared" si="5621"/>
        <v>0</v>
      </c>
      <c r="W398" s="38"/>
      <c r="X398" s="38">
        <f t="shared" ref="X398" si="5622">TRUNC($M398 * W398,2)</f>
        <v>0</v>
      </c>
      <c r="Y398" s="38"/>
      <c r="Z398" s="38">
        <f t="shared" ref="Z398" si="5623">TRUNC($M398 * Y398,2)</f>
        <v>0</v>
      </c>
      <c r="AA398" s="38"/>
      <c r="AB398" s="38">
        <f t="shared" ref="AB398" si="5624">TRUNC($M398 * AA398,2)</f>
        <v>0</v>
      </c>
      <c r="AC398" s="38"/>
      <c r="AD398" s="38">
        <f t="shared" ref="AD398" si="5625">TRUNC($M398 * AC398,2)</f>
        <v>0</v>
      </c>
      <c r="AE398" s="38"/>
      <c r="AF398" s="38">
        <f t="shared" ref="AF398" si="5626">TRUNC($M398 * AE398,2)</f>
        <v>0</v>
      </c>
      <c r="AG398" s="38"/>
      <c r="AH398" s="38">
        <f t="shared" ref="AH398" si="5627">TRUNC($M398 * AG398,2)</f>
        <v>0</v>
      </c>
      <c r="AI398" s="38"/>
      <c r="AJ398" s="38">
        <f t="shared" ref="AJ398" si="5628">TRUNC($M398 * AI398,2)</f>
        <v>0</v>
      </c>
      <c r="AK398" s="38"/>
      <c r="AL398" s="38">
        <f t="shared" ref="AL398" si="5629">TRUNC($M398 * AK398,2)</f>
        <v>0</v>
      </c>
      <c r="AM398" s="38"/>
      <c r="AN398" s="38">
        <f t="shared" ref="AN398" si="5630">TRUNC($M398 * AM398,2)</f>
        <v>0</v>
      </c>
      <c r="AO398" s="38"/>
      <c r="AP398" s="38">
        <f t="shared" ref="AP398" si="5631">TRUNC($M398 * AO398,2)</f>
        <v>0</v>
      </c>
      <c r="AQ398" s="38"/>
      <c r="AR398" s="38">
        <f t="shared" ref="AR398" si="5632">TRUNC($M398 * AQ398,2)</f>
        <v>0</v>
      </c>
      <c r="AS398" s="38"/>
      <c r="AT398" s="38">
        <f t="shared" ref="AT398" si="5633">TRUNC($M398 * AS398,2)</f>
        <v>0</v>
      </c>
      <c r="AU398" s="38"/>
      <c r="AV398" s="38">
        <f t="shared" ref="AV398" si="5634">TRUNC($M398 * AU398,2)</f>
        <v>0</v>
      </c>
      <c r="AW398" s="38"/>
      <c r="AX398" s="37">
        <f t="shared" ref="AX398" si="5635">TRUNC($M398 * AW398,2)</f>
        <v>0</v>
      </c>
      <c r="AY398" s="36">
        <f t="shared" si="5617"/>
        <v>0</v>
      </c>
      <c r="AZ398" s="38">
        <f t="shared" ref="AZ398" si="5636">TRUNC($M398 * AY398,2)</f>
        <v>0</v>
      </c>
      <c r="BA398" s="38">
        <f t="shared" si="5619"/>
        <v>65</v>
      </c>
      <c r="BB398" s="37">
        <f t="shared" ref="BB398" si="5637">TRUNC($M398 * BA398,2)</f>
        <v>1372.15</v>
      </c>
    </row>
    <row r="399" spans="1:54" ht="26.1" customHeight="1" x14ac:dyDescent="0.25">
      <c r="A399" s="31" t="s">
        <v>1211</v>
      </c>
      <c r="B399" s="31" t="s">
        <v>809</v>
      </c>
      <c r="C399" s="31" t="s">
        <v>24</v>
      </c>
      <c r="D399" s="31" t="s">
        <v>810</v>
      </c>
      <c r="E399" s="32" t="s">
        <v>171</v>
      </c>
      <c r="F399" s="33">
        <v>2</v>
      </c>
      <c r="G399" s="34">
        <v>14.31</v>
      </c>
      <c r="H399" s="34">
        <f t="shared" si="5562"/>
        <v>13.17</v>
      </c>
      <c r="I399" s="34">
        <f t="shared" si="5563"/>
        <v>26.34</v>
      </c>
      <c r="J399" s="34">
        <f>(TRUNC(H399 * L14,2) + H399)</f>
        <v>15.84</v>
      </c>
      <c r="K399" s="34">
        <f t="shared" si="5564"/>
        <v>31.68</v>
      </c>
      <c r="L399" s="35">
        <f>K399 / L13</f>
        <v>1.0924137931034481E-5</v>
      </c>
      <c r="M399" s="36">
        <v>13.41</v>
      </c>
      <c r="N399" s="37">
        <f t="shared" si="5565"/>
        <v>26.82</v>
      </c>
      <c r="O399" s="36"/>
      <c r="P399" s="38">
        <f t="shared" si="5600"/>
        <v>0</v>
      </c>
      <c r="Q399" s="38"/>
      <c r="R399" s="38">
        <f t="shared" si="5600"/>
        <v>0</v>
      </c>
      <c r="S399" s="38">
        <f t="shared" si="5601"/>
        <v>2</v>
      </c>
      <c r="T399" s="37">
        <f t="shared" ref="T399:V399" si="5638">TRUNC($M399 * S399,2)</f>
        <v>26.82</v>
      </c>
      <c r="U399" s="36"/>
      <c r="V399" s="38">
        <f t="shared" si="5638"/>
        <v>0</v>
      </c>
      <c r="W399" s="38"/>
      <c r="X399" s="38">
        <f t="shared" ref="X399" si="5639">TRUNC($M399 * W399,2)</f>
        <v>0</v>
      </c>
      <c r="Y399" s="38"/>
      <c r="Z399" s="38">
        <f t="shared" ref="Z399" si="5640">TRUNC($M399 * Y399,2)</f>
        <v>0</v>
      </c>
      <c r="AA399" s="38"/>
      <c r="AB399" s="38">
        <f t="shared" ref="AB399" si="5641">TRUNC($M399 * AA399,2)</f>
        <v>0</v>
      </c>
      <c r="AC399" s="38"/>
      <c r="AD399" s="38">
        <f t="shared" ref="AD399" si="5642">TRUNC($M399 * AC399,2)</f>
        <v>0</v>
      </c>
      <c r="AE399" s="38"/>
      <c r="AF399" s="38">
        <f t="shared" ref="AF399" si="5643">TRUNC($M399 * AE399,2)</f>
        <v>0</v>
      </c>
      <c r="AG399" s="38"/>
      <c r="AH399" s="38">
        <f t="shared" ref="AH399" si="5644">TRUNC($M399 * AG399,2)</f>
        <v>0</v>
      </c>
      <c r="AI399" s="38"/>
      <c r="AJ399" s="38">
        <f t="shared" ref="AJ399" si="5645">TRUNC($M399 * AI399,2)</f>
        <v>0</v>
      </c>
      <c r="AK399" s="38"/>
      <c r="AL399" s="38">
        <f t="shared" ref="AL399" si="5646">TRUNC($M399 * AK399,2)</f>
        <v>0</v>
      </c>
      <c r="AM399" s="38"/>
      <c r="AN399" s="38">
        <f t="shared" ref="AN399" si="5647">TRUNC($M399 * AM399,2)</f>
        <v>0</v>
      </c>
      <c r="AO399" s="38"/>
      <c r="AP399" s="38">
        <f t="shared" ref="AP399" si="5648">TRUNC($M399 * AO399,2)</f>
        <v>0</v>
      </c>
      <c r="AQ399" s="38"/>
      <c r="AR399" s="38">
        <f t="shared" ref="AR399" si="5649">TRUNC($M399 * AQ399,2)</f>
        <v>0</v>
      </c>
      <c r="AS399" s="38"/>
      <c r="AT399" s="38">
        <f t="shared" ref="AT399" si="5650">TRUNC($M399 * AS399,2)</f>
        <v>0</v>
      </c>
      <c r="AU399" s="38"/>
      <c r="AV399" s="38">
        <f t="shared" ref="AV399" si="5651">TRUNC($M399 * AU399,2)</f>
        <v>0</v>
      </c>
      <c r="AW399" s="38"/>
      <c r="AX399" s="37">
        <f t="shared" ref="AX399" si="5652">TRUNC($M399 * AW399,2)</f>
        <v>0</v>
      </c>
      <c r="AY399" s="36">
        <f t="shared" si="5617"/>
        <v>0</v>
      </c>
      <c r="AZ399" s="38">
        <f t="shared" ref="AZ399" si="5653">TRUNC($M399 * AY399,2)</f>
        <v>0</v>
      </c>
      <c r="BA399" s="38">
        <f t="shared" si="5619"/>
        <v>2</v>
      </c>
      <c r="BB399" s="37">
        <f t="shared" ref="BB399" si="5654">TRUNC($M399 * BA399,2)</f>
        <v>26.82</v>
      </c>
    </row>
    <row r="400" spans="1:54" ht="39" customHeight="1" x14ac:dyDescent="0.25">
      <c r="A400" s="31" t="s">
        <v>1212</v>
      </c>
      <c r="B400" s="31" t="s">
        <v>811</v>
      </c>
      <c r="C400" s="31" t="s">
        <v>316</v>
      </c>
      <c r="D400" s="31" t="s">
        <v>812</v>
      </c>
      <c r="E400" s="32" t="s">
        <v>36</v>
      </c>
      <c r="F400" s="33">
        <v>1</v>
      </c>
      <c r="G400" s="34">
        <v>57.11</v>
      </c>
      <c r="H400" s="34">
        <f t="shared" si="5562"/>
        <v>52.58</v>
      </c>
      <c r="I400" s="34">
        <f t="shared" si="5563"/>
        <v>52.58</v>
      </c>
      <c r="J400" s="34">
        <f>(TRUNC(H400 * L14,2) + H400)</f>
        <v>63.269999999999996</v>
      </c>
      <c r="K400" s="34">
        <f t="shared" si="5564"/>
        <v>63.27</v>
      </c>
      <c r="L400" s="35">
        <f>K400 / L13</f>
        <v>2.1817241379310343E-5</v>
      </c>
      <c r="M400" s="36">
        <v>49.83</v>
      </c>
      <c r="N400" s="37">
        <f t="shared" si="5565"/>
        <v>49.83</v>
      </c>
      <c r="O400" s="36"/>
      <c r="P400" s="38">
        <f t="shared" si="5600"/>
        <v>0</v>
      </c>
      <c r="Q400" s="38"/>
      <c r="R400" s="38">
        <f t="shared" si="5600"/>
        <v>0</v>
      </c>
      <c r="S400" s="38">
        <f t="shared" si="5601"/>
        <v>1</v>
      </c>
      <c r="T400" s="37">
        <f t="shared" ref="T400:V400" si="5655">TRUNC($M400 * S400,2)</f>
        <v>49.83</v>
      </c>
      <c r="U400" s="36"/>
      <c r="V400" s="38">
        <f t="shared" si="5655"/>
        <v>0</v>
      </c>
      <c r="W400" s="38"/>
      <c r="X400" s="38">
        <f t="shared" ref="X400" si="5656">TRUNC($M400 * W400,2)</f>
        <v>0</v>
      </c>
      <c r="Y400" s="38"/>
      <c r="Z400" s="38">
        <f t="shared" ref="Z400" si="5657">TRUNC($M400 * Y400,2)</f>
        <v>0</v>
      </c>
      <c r="AA400" s="38"/>
      <c r="AB400" s="38">
        <f t="shared" ref="AB400" si="5658">TRUNC($M400 * AA400,2)</f>
        <v>0</v>
      </c>
      <c r="AC400" s="38"/>
      <c r="AD400" s="38">
        <f t="shared" ref="AD400" si="5659">TRUNC($M400 * AC400,2)</f>
        <v>0</v>
      </c>
      <c r="AE400" s="38"/>
      <c r="AF400" s="38">
        <f t="shared" ref="AF400" si="5660">TRUNC($M400 * AE400,2)</f>
        <v>0</v>
      </c>
      <c r="AG400" s="38"/>
      <c r="AH400" s="38">
        <f t="shared" ref="AH400" si="5661">TRUNC($M400 * AG400,2)</f>
        <v>0</v>
      </c>
      <c r="AI400" s="38"/>
      <c r="AJ400" s="38">
        <f t="shared" ref="AJ400" si="5662">TRUNC($M400 * AI400,2)</f>
        <v>0</v>
      </c>
      <c r="AK400" s="38"/>
      <c r="AL400" s="38">
        <f t="shared" ref="AL400" si="5663">TRUNC($M400 * AK400,2)</f>
        <v>0</v>
      </c>
      <c r="AM400" s="38"/>
      <c r="AN400" s="38">
        <f t="shared" ref="AN400" si="5664">TRUNC($M400 * AM400,2)</f>
        <v>0</v>
      </c>
      <c r="AO400" s="38"/>
      <c r="AP400" s="38">
        <f t="shared" ref="AP400" si="5665">TRUNC($M400 * AO400,2)</f>
        <v>0</v>
      </c>
      <c r="AQ400" s="38"/>
      <c r="AR400" s="38">
        <f t="shared" ref="AR400" si="5666">TRUNC($M400 * AQ400,2)</f>
        <v>0</v>
      </c>
      <c r="AS400" s="38"/>
      <c r="AT400" s="38">
        <f t="shared" ref="AT400" si="5667">TRUNC($M400 * AS400,2)</f>
        <v>0</v>
      </c>
      <c r="AU400" s="38"/>
      <c r="AV400" s="38">
        <f t="shared" ref="AV400" si="5668">TRUNC($M400 * AU400,2)</f>
        <v>0</v>
      </c>
      <c r="AW400" s="38"/>
      <c r="AX400" s="37">
        <f t="shared" ref="AX400" si="5669">TRUNC($M400 * AW400,2)</f>
        <v>0</v>
      </c>
      <c r="AY400" s="36">
        <f t="shared" si="5617"/>
        <v>0</v>
      </c>
      <c r="AZ400" s="38">
        <f t="shared" ref="AZ400" si="5670">TRUNC($M400 * AY400,2)</f>
        <v>0</v>
      </c>
      <c r="BA400" s="38">
        <f t="shared" si="5619"/>
        <v>1</v>
      </c>
      <c r="BB400" s="37">
        <f t="shared" ref="BB400" si="5671">TRUNC($M400 * BA400,2)</f>
        <v>49.83</v>
      </c>
    </row>
    <row r="401" spans="1:54" ht="24" customHeight="1" x14ac:dyDescent="0.25">
      <c r="A401" s="31" t="s">
        <v>1213</v>
      </c>
      <c r="B401" s="31" t="s">
        <v>813</v>
      </c>
      <c r="C401" s="31" t="s">
        <v>245</v>
      </c>
      <c r="D401" s="31" t="s">
        <v>814</v>
      </c>
      <c r="E401" s="32" t="s">
        <v>36</v>
      </c>
      <c r="F401" s="33">
        <v>48</v>
      </c>
      <c r="G401" s="34">
        <v>10.89</v>
      </c>
      <c r="H401" s="34">
        <f t="shared" si="5562"/>
        <v>10.02</v>
      </c>
      <c r="I401" s="34">
        <f t="shared" si="5563"/>
        <v>480.96</v>
      </c>
      <c r="J401" s="34">
        <f>(TRUNC(H401 * L14,2) + H401)</f>
        <v>12.049999999999999</v>
      </c>
      <c r="K401" s="34">
        <f t="shared" si="5564"/>
        <v>578.4</v>
      </c>
      <c r="L401" s="35">
        <f>K401 / L13</f>
        <v>1.9944827586206894E-4</v>
      </c>
      <c r="M401" s="36">
        <v>2.27</v>
      </c>
      <c r="N401" s="37">
        <f t="shared" si="5565"/>
        <v>108.96</v>
      </c>
      <c r="O401" s="36"/>
      <c r="P401" s="38">
        <f t="shared" si="5600"/>
        <v>0</v>
      </c>
      <c r="Q401" s="38"/>
      <c r="R401" s="38">
        <f t="shared" si="5600"/>
        <v>0</v>
      </c>
      <c r="S401" s="38">
        <f t="shared" si="5601"/>
        <v>48</v>
      </c>
      <c r="T401" s="37">
        <f t="shared" ref="T401:V401" si="5672">TRUNC($M401 * S401,2)</f>
        <v>108.96</v>
      </c>
      <c r="U401" s="36"/>
      <c r="V401" s="38">
        <f t="shared" si="5672"/>
        <v>0</v>
      </c>
      <c r="W401" s="38"/>
      <c r="X401" s="38">
        <f t="shared" ref="X401" si="5673">TRUNC($M401 * W401,2)</f>
        <v>0</v>
      </c>
      <c r="Y401" s="38"/>
      <c r="Z401" s="38">
        <f t="shared" ref="Z401" si="5674">TRUNC($M401 * Y401,2)</f>
        <v>0</v>
      </c>
      <c r="AA401" s="38"/>
      <c r="AB401" s="38">
        <f t="shared" ref="AB401" si="5675">TRUNC($M401 * AA401,2)</f>
        <v>0</v>
      </c>
      <c r="AC401" s="38"/>
      <c r="AD401" s="38">
        <f t="shared" ref="AD401" si="5676">TRUNC($M401 * AC401,2)</f>
        <v>0</v>
      </c>
      <c r="AE401" s="38"/>
      <c r="AF401" s="38">
        <f t="shared" ref="AF401" si="5677">TRUNC($M401 * AE401,2)</f>
        <v>0</v>
      </c>
      <c r="AG401" s="38"/>
      <c r="AH401" s="38">
        <f t="shared" ref="AH401" si="5678">TRUNC($M401 * AG401,2)</f>
        <v>0</v>
      </c>
      <c r="AI401" s="38"/>
      <c r="AJ401" s="38">
        <f t="shared" ref="AJ401" si="5679">TRUNC($M401 * AI401,2)</f>
        <v>0</v>
      </c>
      <c r="AK401" s="38"/>
      <c r="AL401" s="38">
        <f t="shared" ref="AL401" si="5680">TRUNC($M401 * AK401,2)</f>
        <v>0</v>
      </c>
      <c r="AM401" s="38"/>
      <c r="AN401" s="38">
        <f t="shared" ref="AN401" si="5681">TRUNC($M401 * AM401,2)</f>
        <v>0</v>
      </c>
      <c r="AO401" s="38"/>
      <c r="AP401" s="38">
        <f t="shared" ref="AP401" si="5682">TRUNC($M401 * AO401,2)</f>
        <v>0</v>
      </c>
      <c r="AQ401" s="38"/>
      <c r="AR401" s="38">
        <f t="shared" ref="AR401" si="5683">TRUNC($M401 * AQ401,2)</f>
        <v>0</v>
      </c>
      <c r="AS401" s="38"/>
      <c r="AT401" s="38">
        <f t="shared" ref="AT401" si="5684">TRUNC($M401 * AS401,2)</f>
        <v>0</v>
      </c>
      <c r="AU401" s="38"/>
      <c r="AV401" s="38">
        <f t="shared" ref="AV401" si="5685">TRUNC($M401 * AU401,2)</f>
        <v>0</v>
      </c>
      <c r="AW401" s="38"/>
      <c r="AX401" s="37">
        <f t="shared" ref="AX401" si="5686">TRUNC($M401 * AW401,2)</f>
        <v>0</v>
      </c>
      <c r="AY401" s="36">
        <f t="shared" si="5617"/>
        <v>0</v>
      </c>
      <c r="AZ401" s="38">
        <f t="shared" ref="AZ401" si="5687">TRUNC($M401 * AY401,2)</f>
        <v>0</v>
      </c>
      <c r="BA401" s="38">
        <f t="shared" si="5619"/>
        <v>48</v>
      </c>
      <c r="BB401" s="37">
        <f t="shared" ref="BB401" si="5688">TRUNC($M401 * BA401,2)</f>
        <v>108.96</v>
      </c>
    </row>
    <row r="402" spans="1:54" ht="26.1" customHeight="1" x14ac:dyDescent="0.25">
      <c r="A402" s="31" t="s">
        <v>1214</v>
      </c>
      <c r="B402" s="31" t="s">
        <v>815</v>
      </c>
      <c r="C402" s="31" t="s">
        <v>24</v>
      </c>
      <c r="D402" s="31" t="s">
        <v>816</v>
      </c>
      <c r="E402" s="32" t="s">
        <v>171</v>
      </c>
      <c r="F402" s="33">
        <v>3</v>
      </c>
      <c r="G402" s="34">
        <v>23.22</v>
      </c>
      <c r="H402" s="34">
        <f t="shared" si="5562"/>
        <v>21.37</v>
      </c>
      <c r="I402" s="34">
        <f t="shared" si="5563"/>
        <v>64.11</v>
      </c>
      <c r="J402" s="34">
        <f>(TRUNC(H402 * L14,2) + H402)</f>
        <v>25.71</v>
      </c>
      <c r="K402" s="34">
        <f t="shared" si="5564"/>
        <v>77.13</v>
      </c>
      <c r="L402" s="35">
        <f>K402 / L13</f>
        <v>2.6596551724137924E-5</v>
      </c>
      <c r="M402" s="36">
        <v>22.11</v>
      </c>
      <c r="N402" s="37">
        <f t="shared" si="5565"/>
        <v>66.33</v>
      </c>
      <c r="O402" s="36"/>
      <c r="P402" s="38">
        <f t="shared" si="5600"/>
        <v>0</v>
      </c>
      <c r="Q402" s="38"/>
      <c r="R402" s="38">
        <f t="shared" si="5600"/>
        <v>0</v>
      </c>
      <c r="S402" s="38">
        <f t="shared" si="5601"/>
        <v>3</v>
      </c>
      <c r="T402" s="37">
        <f t="shared" ref="T402:V402" si="5689">TRUNC($M402 * S402,2)</f>
        <v>66.33</v>
      </c>
      <c r="U402" s="36"/>
      <c r="V402" s="38">
        <f t="shared" si="5689"/>
        <v>0</v>
      </c>
      <c r="W402" s="38"/>
      <c r="X402" s="38">
        <f t="shared" ref="X402" si="5690">TRUNC($M402 * W402,2)</f>
        <v>0</v>
      </c>
      <c r="Y402" s="38"/>
      <c r="Z402" s="38">
        <f t="shared" ref="Z402" si="5691">TRUNC($M402 * Y402,2)</f>
        <v>0</v>
      </c>
      <c r="AA402" s="38"/>
      <c r="AB402" s="38">
        <f t="shared" ref="AB402" si="5692">TRUNC($M402 * AA402,2)</f>
        <v>0</v>
      </c>
      <c r="AC402" s="38"/>
      <c r="AD402" s="38">
        <f t="shared" ref="AD402" si="5693">TRUNC($M402 * AC402,2)</f>
        <v>0</v>
      </c>
      <c r="AE402" s="38"/>
      <c r="AF402" s="38">
        <f t="shared" ref="AF402" si="5694">TRUNC($M402 * AE402,2)</f>
        <v>0</v>
      </c>
      <c r="AG402" s="38"/>
      <c r="AH402" s="38">
        <f t="shared" ref="AH402" si="5695">TRUNC($M402 * AG402,2)</f>
        <v>0</v>
      </c>
      <c r="AI402" s="38"/>
      <c r="AJ402" s="38">
        <f t="shared" ref="AJ402" si="5696">TRUNC($M402 * AI402,2)</f>
        <v>0</v>
      </c>
      <c r="AK402" s="38"/>
      <c r="AL402" s="38">
        <f t="shared" ref="AL402" si="5697">TRUNC($M402 * AK402,2)</f>
        <v>0</v>
      </c>
      <c r="AM402" s="38"/>
      <c r="AN402" s="38">
        <f t="shared" ref="AN402" si="5698">TRUNC($M402 * AM402,2)</f>
        <v>0</v>
      </c>
      <c r="AO402" s="38"/>
      <c r="AP402" s="38">
        <f t="shared" ref="AP402" si="5699">TRUNC($M402 * AO402,2)</f>
        <v>0</v>
      </c>
      <c r="AQ402" s="38"/>
      <c r="AR402" s="38">
        <f t="shared" ref="AR402" si="5700">TRUNC($M402 * AQ402,2)</f>
        <v>0</v>
      </c>
      <c r="AS402" s="38"/>
      <c r="AT402" s="38">
        <f t="shared" ref="AT402" si="5701">TRUNC($M402 * AS402,2)</f>
        <v>0</v>
      </c>
      <c r="AU402" s="38"/>
      <c r="AV402" s="38">
        <f t="shared" ref="AV402" si="5702">TRUNC($M402 * AU402,2)</f>
        <v>0</v>
      </c>
      <c r="AW402" s="38"/>
      <c r="AX402" s="37">
        <f t="shared" ref="AX402" si="5703">TRUNC($M402 * AW402,2)</f>
        <v>0</v>
      </c>
      <c r="AY402" s="36">
        <f t="shared" si="5617"/>
        <v>0</v>
      </c>
      <c r="AZ402" s="38">
        <f t="shared" ref="AZ402" si="5704">TRUNC($M402 * AY402,2)</f>
        <v>0</v>
      </c>
      <c r="BA402" s="38">
        <f t="shared" si="5619"/>
        <v>3</v>
      </c>
      <c r="BB402" s="37">
        <f t="shared" ref="BB402" si="5705">TRUNC($M402 * BA402,2)</f>
        <v>66.33</v>
      </c>
    </row>
    <row r="403" spans="1:54" ht="51.9" customHeight="1" x14ac:dyDescent="0.25">
      <c r="A403" s="31" t="s">
        <v>1215</v>
      </c>
      <c r="B403" s="31" t="s">
        <v>817</v>
      </c>
      <c r="C403" s="31" t="s">
        <v>34</v>
      </c>
      <c r="D403" s="31" t="s">
        <v>818</v>
      </c>
      <c r="E403" s="32" t="s">
        <v>218</v>
      </c>
      <c r="F403" s="33">
        <v>65.8</v>
      </c>
      <c r="G403" s="34">
        <v>25.78</v>
      </c>
      <c r="H403" s="34">
        <f t="shared" si="5562"/>
        <v>23.73</v>
      </c>
      <c r="I403" s="34">
        <f t="shared" si="5563"/>
        <v>1561.43</v>
      </c>
      <c r="J403" s="34">
        <f>(TRUNC(H403 * L14,2) + H403)</f>
        <v>28.55</v>
      </c>
      <c r="K403" s="34">
        <f t="shared" si="5564"/>
        <v>1878.59</v>
      </c>
      <c r="L403" s="35">
        <f>K403 / L13</f>
        <v>6.4778965517241368E-4</v>
      </c>
      <c r="M403" s="36">
        <v>23.24</v>
      </c>
      <c r="N403" s="37">
        <f t="shared" si="5565"/>
        <v>1529.19</v>
      </c>
      <c r="O403" s="36"/>
      <c r="P403" s="38">
        <f t="shared" si="5600"/>
        <v>0</v>
      </c>
      <c r="Q403" s="38"/>
      <c r="R403" s="38">
        <f t="shared" si="5600"/>
        <v>0</v>
      </c>
      <c r="S403" s="38">
        <f t="shared" si="5601"/>
        <v>65.8</v>
      </c>
      <c r="T403" s="37">
        <f t="shared" ref="T403:V403" si="5706">TRUNC($M403 * S403,2)</f>
        <v>1529.19</v>
      </c>
      <c r="U403" s="36"/>
      <c r="V403" s="38">
        <f t="shared" si="5706"/>
        <v>0</v>
      </c>
      <c r="W403" s="38"/>
      <c r="X403" s="38">
        <f t="shared" ref="X403" si="5707">TRUNC($M403 * W403,2)</f>
        <v>0</v>
      </c>
      <c r="Y403" s="38"/>
      <c r="Z403" s="38">
        <f t="shared" ref="Z403" si="5708">TRUNC($M403 * Y403,2)</f>
        <v>0</v>
      </c>
      <c r="AA403" s="38"/>
      <c r="AB403" s="38">
        <f t="shared" ref="AB403" si="5709">TRUNC($M403 * AA403,2)</f>
        <v>0</v>
      </c>
      <c r="AC403" s="38"/>
      <c r="AD403" s="38">
        <f t="shared" ref="AD403" si="5710">TRUNC($M403 * AC403,2)</f>
        <v>0</v>
      </c>
      <c r="AE403" s="38"/>
      <c r="AF403" s="38">
        <f t="shared" ref="AF403" si="5711">TRUNC($M403 * AE403,2)</f>
        <v>0</v>
      </c>
      <c r="AG403" s="38"/>
      <c r="AH403" s="38">
        <f t="shared" ref="AH403" si="5712">TRUNC($M403 * AG403,2)</f>
        <v>0</v>
      </c>
      <c r="AI403" s="38"/>
      <c r="AJ403" s="38">
        <f t="shared" ref="AJ403" si="5713">TRUNC($M403 * AI403,2)</f>
        <v>0</v>
      </c>
      <c r="AK403" s="38"/>
      <c r="AL403" s="38">
        <f t="shared" ref="AL403" si="5714">TRUNC($M403 * AK403,2)</f>
        <v>0</v>
      </c>
      <c r="AM403" s="38"/>
      <c r="AN403" s="38">
        <f t="shared" ref="AN403" si="5715">TRUNC($M403 * AM403,2)</f>
        <v>0</v>
      </c>
      <c r="AO403" s="38"/>
      <c r="AP403" s="38">
        <f t="shared" ref="AP403" si="5716">TRUNC($M403 * AO403,2)</f>
        <v>0</v>
      </c>
      <c r="AQ403" s="38"/>
      <c r="AR403" s="38">
        <f t="shared" ref="AR403" si="5717">TRUNC($M403 * AQ403,2)</f>
        <v>0</v>
      </c>
      <c r="AS403" s="38"/>
      <c r="AT403" s="38">
        <f t="shared" ref="AT403" si="5718">TRUNC($M403 * AS403,2)</f>
        <v>0</v>
      </c>
      <c r="AU403" s="38"/>
      <c r="AV403" s="38">
        <f t="shared" ref="AV403" si="5719">TRUNC($M403 * AU403,2)</f>
        <v>0</v>
      </c>
      <c r="AW403" s="38"/>
      <c r="AX403" s="37">
        <f t="shared" ref="AX403" si="5720">TRUNC($M403 * AW403,2)</f>
        <v>0</v>
      </c>
      <c r="AY403" s="36">
        <f t="shared" si="5617"/>
        <v>0</v>
      </c>
      <c r="AZ403" s="38">
        <f t="shared" ref="AZ403" si="5721">TRUNC($M403 * AY403,2)</f>
        <v>0</v>
      </c>
      <c r="BA403" s="38">
        <f t="shared" si="5619"/>
        <v>65.8</v>
      </c>
      <c r="BB403" s="37">
        <f t="shared" ref="BB403" si="5722">TRUNC($M403 * BA403,2)</f>
        <v>1529.19</v>
      </c>
    </row>
    <row r="404" spans="1:54" ht="51.9" customHeight="1" x14ac:dyDescent="0.25">
      <c r="A404" s="31" t="s">
        <v>1216</v>
      </c>
      <c r="B404" s="31" t="s">
        <v>819</v>
      </c>
      <c r="C404" s="31" t="s">
        <v>34</v>
      </c>
      <c r="D404" s="31" t="s">
        <v>820</v>
      </c>
      <c r="E404" s="32" t="s">
        <v>218</v>
      </c>
      <c r="F404" s="33">
        <v>956.86</v>
      </c>
      <c r="G404" s="34">
        <v>21.37</v>
      </c>
      <c r="H404" s="34">
        <f t="shared" si="5562"/>
        <v>19.670000000000002</v>
      </c>
      <c r="I404" s="34">
        <f t="shared" si="5563"/>
        <v>18821.43</v>
      </c>
      <c r="J404" s="34">
        <f>(TRUNC(H404 * L14,2) + H404)</f>
        <v>23.67</v>
      </c>
      <c r="K404" s="34">
        <f t="shared" si="5564"/>
        <v>22648.87</v>
      </c>
      <c r="L404" s="35">
        <f>K404 / L13</f>
        <v>7.8099551724137911E-3</v>
      </c>
      <c r="M404" s="36">
        <v>19.78</v>
      </c>
      <c r="N404" s="37">
        <f t="shared" si="5565"/>
        <v>18926.689999999999</v>
      </c>
      <c r="O404" s="36"/>
      <c r="P404" s="38">
        <f t="shared" si="5600"/>
        <v>0</v>
      </c>
      <c r="Q404" s="38"/>
      <c r="R404" s="38">
        <f t="shared" si="5600"/>
        <v>0</v>
      </c>
      <c r="S404" s="38">
        <f t="shared" si="5601"/>
        <v>956.86</v>
      </c>
      <c r="T404" s="37">
        <f t="shared" ref="T404:V404" si="5723">TRUNC($M404 * S404,2)</f>
        <v>18926.689999999999</v>
      </c>
      <c r="U404" s="36"/>
      <c r="V404" s="38">
        <f t="shared" si="5723"/>
        <v>0</v>
      </c>
      <c r="W404" s="38"/>
      <c r="X404" s="38">
        <f t="shared" ref="X404" si="5724">TRUNC($M404 * W404,2)</f>
        <v>0</v>
      </c>
      <c r="Y404" s="38"/>
      <c r="Z404" s="38">
        <f t="shared" ref="Z404" si="5725">TRUNC($M404 * Y404,2)</f>
        <v>0</v>
      </c>
      <c r="AA404" s="38"/>
      <c r="AB404" s="38">
        <f t="shared" ref="AB404" si="5726">TRUNC($M404 * AA404,2)</f>
        <v>0</v>
      </c>
      <c r="AC404" s="38"/>
      <c r="AD404" s="38">
        <f t="shared" ref="AD404" si="5727">TRUNC($M404 * AC404,2)</f>
        <v>0</v>
      </c>
      <c r="AE404" s="38"/>
      <c r="AF404" s="38">
        <f t="shared" ref="AF404" si="5728">TRUNC($M404 * AE404,2)</f>
        <v>0</v>
      </c>
      <c r="AG404" s="38"/>
      <c r="AH404" s="38">
        <f t="shared" ref="AH404" si="5729">TRUNC($M404 * AG404,2)</f>
        <v>0</v>
      </c>
      <c r="AI404" s="38"/>
      <c r="AJ404" s="38">
        <f t="shared" ref="AJ404" si="5730">TRUNC($M404 * AI404,2)</f>
        <v>0</v>
      </c>
      <c r="AK404" s="38"/>
      <c r="AL404" s="38">
        <f t="shared" ref="AL404" si="5731">TRUNC($M404 * AK404,2)</f>
        <v>0</v>
      </c>
      <c r="AM404" s="38"/>
      <c r="AN404" s="38">
        <f t="shared" ref="AN404" si="5732">TRUNC($M404 * AM404,2)</f>
        <v>0</v>
      </c>
      <c r="AO404" s="38"/>
      <c r="AP404" s="38">
        <f t="shared" ref="AP404" si="5733">TRUNC($M404 * AO404,2)</f>
        <v>0</v>
      </c>
      <c r="AQ404" s="38"/>
      <c r="AR404" s="38">
        <f t="shared" ref="AR404" si="5734">TRUNC($M404 * AQ404,2)</f>
        <v>0</v>
      </c>
      <c r="AS404" s="38"/>
      <c r="AT404" s="38">
        <f t="shared" ref="AT404" si="5735">TRUNC($M404 * AS404,2)</f>
        <v>0</v>
      </c>
      <c r="AU404" s="38"/>
      <c r="AV404" s="38">
        <f t="shared" ref="AV404" si="5736">TRUNC($M404 * AU404,2)</f>
        <v>0</v>
      </c>
      <c r="AW404" s="38"/>
      <c r="AX404" s="37">
        <f t="shared" ref="AX404" si="5737">TRUNC($M404 * AW404,2)</f>
        <v>0</v>
      </c>
      <c r="AY404" s="36">
        <f t="shared" si="5617"/>
        <v>0</v>
      </c>
      <c r="AZ404" s="38">
        <f t="shared" ref="AZ404" si="5738">TRUNC($M404 * AY404,2)</f>
        <v>0</v>
      </c>
      <c r="BA404" s="38">
        <f t="shared" si="5619"/>
        <v>956.86</v>
      </c>
      <c r="BB404" s="37">
        <f t="shared" ref="BB404" si="5739">TRUNC($M404 * BA404,2)</f>
        <v>18926.689999999999</v>
      </c>
    </row>
    <row r="405" spans="1:54" ht="51.9" customHeight="1" x14ac:dyDescent="0.25">
      <c r="A405" s="31" t="s">
        <v>1217</v>
      </c>
      <c r="B405" s="31" t="s">
        <v>821</v>
      </c>
      <c r="C405" s="31" t="s">
        <v>34</v>
      </c>
      <c r="D405" s="31" t="s">
        <v>822</v>
      </c>
      <c r="E405" s="32" t="s">
        <v>218</v>
      </c>
      <c r="F405" s="33">
        <v>115.6</v>
      </c>
      <c r="G405" s="34">
        <v>18.28</v>
      </c>
      <c r="H405" s="34">
        <f t="shared" si="5562"/>
        <v>16.829999999999998</v>
      </c>
      <c r="I405" s="34">
        <f t="shared" si="5563"/>
        <v>1945.54</v>
      </c>
      <c r="J405" s="34">
        <f>(TRUNC(H405 * L14,2) + H405)</f>
        <v>20.25</v>
      </c>
      <c r="K405" s="34">
        <f t="shared" si="5564"/>
        <v>2340.9</v>
      </c>
      <c r="L405" s="35">
        <f>K405 / L13</f>
        <v>8.0720689655172401E-4</v>
      </c>
      <c r="M405" s="36">
        <v>15.43</v>
      </c>
      <c r="N405" s="37">
        <f t="shared" si="5565"/>
        <v>1783.7</v>
      </c>
      <c r="O405" s="36"/>
      <c r="P405" s="38">
        <f t="shared" si="5600"/>
        <v>0</v>
      </c>
      <c r="Q405" s="38"/>
      <c r="R405" s="38">
        <f t="shared" si="5600"/>
        <v>0</v>
      </c>
      <c r="S405" s="38">
        <f t="shared" si="5601"/>
        <v>115.6</v>
      </c>
      <c r="T405" s="37">
        <f t="shared" ref="T405:V405" si="5740">TRUNC($M405 * S405,2)</f>
        <v>1783.7</v>
      </c>
      <c r="U405" s="36"/>
      <c r="V405" s="38">
        <f t="shared" si="5740"/>
        <v>0</v>
      </c>
      <c r="W405" s="38"/>
      <c r="X405" s="38">
        <f t="shared" ref="X405" si="5741">TRUNC($M405 * W405,2)</f>
        <v>0</v>
      </c>
      <c r="Y405" s="38"/>
      <c r="Z405" s="38">
        <f t="shared" ref="Z405" si="5742">TRUNC($M405 * Y405,2)</f>
        <v>0</v>
      </c>
      <c r="AA405" s="38"/>
      <c r="AB405" s="38">
        <f t="shared" ref="AB405" si="5743">TRUNC($M405 * AA405,2)</f>
        <v>0</v>
      </c>
      <c r="AC405" s="38"/>
      <c r="AD405" s="38">
        <f t="shared" ref="AD405" si="5744">TRUNC($M405 * AC405,2)</f>
        <v>0</v>
      </c>
      <c r="AE405" s="38"/>
      <c r="AF405" s="38">
        <f t="shared" ref="AF405" si="5745">TRUNC($M405 * AE405,2)</f>
        <v>0</v>
      </c>
      <c r="AG405" s="38"/>
      <c r="AH405" s="38">
        <f t="shared" ref="AH405" si="5746">TRUNC($M405 * AG405,2)</f>
        <v>0</v>
      </c>
      <c r="AI405" s="38"/>
      <c r="AJ405" s="38">
        <f t="shared" ref="AJ405" si="5747">TRUNC($M405 * AI405,2)</f>
        <v>0</v>
      </c>
      <c r="AK405" s="38"/>
      <c r="AL405" s="38">
        <f t="shared" ref="AL405" si="5748">TRUNC($M405 * AK405,2)</f>
        <v>0</v>
      </c>
      <c r="AM405" s="38"/>
      <c r="AN405" s="38">
        <f t="shared" ref="AN405" si="5749">TRUNC($M405 * AM405,2)</f>
        <v>0</v>
      </c>
      <c r="AO405" s="38"/>
      <c r="AP405" s="38">
        <f t="shared" ref="AP405" si="5750">TRUNC($M405 * AO405,2)</f>
        <v>0</v>
      </c>
      <c r="AQ405" s="38"/>
      <c r="AR405" s="38">
        <f t="shared" ref="AR405" si="5751">TRUNC($M405 * AQ405,2)</f>
        <v>0</v>
      </c>
      <c r="AS405" s="38"/>
      <c r="AT405" s="38">
        <f t="shared" ref="AT405" si="5752">TRUNC($M405 * AS405,2)</f>
        <v>0</v>
      </c>
      <c r="AU405" s="38"/>
      <c r="AV405" s="38">
        <f t="shared" ref="AV405" si="5753">TRUNC($M405 * AU405,2)</f>
        <v>0</v>
      </c>
      <c r="AW405" s="38"/>
      <c r="AX405" s="37">
        <f t="shared" ref="AX405" si="5754">TRUNC($M405 * AW405,2)</f>
        <v>0</v>
      </c>
      <c r="AY405" s="36">
        <f t="shared" si="5617"/>
        <v>0</v>
      </c>
      <c r="AZ405" s="38">
        <f t="shared" ref="AZ405" si="5755">TRUNC($M405 * AY405,2)</f>
        <v>0</v>
      </c>
      <c r="BA405" s="38">
        <f t="shared" si="5619"/>
        <v>115.6</v>
      </c>
      <c r="BB405" s="37">
        <f t="shared" ref="BB405" si="5756">TRUNC($M405 * BA405,2)</f>
        <v>1783.7</v>
      </c>
    </row>
    <row r="406" spans="1:54" ht="39" customHeight="1" x14ac:dyDescent="0.25">
      <c r="A406" s="31" t="s">
        <v>1218</v>
      </c>
      <c r="B406" s="31" t="s">
        <v>823</v>
      </c>
      <c r="C406" s="31" t="s">
        <v>34</v>
      </c>
      <c r="D406" s="31" t="s">
        <v>824</v>
      </c>
      <c r="E406" s="32" t="s">
        <v>218</v>
      </c>
      <c r="F406" s="33">
        <v>262.10000000000002</v>
      </c>
      <c r="G406" s="34">
        <v>19.93</v>
      </c>
      <c r="H406" s="34">
        <f t="shared" si="5562"/>
        <v>18.350000000000001</v>
      </c>
      <c r="I406" s="34">
        <f t="shared" si="5563"/>
        <v>4809.53</v>
      </c>
      <c r="J406" s="34">
        <f>(TRUNC(H406 * L14,2) + H406)</f>
        <v>22.080000000000002</v>
      </c>
      <c r="K406" s="34">
        <f t="shared" si="5564"/>
        <v>5787.16</v>
      </c>
      <c r="L406" s="35">
        <f>K406 / L13</f>
        <v>1.9955724137931032E-3</v>
      </c>
      <c r="M406" s="36">
        <v>17.649999999999999</v>
      </c>
      <c r="N406" s="37">
        <f t="shared" si="5565"/>
        <v>4626.0600000000004</v>
      </c>
      <c r="O406" s="36"/>
      <c r="P406" s="38">
        <f t="shared" si="5600"/>
        <v>0</v>
      </c>
      <c r="Q406" s="38"/>
      <c r="R406" s="38">
        <f t="shared" si="5600"/>
        <v>0</v>
      </c>
      <c r="S406" s="38">
        <f t="shared" si="5601"/>
        <v>262.10000000000002</v>
      </c>
      <c r="T406" s="37">
        <f t="shared" ref="T406:V406" si="5757">TRUNC($M406 * S406,2)</f>
        <v>4626.0600000000004</v>
      </c>
      <c r="U406" s="36"/>
      <c r="V406" s="38">
        <f t="shared" si="5757"/>
        <v>0</v>
      </c>
      <c r="W406" s="38"/>
      <c r="X406" s="38">
        <f t="shared" ref="X406" si="5758">TRUNC($M406 * W406,2)</f>
        <v>0</v>
      </c>
      <c r="Y406" s="38"/>
      <c r="Z406" s="38">
        <f t="shared" ref="Z406" si="5759">TRUNC($M406 * Y406,2)</f>
        <v>0</v>
      </c>
      <c r="AA406" s="38"/>
      <c r="AB406" s="38">
        <f t="shared" ref="AB406" si="5760">TRUNC($M406 * AA406,2)</f>
        <v>0</v>
      </c>
      <c r="AC406" s="38"/>
      <c r="AD406" s="38">
        <f t="shared" ref="AD406" si="5761">TRUNC($M406 * AC406,2)</f>
        <v>0</v>
      </c>
      <c r="AE406" s="38"/>
      <c r="AF406" s="38">
        <f t="shared" ref="AF406" si="5762">TRUNC($M406 * AE406,2)</f>
        <v>0</v>
      </c>
      <c r="AG406" s="38"/>
      <c r="AH406" s="38">
        <f t="shared" ref="AH406" si="5763">TRUNC($M406 * AG406,2)</f>
        <v>0</v>
      </c>
      <c r="AI406" s="38"/>
      <c r="AJ406" s="38">
        <f t="shared" ref="AJ406" si="5764">TRUNC($M406 * AI406,2)</f>
        <v>0</v>
      </c>
      <c r="AK406" s="38"/>
      <c r="AL406" s="38">
        <f t="shared" ref="AL406" si="5765">TRUNC($M406 * AK406,2)</f>
        <v>0</v>
      </c>
      <c r="AM406" s="38"/>
      <c r="AN406" s="38">
        <f t="shared" ref="AN406" si="5766">TRUNC($M406 * AM406,2)</f>
        <v>0</v>
      </c>
      <c r="AO406" s="38"/>
      <c r="AP406" s="38">
        <f t="shared" ref="AP406" si="5767">TRUNC($M406 * AO406,2)</f>
        <v>0</v>
      </c>
      <c r="AQ406" s="38"/>
      <c r="AR406" s="38">
        <f t="shared" ref="AR406" si="5768">TRUNC($M406 * AQ406,2)</f>
        <v>0</v>
      </c>
      <c r="AS406" s="38"/>
      <c r="AT406" s="38">
        <f t="shared" ref="AT406" si="5769">TRUNC($M406 * AS406,2)</f>
        <v>0</v>
      </c>
      <c r="AU406" s="38"/>
      <c r="AV406" s="38">
        <f t="shared" ref="AV406" si="5770">TRUNC($M406 * AU406,2)</f>
        <v>0</v>
      </c>
      <c r="AW406" s="38"/>
      <c r="AX406" s="37">
        <f t="shared" ref="AX406" si="5771">TRUNC($M406 * AW406,2)</f>
        <v>0</v>
      </c>
      <c r="AY406" s="36">
        <f t="shared" si="5617"/>
        <v>0</v>
      </c>
      <c r="AZ406" s="38">
        <f t="shared" ref="AZ406" si="5772">TRUNC($M406 * AY406,2)</f>
        <v>0</v>
      </c>
      <c r="BA406" s="38">
        <f t="shared" si="5619"/>
        <v>262.10000000000002</v>
      </c>
      <c r="BB406" s="37">
        <f t="shared" ref="BB406" si="5773">TRUNC($M406 * BA406,2)</f>
        <v>4626.0600000000004</v>
      </c>
    </row>
    <row r="407" spans="1:54" ht="39" customHeight="1" x14ac:dyDescent="0.25">
      <c r="A407" s="31" t="s">
        <v>1219</v>
      </c>
      <c r="B407" s="31" t="s">
        <v>825</v>
      </c>
      <c r="C407" s="31" t="s">
        <v>34</v>
      </c>
      <c r="D407" s="31" t="s">
        <v>826</v>
      </c>
      <c r="E407" s="32" t="s">
        <v>218</v>
      </c>
      <c r="F407" s="33">
        <v>22.9</v>
      </c>
      <c r="G407" s="34">
        <v>26.24</v>
      </c>
      <c r="H407" s="34">
        <f t="shared" si="5562"/>
        <v>24.16</v>
      </c>
      <c r="I407" s="34">
        <f t="shared" si="5563"/>
        <v>553.26</v>
      </c>
      <c r="J407" s="34">
        <f>(TRUNC(H407 * L14,2) + H407)</f>
        <v>29.07</v>
      </c>
      <c r="K407" s="34">
        <f t="shared" si="5564"/>
        <v>665.7</v>
      </c>
      <c r="L407" s="35">
        <f>K407 / L13</f>
        <v>2.2955172413793103E-4</v>
      </c>
      <c r="M407" s="36">
        <v>21.46</v>
      </c>
      <c r="N407" s="37">
        <f t="shared" si="5565"/>
        <v>491.43</v>
      </c>
      <c r="O407" s="36"/>
      <c r="P407" s="38">
        <f t="shared" si="5600"/>
        <v>0</v>
      </c>
      <c r="Q407" s="38"/>
      <c r="R407" s="38">
        <f t="shared" si="5600"/>
        <v>0</v>
      </c>
      <c r="S407" s="38">
        <f t="shared" si="5601"/>
        <v>22.9</v>
      </c>
      <c r="T407" s="37">
        <f t="shared" ref="T407:V407" si="5774">TRUNC($M407 * S407,2)</f>
        <v>491.43</v>
      </c>
      <c r="U407" s="36"/>
      <c r="V407" s="38">
        <f t="shared" si="5774"/>
        <v>0</v>
      </c>
      <c r="W407" s="38"/>
      <c r="X407" s="38">
        <f t="shared" ref="X407" si="5775">TRUNC($M407 * W407,2)</f>
        <v>0</v>
      </c>
      <c r="Y407" s="38"/>
      <c r="Z407" s="38">
        <f t="shared" ref="Z407" si="5776">TRUNC($M407 * Y407,2)</f>
        <v>0</v>
      </c>
      <c r="AA407" s="38"/>
      <c r="AB407" s="38">
        <f t="shared" ref="AB407" si="5777">TRUNC($M407 * AA407,2)</f>
        <v>0</v>
      </c>
      <c r="AC407" s="38"/>
      <c r="AD407" s="38">
        <f t="shared" ref="AD407" si="5778">TRUNC($M407 * AC407,2)</f>
        <v>0</v>
      </c>
      <c r="AE407" s="38"/>
      <c r="AF407" s="38">
        <f t="shared" ref="AF407" si="5779">TRUNC($M407 * AE407,2)</f>
        <v>0</v>
      </c>
      <c r="AG407" s="38"/>
      <c r="AH407" s="38">
        <f t="shared" ref="AH407" si="5780">TRUNC($M407 * AG407,2)</f>
        <v>0</v>
      </c>
      <c r="AI407" s="38"/>
      <c r="AJ407" s="38">
        <f t="shared" ref="AJ407" si="5781">TRUNC($M407 * AI407,2)</f>
        <v>0</v>
      </c>
      <c r="AK407" s="38"/>
      <c r="AL407" s="38">
        <f t="shared" ref="AL407" si="5782">TRUNC($M407 * AK407,2)</f>
        <v>0</v>
      </c>
      <c r="AM407" s="38"/>
      <c r="AN407" s="38">
        <f t="shared" ref="AN407" si="5783">TRUNC($M407 * AM407,2)</f>
        <v>0</v>
      </c>
      <c r="AO407" s="38"/>
      <c r="AP407" s="38">
        <f t="shared" ref="AP407" si="5784">TRUNC($M407 * AO407,2)</f>
        <v>0</v>
      </c>
      <c r="AQ407" s="38"/>
      <c r="AR407" s="38">
        <f t="shared" ref="AR407" si="5785">TRUNC($M407 * AQ407,2)</f>
        <v>0</v>
      </c>
      <c r="AS407" s="38"/>
      <c r="AT407" s="38">
        <f t="shared" ref="AT407" si="5786">TRUNC($M407 * AS407,2)</f>
        <v>0</v>
      </c>
      <c r="AU407" s="38"/>
      <c r="AV407" s="38">
        <f t="shared" ref="AV407" si="5787">TRUNC($M407 * AU407,2)</f>
        <v>0</v>
      </c>
      <c r="AW407" s="38"/>
      <c r="AX407" s="37">
        <f t="shared" ref="AX407" si="5788">TRUNC($M407 * AW407,2)</f>
        <v>0</v>
      </c>
      <c r="AY407" s="36">
        <f t="shared" si="5617"/>
        <v>0</v>
      </c>
      <c r="AZ407" s="38">
        <f t="shared" ref="AZ407" si="5789">TRUNC($M407 * AY407,2)</f>
        <v>0</v>
      </c>
      <c r="BA407" s="38">
        <f t="shared" si="5619"/>
        <v>22.9</v>
      </c>
      <c r="BB407" s="37">
        <f t="shared" ref="BB407" si="5790">TRUNC($M407 * BA407,2)</f>
        <v>491.43</v>
      </c>
    </row>
    <row r="408" spans="1:54" ht="39" customHeight="1" x14ac:dyDescent="0.25">
      <c r="A408" s="31" t="s">
        <v>1220</v>
      </c>
      <c r="B408" s="31" t="s">
        <v>827</v>
      </c>
      <c r="C408" s="31" t="s">
        <v>34</v>
      </c>
      <c r="D408" s="31" t="s">
        <v>828</v>
      </c>
      <c r="E408" s="32" t="s">
        <v>218</v>
      </c>
      <c r="F408" s="33">
        <v>10.5</v>
      </c>
      <c r="G408" s="34">
        <v>43.64</v>
      </c>
      <c r="H408" s="34">
        <f t="shared" si="5562"/>
        <v>40.18</v>
      </c>
      <c r="I408" s="34">
        <f t="shared" si="5563"/>
        <v>421.89</v>
      </c>
      <c r="J408" s="34">
        <f>(TRUNC(H408 * L14,2) + H408)</f>
        <v>48.35</v>
      </c>
      <c r="K408" s="34">
        <f t="shared" si="5564"/>
        <v>507.67</v>
      </c>
      <c r="L408" s="35">
        <f>K408 / L13</f>
        <v>1.7505862068965515E-4</v>
      </c>
      <c r="M408" s="36">
        <v>34.76</v>
      </c>
      <c r="N408" s="37">
        <f t="shared" si="5565"/>
        <v>364.98</v>
      </c>
      <c r="O408" s="36"/>
      <c r="P408" s="38">
        <f t="shared" si="5600"/>
        <v>0</v>
      </c>
      <c r="Q408" s="38"/>
      <c r="R408" s="38">
        <f t="shared" si="5600"/>
        <v>0</v>
      </c>
      <c r="S408" s="38">
        <f t="shared" si="5601"/>
        <v>10.5</v>
      </c>
      <c r="T408" s="37">
        <f t="shared" ref="T408:V408" si="5791">TRUNC($M408 * S408,2)</f>
        <v>364.98</v>
      </c>
      <c r="U408" s="36"/>
      <c r="V408" s="38">
        <f t="shared" si="5791"/>
        <v>0</v>
      </c>
      <c r="W408" s="38"/>
      <c r="X408" s="38">
        <f t="shared" ref="X408" si="5792">TRUNC($M408 * W408,2)</f>
        <v>0</v>
      </c>
      <c r="Y408" s="38"/>
      <c r="Z408" s="38">
        <f t="shared" ref="Z408" si="5793">TRUNC($M408 * Y408,2)</f>
        <v>0</v>
      </c>
      <c r="AA408" s="38"/>
      <c r="AB408" s="38">
        <f t="shared" ref="AB408" si="5794">TRUNC($M408 * AA408,2)</f>
        <v>0</v>
      </c>
      <c r="AC408" s="38"/>
      <c r="AD408" s="38">
        <f t="shared" ref="AD408" si="5795">TRUNC($M408 * AC408,2)</f>
        <v>0</v>
      </c>
      <c r="AE408" s="38"/>
      <c r="AF408" s="38">
        <f t="shared" ref="AF408" si="5796">TRUNC($M408 * AE408,2)</f>
        <v>0</v>
      </c>
      <c r="AG408" s="38"/>
      <c r="AH408" s="38">
        <f t="shared" ref="AH408" si="5797">TRUNC($M408 * AG408,2)</f>
        <v>0</v>
      </c>
      <c r="AI408" s="38"/>
      <c r="AJ408" s="38">
        <f t="shared" ref="AJ408" si="5798">TRUNC($M408 * AI408,2)</f>
        <v>0</v>
      </c>
      <c r="AK408" s="38"/>
      <c r="AL408" s="38">
        <f t="shared" ref="AL408" si="5799">TRUNC($M408 * AK408,2)</f>
        <v>0</v>
      </c>
      <c r="AM408" s="38"/>
      <c r="AN408" s="38">
        <f t="shared" ref="AN408" si="5800">TRUNC($M408 * AM408,2)</f>
        <v>0</v>
      </c>
      <c r="AO408" s="38"/>
      <c r="AP408" s="38">
        <f t="shared" ref="AP408" si="5801">TRUNC($M408 * AO408,2)</f>
        <v>0</v>
      </c>
      <c r="AQ408" s="38"/>
      <c r="AR408" s="38">
        <f t="shared" ref="AR408" si="5802">TRUNC($M408 * AQ408,2)</f>
        <v>0</v>
      </c>
      <c r="AS408" s="38"/>
      <c r="AT408" s="38">
        <f t="shared" ref="AT408" si="5803">TRUNC($M408 * AS408,2)</f>
        <v>0</v>
      </c>
      <c r="AU408" s="38"/>
      <c r="AV408" s="38">
        <f t="shared" ref="AV408" si="5804">TRUNC($M408 * AU408,2)</f>
        <v>0</v>
      </c>
      <c r="AW408" s="38"/>
      <c r="AX408" s="37">
        <f t="shared" ref="AX408" si="5805">TRUNC($M408 * AW408,2)</f>
        <v>0</v>
      </c>
      <c r="AY408" s="36">
        <f t="shared" si="5617"/>
        <v>0</v>
      </c>
      <c r="AZ408" s="38">
        <f t="shared" ref="AZ408" si="5806">TRUNC($M408 * AY408,2)</f>
        <v>0</v>
      </c>
      <c r="BA408" s="38">
        <f t="shared" si="5619"/>
        <v>10.5</v>
      </c>
      <c r="BB408" s="37">
        <f t="shared" ref="BB408" si="5807">TRUNC($M408 * BA408,2)</f>
        <v>364.98</v>
      </c>
    </row>
    <row r="409" spans="1:54" ht="26.1" customHeight="1" x14ac:dyDescent="0.25">
      <c r="A409" s="31" t="s">
        <v>1221</v>
      </c>
      <c r="B409" s="31" t="s">
        <v>829</v>
      </c>
      <c r="C409" s="31" t="s">
        <v>19</v>
      </c>
      <c r="D409" s="31" t="s">
        <v>830</v>
      </c>
      <c r="E409" s="32" t="s">
        <v>69</v>
      </c>
      <c r="F409" s="33">
        <v>1</v>
      </c>
      <c r="G409" s="34">
        <v>71.66</v>
      </c>
      <c r="H409" s="34">
        <f t="shared" si="5562"/>
        <v>65.98</v>
      </c>
      <c r="I409" s="34">
        <f t="shared" si="5563"/>
        <v>65.98</v>
      </c>
      <c r="J409" s="34">
        <f>(TRUNC(H409 * L14,2) + H409)</f>
        <v>79.400000000000006</v>
      </c>
      <c r="K409" s="34">
        <f t="shared" si="5564"/>
        <v>79.400000000000006</v>
      </c>
      <c r="L409" s="35">
        <f>K409 / L13</f>
        <v>2.7379310344827585E-5</v>
      </c>
      <c r="M409" s="36">
        <v>66.37</v>
      </c>
      <c r="N409" s="37">
        <f t="shared" si="5565"/>
        <v>66.37</v>
      </c>
      <c r="O409" s="36"/>
      <c r="P409" s="38">
        <f t="shared" si="5600"/>
        <v>0</v>
      </c>
      <c r="Q409" s="38"/>
      <c r="R409" s="38">
        <f t="shared" si="5600"/>
        <v>0</v>
      </c>
      <c r="S409" s="38">
        <f t="shared" si="5601"/>
        <v>1</v>
      </c>
      <c r="T409" s="37">
        <f t="shared" ref="T409:V409" si="5808">TRUNC($M409 * S409,2)</f>
        <v>66.37</v>
      </c>
      <c r="U409" s="36"/>
      <c r="V409" s="38">
        <f t="shared" si="5808"/>
        <v>0</v>
      </c>
      <c r="W409" s="38"/>
      <c r="X409" s="38">
        <f t="shared" ref="X409" si="5809">TRUNC($M409 * W409,2)</f>
        <v>0</v>
      </c>
      <c r="Y409" s="38"/>
      <c r="Z409" s="38">
        <f t="shared" ref="Z409" si="5810">TRUNC($M409 * Y409,2)</f>
        <v>0</v>
      </c>
      <c r="AA409" s="38"/>
      <c r="AB409" s="38">
        <f t="shared" ref="AB409" si="5811">TRUNC($M409 * AA409,2)</f>
        <v>0</v>
      </c>
      <c r="AC409" s="38"/>
      <c r="AD409" s="38">
        <f t="shared" ref="AD409" si="5812">TRUNC($M409 * AC409,2)</f>
        <v>0</v>
      </c>
      <c r="AE409" s="38"/>
      <c r="AF409" s="38">
        <f t="shared" ref="AF409" si="5813">TRUNC($M409 * AE409,2)</f>
        <v>0</v>
      </c>
      <c r="AG409" s="38"/>
      <c r="AH409" s="38">
        <f t="shared" ref="AH409" si="5814">TRUNC($M409 * AG409,2)</f>
        <v>0</v>
      </c>
      <c r="AI409" s="38"/>
      <c r="AJ409" s="38">
        <f t="shared" ref="AJ409" si="5815">TRUNC($M409 * AI409,2)</f>
        <v>0</v>
      </c>
      <c r="AK409" s="38"/>
      <c r="AL409" s="38">
        <f t="shared" ref="AL409" si="5816">TRUNC($M409 * AK409,2)</f>
        <v>0</v>
      </c>
      <c r="AM409" s="38"/>
      <c r="AN409" s="38">
        <f t="shared" ref="AN409" si="5817">TRUNC($M409 * AM409,2)</f>
        <v>0</v>
      </c>
      <c r="AO409" s="38"/>
      <c r="AP409" s="38">
        <f t="shared" ref="AP409" si="5818">TRUNC($M409 * AO409,2)</f>
        <v>0</v>
      </c>
      <c r="AQ409" s="38"/>
      <c r="AR409" s="38">
        <f t="shared" ref="AR409" si="5819">TRUNC($M409 * AQ409,2)</f>
        <v>0</v>
      </c>
      <c r="AS409" s="38"/>
      <c r="AT409" s="38">
        <f t="shared" ref="AT409" si="5820">TRUNC($M409 * AS409,2)</f>
        <v>0</v>
      </c>
      <c r="AU409" s="38"/>
      <c r="AV409" s="38">
        <f t="shared" ref="AV409" si="5821">TRUNC($M409 * AU409,2)</f>
        <v>0</v>
      </c>
      <c r="AW409" s="38"/>
      <c r="AX409" s="37">
        <f t="shared" ref="AX409" si="5822">TRUNC($M409 * AW409,2)</f>
        <v>0</v>
      </c>
      <c r="AY409" s="36">
        <f t="shared" si="5617"/>
        <v>0</v>
      </c>
      <c r="AZ409" s="38">
        <f t="shared" ref="AZ409" si="5823">TRUNC($M409 * AY409,2)</f>
        <v>0</v>
      </c>
      <c r="BA409" s="38">
        <f t="shared" si="5619"/>
        <v>1</v>
      </c>
      <c r="BB409" s="37">
        <f t="shared" ref="BB409" si="5824">TRUNC($M409 * BA409,2)</f>
        <v>66.37</v>
      </c>
    </row>
    <row r="410" spans="1:54" ht="26.1" customHeight="1" x14ac:dyDescent="0.25">
      <c r="A410" s="31" t="s">
        <v>1222</v>
      </c>
      <c r="B410" s="31" t="s">
        <v>831</v>
      </c>
      <c r="C410" s="31" t="s">
        <v>24</v>
      </c>
      <c r="D410" s="31" t="s">
        <v>832</v>
      </c>
      <c r="E410" s="32" t="s">
        <v>171</v>
      </c>
      <c r="F410" s="33">
        <v>107</v>
      </c>
      <c r="G410" s="34">
        <v>12.4</v>
      </c>
      <c r="H410" s="34">
        <f t="shared" si="5562"/>
        <v>11.41</v>
      </c>
      <c r="I410" s="34">
        <f t="shared" si="5563"/>
        <v>1220.8699999999999</v>
      </c>
      <c r="J410" s="34">
        <f>(TRUNC(H410 * L14,2) + H410)</f>
        <v>13.73</v>
      </c>
      <c r="K410" s="34">
        <f t="shared" si="5564"/>
        <v>1469.11</v>
      </c>
      <c r="L410" s="35">
        <f>K410 / L13</f>
        <v>5.0658965517241372E-4</v>
      </c>
      <c r="M410" s="36">
        <v>11.32</v>
      </c>
      <c r="N410" s="37">
        <f t="shared" si="5565"/>
        <v>1211.24</v>
      </c>
      <c r="O410" s="36"/>
      <c r="P410" s="38">
        <f t="shared" si="5600"/>
        <v>0</v>
      </c>
      <c r="Q410" s="38"/>
      <c r="R410" s="38">
        <f t="shared" si="5600"/>
        <v>0</v>
      </c>
      <c r="S410" s="38">
        <f t="shared" si="5601"/>
        <v>107</v>
      </c>
      <c r="T410" s="37">
        <f t="shared" ref="T410:V410" si="5825">TRUNC($M410 * S410,2)</f>
        <v>1211.24</v>
      </c>
      <c r="U410" s="36"/>
      <c r="V410" s="38">
        <f t="shared" si="5825"/>
        <v>0</v>
      </c>
      <c r="W410" s="38"/>
      <c r="X410" s="38">
        <f t="shared" ref="X410" si="5826">TRUNC($M410 * W410,2)</f>
        <v>0</v>
      </c>
      <c r="Y410" s="38"/>
      <c r="Z410" s="38">
        <f t="shared" ref="Z410" si="5827">TRUNC($M410 * Y410,2)</f>
        <v>0</v>
      </c>
      <c r="AA410" s="38"/>
      <c r="AB410" s="38">
        <f t="shared" ref="AB410" si="5828">TRUNC($M410 * AA410,2)</f>
        <v>0</v>
      </c>
      <c r="AC410" s="38"/>
      <c r="AD410" s="38">
        <f t="shared" ref="AD410" si="5829">TRUNC($M410 * AC410,2)</f>
        <v>0</v>
      </c>
      <c r="AE410" s="38"/>
      <c r="AF410" s="38">
        <f t="shared" ref="AF410" si="5830">TRUNC($M410 * AE410,2)</f>
        <v>0</v>
      </c>
      <c r="AG410" s="38"/>
      <c r="AH410" s="38">
        <f t="shared" ref="AH410" si="5831">TRUNC($M410 * AG410,2)</f>
        <v>0</v>
      </c>
      <c r="AI410" s="38"/>
      <c r="AJ410" s="38">
        <f t="shared" ref="AJ410" si="5832">TRUNC($M410 * AI410,2)</f>
        <v>0</v>
      </c>
      <c r="AK410" s="38"/>
      <c r="AL410" s="38">
        <f t="shared" ref="AL410" si="5833">TRUNC($M410 * AK410,2)</f>
        <v>0</v>
      </c>
      <c r="AM410" s="38"/>
      <c r="AN410" s="38">
        <f t="shared" ref="AN410" si="5834">TRUNC($M410 * AM410,2)</f>
        <v>0</v>
      </c>
      <c r="AO410" s="38"/>
      <c r="AP410" s="38">
        <f t="shared" ref="AP410" si="5835">TRUNC($M410 * AO410,2)</f>
        <v>0</v>
      </c>
      <c r="AQ410" s="38"/>
      <c r="AR410" s="38">
        <f t="shared" ref="AR410" si="5836">TRUNC($M410 * AQ410,2)</f>
        <v>0</v>
      </c>
      <c r="AS410" s="38"/>
      <c r="AT410" s="38">
        <f t="shared" ref="AT410" si="5837">TRUNC($M410 * AS410,2)</f>
        <v>0</v>
      </c>
      <c r="AU410" s="38"/>
      <c r="AV410" s="38">
        <f t="shared" ref="AV410" si="5838">TRUNC($M410 * AU410,2)</f>
        <v>0</v>
      </c>
      <c r="AW410" s="38"/>
      <c r="AX410" s="37">
        <f t="shared" ref="AX410" si="5839">TRUNC($M410 * AW410,2)</f>
        <v>0</v>
      </c>
      <c r="AY410" s="36">
        <f t="shared" si="5617"/>
        <v>0</v>
      </c>
      <c r="AZ410" s="38">
        <f t="shared" ref="AZ410" si="5840">TRUNC($M410 * AY410,2)</f>
        <v>0</v>
      </c>
      <c r="BA410" s="38">
        <f t="shared" si="5619"/>
        <v>107</v>
      </c>
      <c r="BB410" s="37">
        <f t="shared" ref="BB410" si="5841">TRUNC($M410 * BA410,2)</f>
        <v>1211.24</v>
      </c>
    </row>
    <row r="411" spans="1:54" ht="26.1" customHeight="1" x14ac:dyDescent="0.25">
      <c r="A411" s="31" t="s">
        <v>1223</v>
      </c>
      <c r="B411" s="31" t="s">
        <v>833</v>
      </c>
      <c r="C411" s="31" t="s">
        <v>34</v>
      </c>
      <c r="D411" s="31" t="s">
        <v>834</v>
      </c>
      <c r="E411" s="32" t="s">
        <v>36</v>
      </c>
      <c r="F411" s="33">
        <v>2</v>
      </c>
      <c r="G411" s="34">
        <v>47.04</v>
      </c>
      <c r="H411" s="34">
        <f t="shared" si="5562"/>
        <v>43.31</v>
      </c>
      <c r="I411" s="34">
        <f t="shared" si="5563"/>
        <v>86.62</v>
      </c>
      <c r="J411" s="34">
        <f>(TRUNC(H411 * L14,2) + H411)</f>
        <v>52.11</v>
      </c>
      <c r="K411" s="34">
        <f t="shared" si="5564"/>
        <v>104.22</v>
      </c>
      <c r="L411" s="35">
        <f>K411 / L13</f>
        <v>3.593793103448275E-5</v>
      </c>
      <c r="M411" s="36">
        <v>38.65</v>
      </c>
      <c r="N411" s="37">
        <f t="shared" si="5565"/>
        <v>77.3</v>
      </c>
      <c r="O411" s="36"/>
      <c r="P411" s="38">
        <f t="shared" si="5600"/>
        <v>0</v>
      </c>
      <c r="Q411" s="38"/>
      <c r="R411" s="38">
        <f t="shared" si="5600"/>
        <v>0</v>
      </c>
      <c r="S411" s="38">
        <f t="shared" si="5601"/>
        <v>2</v>
      </c>
      <c r="T411" s="37">
        <f t="shared" ref="T411:V411" si="5842">TRUNC($M411 * S411,2)</f>
        <v>77.3</v>
      </c>
      <c r="U411" s="36"/>
      <c r="V411" s="38">
        <f t="shared" si="5842"/>
        <v>0</v>
      </c>
      <c r="W411" s="38"/>
      <c r="X411" s="38">
        <f t="shared" ref="X411" si="5843">TRUNC($M411 * W411,2)</f>
        <v>0</v>
      </c>
      <c r="Y411" s="38"/>
      <c r="Z411" s="38">
        <f t="shared" ref="Z411" si="5844">TRUNC($M411 * Y411,2)</f>
        <v>0</v>
      </c>
      <c r="AA411" s="38"/>
      <c r="AB411" s="38">
        <f t="shared" ref="AB411" si="5845">TRUNC($M411 * AA411,2)</f>
        <v>0</v>
      </c>
      <c r="AC411" s="38"/>
      <c r="AD411" s="38">
        <f t="shared" ref="AD411" si="5846">TRUNC($M411 * AC411,2)</f>
        <v>0</v>
      </c>
      <c r="AE411" s="38"/>
      <c r="AF411" s="38">
        <f t="shared" ref="AF411" si="5847">TRUNC($M411 * AE411,2)</f>
        <v>0</v>
      </c>
      <c r="AG411" s="38"/>
      <c r="AH411" s="38">
        <f t="shared" ref="AH411" si="5848">TRUNC($M411 * AG411,2)</f>
        <v>0</v>
      </c>
      <c r="AI411" s="38"/>
      <c r="AJ411" s="38">
        <f t="shared" ref="AJ411" si="5849">TRUNC($M411 * AI411,2)</f>
        <v>0</v>
      </c>
      <c r="AK411" s="38"/>
      <c r="AL411" s="38">
        <f t="shared" ref="AL411" si="5850">TRUNC($M411 * AK411,2)</f>
        <v>0</v>
      </c>
      <c r="AM411" s="38"/>
      <c r="AN411" s="38">
        <f t="shared" ref="AN411" si="5851">TRUNC($M411 * AM411,2)</f>
        <v>0</v>
      </c>
      <c r="AO411" s="38"/>
      <c r="AP411" s="38">
        <f t="shared" ref="AP411" si="5852">TRUNC($M411 * AO411,2)</f>
        <v>0</v>
      </c>
      <c r="AQ411" s="38"/>
      <c r="AR411" s="38">
        <f t="shared" ref="AR411" si="5853">TRUNC($M411 * AQ411,2)</f>
        <v>0</v>
      </c>
      <c r="AS411" s="38"/>
      <c r="AT411" s="38">
        <f t="shared" ref="AT411" si="5854">TRUNC($M411 * AS411,2)</f>
        <v>0</v>
      </c>
      <c r="AU411" s="38"/>
      <c r="AV411" s="38">
        <f t="shared" ref="AV411" si="5855">TRUNC($M411 * AU411,2)</f>
        <v>0</v>
      </c>
      <c r="AW411" s="38"/>
      <c r="AX411" s="37">
        <f t="shared" ref="AX411" si="5856">TRUNC($M411 * AW411,2)</f>
        <v>0</v>
      </c>
      <c r="AY411" s="36">
        <f t="shared" si="5617"/>
        <v>0</v>
      </c>
      <c r="AZ411" s="38">
        <f t="shared" ref="AZ411" si="5857">TRUNC($M411 * AY411,2)</f>
        <v>0</v>
      </c>
      <c r="BA411" s="38">
        <f t="shared" si="5619"/>
        <v>2</v>
      </c>
      <c r="BB411" s="37">
        <f t="shared" ref="BB411" si="5858">TRUNC($M411 * BA411,2)</f>
        <v>77.3</v>
      </c>
    </row>
    <row r="412" spans="1:54" ht="26.1" customHeight="1" x14ac:dyDescent="0.25">
      <c r="A412" s="31" t="s">
        <v>1224</v>
      </c>
      <c r="B412" s="31" t="s">
        <v>835</v>
      </c>
      <c r="C412" s="31" t="s">
        <v>24</v>
      </c>
      <c r="D412" s="31" t="s">
        <v>836</v>
      </c>
      <c r="E412" s="32" t="s">
        <v>171</v>
      </c>
      <c r="F412" s="33">
        <v>1</v>
      </c>
      <c r="G412" s="34">
        <v>727.35</v>
      </c>
      <c r="H412" s="34">
        <f t="shared" si="5562"/>
        <v>669.7</v>
      </c>
      <c r="I412" s="34">
        <f t="shared" si="5563"/>
        <v>669.7</v>
      </c>
      <c r="J412" s="34">
        <f>(TRUNC(H412 * L14,2) + H412)</f>
        <v>805.91000000000008</v>
      </c>
      <c r="K412" s="34">
        <f t="shared" si="5564"/>
        <v>805.91</v>
      </c>
      <c r="L412" s="35">
        <f>K412 / L13</f>
        <v>2.7789999999999992E-4</v>
      </c>
      <c r="M412" s="36">
        <v>606.52</v>
      </c>
      <c r="N412" s="37">
        <f t="shared" si="5565"/>
        <v>606.52</v>
      </c>
      <c r="O412" s="36"/>
      <c r="P412" s="38">
        <f t="shared" si="5600"/>
        <v>0</v>
      </c>
      <c r="Q412" s="38"/>
      <c r="R412" s="38">
        <f t="shared" si="5600"/>
        <v>0</v>
      </c>
      <c r="S412" s="38">
        <f t="shared" si="5601"/>
        <v>1</v>
      </c>
      <c r="T412" s="37">
        <f t="shared" ref="T412:V412" si="5859">TRUNC($M412 * S412,2)</f>
        <v>606.52</v>
      </c>
      <c r="U412" s="36"/>
      <c r="V412" s="38">
        <f t="shared" si="5859"/>
        <v>0</v>
      </c>
      <c r="W412" s="38"/>
      <c r="X412" s="38">
        <f t="shared" ref="X412" si="5860">TRUNC($M412 * W412,2)</f>
        <v>0</v>
      </c>
      <c r="Y412" s="38"/>
      <c r="Z412" s="38">
        <f t="shared" ref="Z412" si="5861">TRUNC($M412 * Y412,2)</f>
        <v>0</v>
      </c>
      <c r="AA412" s="38"/>
      <c r="AB412" s="38">
        <f t="shared" ref="AB412" si="5862">TRUNC($M412 * AA412,2)</f>
        <v>0</v>
      </c>
      <c r="AC412" s="38"/>
      <c r="AD412" s="38">
        <f t="shared" ref="AD412" si="5863">TRUNC($M412 * AC412,2)</f>
        <v>0</v>
      </c>
      <c r="AE412" s="38"/>
      <c r="AF412" s="38">
        <f t="shared" ref="AF412" si="5864">TRUNC($M412 * AE412,2)</f>
        <v>0</v>
      </c>
      <c r="AG412" s="38"/>
      <c r="AH412" s="38">
        <f t="shared" ref="AH412" si="5865">TRUNC($M412 * AG412,2)</f>
        <v>0</v>
      </c>
      <c r="AI412" s="38"/>
      <c r="AJ412" s="38">
        <f t="shared" ref="AJ412" si="5866">TRUNC($M412 * AI412,2)</f>
        <v>0</v>
      </c>
      <c r="AK412" s="38"/>
      <c r="AL412" s="38">
        <f t="shared" ref="AL412" si="5867">TRUNC($M412 * AK412,2)</f>
        <v>0</v>
      </c>
      <c r="AM412" s="38"/>
      <c r="AN412" s="38">
        <f t="shared" ref="AN412" si="5868">TRUNC($M412 * AM412,2)</f>
        <v>0</v>
      </c>
      <c r="AO412" s="38"/>
      <c r="AP412" s="38">
        <f t="shared" ref="AP412" si="5869">TRUNC($M412 * AO412,2)</f>
        <v>0</v>
      </c>
      <c r="AQ412" s="38"/>
      <c r="AR412" s="38">
        <f t="shared" ref="AR412" si="5870">TRUNC($M412 * AQ412,2)</f>
        <v>0</v>
      </c>
      <c r="AS412" s="38"/>
      <c r="AT412" s="38">
        <f t="shared" ref="AT412" si="5871">TRUNC($M412 * AS412,2)</f>
        <v>0</v>
      </c>
      <c r="AU412" s="38"/>
      <c r="AV412" s="38">
        <f t="shared" ref="AV412" si="5872">TRUNC($M412 * AU412,2)</f>
        <v>0</v>
      </c>
      <c r="AW412" s="38"/>
      <c r="AX412" s="37">
        <f t="shared" ref="AX412" si="5873">TRUNC($M412 * AW412,2)</f>
        <v>0</v>
      </c>
      <c r="AY412" s="36">
        <f t="shared" si="5617"/>
        <v>0</v>
      </c>
      <c r="AZ412" s="38">
        <f t="shared" ref="AZ412" si="5874">TRUNC($M412 * AY412,2)</f>
        <v>0</v>
      </c>
      <c r="BA412" s="38">
        <f t="shared" si="5619"/>
        <v>1</v>
      </c>
      <c r="BB412" s="37">
        <f t="shared" ref="BB412" si="5875">TRUNC($M412 * BA412,2)</f>
        <v>606.52</v>
      </c>
    </row>
    <row r="413" spans="1:54" ht="39" customHeight="1" x14ac:dyDescent="0.25">
      <c r="A413" s="31" t="s">
        <v>1225</v>
      </c>
      <c r="B413" s="31" t="s">
        <v>837</v>
      </c>
      <c r="C413" s="31" t="s">
        <v>19</v>
      </c>
      <c r="D413" s="31" t="s">
        <v>838</v>
      </c>
      <c r="E413" s="32" t="s">
        <v>171</v>
      </c>
      <c r="F413" s="33">
        <v>1</v>
      </c>
      <c r="G413" s="34">
        <v>844.46</v>
      </c>
      <c r="H413" s="34">
        <f t="shared" si="5562"/>
        <v>777.52</v>
      </c>
      <c r="I413" s="34">
        <f t="shared" si="5563"/>
        <v>777.52</v>
      </c>
      <c r="J413" s="34">
        <f>(TRUNC(H413 * L14,2) + H413)</f>
        <v>935.66</v>
      </c>
      <c r="K413" s="34">
        <f t="shared" si="5564"/>
        <v>935.66</v>
      </c>
      <c r="L413" s="35">
        <f>K413 / L13</f>
        <v>3.2264137931034477E-4</v>
      </c>
      <c r="M413" s="36">
        <v>665.96</v>
      </c>
      <c r="N413" s="37">
        <f t="shared" si="5565"/>
        <v>665.96</v>
      </c>
      <c r="O413" s="36"/>
      <c r="P413" s="38">
        <f t="shared" si="5600"/>
        <v>0</v>
      </c>
      <c r="Q413" s="38"/>
      <c r="R413" s="38">
        <f t="shared" si="5600"/>
        <v>0</v>
      </c>
      <c r="S413" s="38">
        <f t="shared" si="5601"/>
        <v>1</v>
      </c>
      <c r="T413" s="37">
        <f t="shared" ref="T413:V413" si="5876">TRUNC($M413 * S413,2)</f>
        <v>665.96</v>
      </c>
      <c r="U413" s="36"/>
      <c r="V413" s="38">
        <f t="shared" si="5876"/>
        <v>0</v>
      </c>
      <c r="W413" s="38"/>
      <c r="X413" s="38">
        <f t="shared" ref="X413" si="5877">TRUNC($M413 * W413,2)</f>
        <v>0</v>
      </c>
      <c r="Y413" s="38"/>
      <c r="Z413" s="38">
        <f t="shared" ref="Z413" si="5878">TRUNC($M413 * Y413,2)</f>
        <v>0</v>
      </c>
      <c r="AA413" s="38"/>
      <c r="AB413" s="38">
        <f t="shared" ref="AB413" si="5879">TRUNC($M413 * AA413,2)</f>
        <v>0</v>
      </c>
      <c r="AC413" s="38"/>
      <c r="AD413" s="38">
        <f t="shared" ref="AD413" si="5880">TRUNC($M413 * AC413,2)</f>
        <v>0</v>
      </c>
      <c r="AE413" s="38"/>
      <c r="AF413" s="38">
        <f t="shared" ref="AF413" si="5881">TRUNC($M413 * AE413,2)</f>
        <v>0</v>
      </c>
      <c r="AG413" s="38"/>
      <c r="AH413" s="38">
        <f t="shared" ref="AH413" si="5882">TRUNC($M413 * AG413,2)</f>
        <v>0</v>
      </c>
      <c r="AI413" s="38"/>
      <c r="AJ413" s="38">
        <f t="shared" ref="AJ413" si="5883">TRUNC($M413 * AI413,2)</f>
        <v>0</v>
      </c>
      <c r="AK413" s="38"/>
      <c r="AL413" s="38">
        <f t="shared" ref="AL413" si="5884">TRUNC($M413 * AK413,2)</f>
        <v>0</v>
      </c>
      <c r="AM413" s="38"/>
      <c r="AN413" s="38">
        <f t="shared" ref="AN413" si="5885">TRUNC($M413 * AM413,2)</f>
        <v>0</v>
      </c>
      <c r="AO413" s="38"/>
      <c r="AP413" s="38">
        <f t="shared" ref="AP413" si="5886">TRUNC($M413 * AO413,2)</f>
        <v>0</v>
      </c>
      <c r="AQ413" s="38"/>
      <c r="AR413" s="38">
        <f t="shared" ref="AR413" si="5887">TRUNC($M413 * AQ413,2)</f>
        <v>0</v>
      </c>
      <c r="AS413" s="38"/>
      <c r="AT413" s="38">
        <f t="shared" ref="AT413" si="5888">TRUNC($M413 * AS413,2)</f>
        <v>0</v>
      </c>
      <c r="AU413" s="38"/>
      <c r="AV413" s="38">
        <f t="shared" ref="AV413" si="5889">TRUNC($M413 * AU413,2)</f>
        <v>0</v>
      </c>
      <c r="AW413" s="38"/>
      <c r="AX413" s="37">
        <f t="shared" ref="AX413" si="5890">TRUNC($M413 * AW413,2)</f>
        <v>0</v>
      </c>
      <c r="AY413" s="36">
        <f t="shared" si="5617"/>
        <v>0</v>
      </c>
      <c r="AZ413" s="38">
        <f t="shared" ref="AZ413" si="5891">TRUNC($M413 * AY413,2)</f>
        <v>0</v>
      </c>
      <c r="BA413" s="38">
        <f t="shared" si="5619"/>
        <v>1</v>
      </c>
      <c r="BB413" s="37">
        <f t="shared" ref="BB413" si="5892">TRUNC($M413 * BA413,2)</f>
        <v>665.96</v>
      </c>
    </row>
    <row r="414" spans="1:54" ht="39" customHeight="1" x14ac:dyDescent="0.25">
      <c r="A414" s="31" t="s">
        <v>1226</v>
      </c>
      <c r="B414" s="31" t="s">
        <v>839</v>
      </c>
      <c r="C414" s="31" t="s">
        <v>24</v>
      </c>
      <c r="D414" s="31" t="s">
        <v>840</v>
      </c>
      <c r="E414" s="32" t="s">
        <v>171</v>
      </c>
      <c r="F414" s="33">
        <v>3</v>
      </c>
      <c r="G414" s="34">
        <v>1872.39</v>
      </c>
      <c r="H414" s="34">
        <f t="shared" si="5562"/>
        <v>1723.98</v>
      </c>
      <c r="I414" s="34">
        <f t="shared" si="5563"/>
        <v>5171.9399999999996</v>
      </c>
      <c r="J414" s="34">
        <f>(TRUNC(H414 * L14,2) + H414)</f>
        <v>2074.63</v>
      </c>
      <c r="K414" s="34">
        <f t="shared" si="5564"/>
        <v>6223.89</v>
      </c>
      <c r="L414" s="35">
        <f>K414 / L13</f>
        <v>2.1461689655172412E-3</v>
      </c>
      <c r="M414" s="36">
        <v>1518.26</v>
      </c>
      <c r="N414" s="37">
        <f t="shared" si="5565"/>
        <v>4554.78</v>
      </c>
      <c r="O414" s="36"/>
      <c r="P414" s="38">
        <f t="shared" si="5600"/>
        <v>0</v>
      </c>
      <c r="Q414" s="38"/>
      <c r="R414" s="38">
        <f t="shared" si="5600"/>
        <v>0</v>
      </c>
      <c r="S414" s="38">
        <f t="shared" si="5601"/>
        <v>3</v>
      </c>
      <c r="T414" s="37">
        <f t="shared" ref="T414:V414" si="5893">TRUNC($M414 * S414,2)</f>
        <v>4554.78</v>
      </c>
      <c r="U414" s="36"/>
      <c r="V414" s="38">
        <f t="shared" si="5893"/>
        <v>0</v>
      </c>
      <c r="W414" s="38"/>
      <c r="X414" s="38">
        <f t="shared" ref="X414" si="5894">TRUNC($M414 * W414,2)</f>
        <v>0</v>
      </c>
      <c r="Y414" s="38"/>
      <c r="Z414" s="38">
        <f t="shared" ref="Z414" si="5895">TRUNC($M414 * Y414,2)</f>
        <v>0</v>
      </c>
      <c r="AA414" s="38"/>
      <c r="AB414" s="38">
        <f t="shared" ref="AB414" si="5896">TRUNC($M414 * AA414,2)</f>
        <v>0</v>
      </c>
      <c r="AC414" s="38"/>
      <c r="AD414" s="38">
        <f t="shared" ref="AD414" si="5897">TRUNC($M414 * AC414,2)</f>
        <v>0</v>
      </c>
      <c r="AE414" s="38"/>
      <c r="AF414" s="38">
        <f t="shared" ref="AF414" si="5898">TRUNC($M414 * AE414,2)</f>
        <v>0</v>
      </c>
      <c r="AG414" s="38"/>
      <c r="AH414" s="38">
        <f t="shared" ref="AH414" si="5899">TRUNC($M414 * AG414,2)</f>
        <v>0</v>
      </c>
      <c r="AI414" s="38"/>
      <c r="AJ414" s="38">
        <f t="shared" ref="AJ414" si="5900">TRUNC($M414 * AI414,2)</f>
        <v>0</v>
      </c>
      <c r="AK414" s="38"/>
      <c r="AL414" s="38">
        <f t="shared" ref="AL414" si="5901">TRUNC($M414 * AK414,2)</f>
        <v>0</v>
      </c>
      <c r="AM414" s="38"/>
      <c r="AN414" s="38">
        <f t="shared" ref="AN414" si="5902">TRUNC($M414 * AM414,2)</f>
        <v>0</v>
      </c>
      <c r="AO414" s="38"/>
      <c r="AP414" s="38">
        <f t="shared" ref="AP414" si="5903">TRUNC($M414 * AO414,2)</f>
        <v>0</v>
      </c>
      <c r="AQ414" s="38"/>
      <c r="AR414" s="38">
        <f t="shared" ref="AR414" si="5904">TRUNC($M414 * AQ414,2)</f>
        <v>0</v>
      </c>
      <c r="AS414" s="38"/>
      <c r="AT414" s="38">
        <f t="shared" ref="AT414" si="5905">TRUNC($M414 * AS414,2)</f>
        <v>0</v>
      </c>
      <c r="AU414" s="38"/>
      <c r="AV414" s="38">
        <f t="shared" ref="AV414" si="5906">TRUNC($M414 * AU414,2)</f>
        <v>0</v>
      </c>
      <c r="AW414" s="38"/>
      <c r="AX414" s="37">
        <f t="shared" ref="AX414" si="5907">TRUNC($M414 * AW414,2)</f>
        <v>0</v>
      </c>
      <c r="AY414" s="36">
        <f t="shared" si="5617"/>
        <v>0</v>
      </c>
      <c r="AZ414" s="38">
        <f t="shared" ref="AZ414" si="5908">TRUNC($M414 * AY414,2)</f>
        <v>0</v>
      </c>
      <c r="BA414" s="38">
        <f t="shared" si="5619"/>
        <v>3</v>
      </c>
      <c r="BB414" s="37">
        <f t="shared" ref="BB414" si="5909">TRUNC($M414 * BA414,2)</f>
        <v>4554.78</v>
      </c>
    </row>
    <row r="415" spans="1:54" ht="51.9" customHeight="1" x14ac:dyDescent="0.25">
      <c r="A415" s="31" t="s">
        <v>1227</v>
      </c>
      <c r="B415" s="31" t="s">
        <v>841</v>
      </c>
      <c r="C415" s="31" t="s">
        <v>34</v>
      </c>
      <c r="D415" s="31" t="s">
        <v>842</v>
      </c>
      <c r="E415" s="32" t="s">
        <v>36</v>
      </c>
      <c r="F415" s="33">
        <v>1</v>
      </c>
      <c r="G415" s="34">
        <v>1175.49</v>
      </c>
      <c r="H415" s="34">
        <f t="shared" si="5562"/>
        <v>1082.32</v>
      </c>
      <c r="I415" s="34">
        <f t="shared" si="5563"/>
        <v>1082.32</v>
      </c>
      <c r="J415" s="34">
        <f>(TRUNC(H415 * L14,2) + H415)</f>
        <v>1302.46</v>
      </c>
      <c r="K415" s="34">
        <f t="shared" si="5564"/>
        <v>1302.46</v>
      </c>
      <c r="L415" s="35">
        <f>K415 / L13</f>
        <v>4.491241379310344E-4</v>
      </c>
      <c r="M415" s="36">
        <v>851.58</v>
      </c>
      <c r="N415" s="37">
        <f t="shared" si="5565"/>
        <v>851.58</v>
      </c>
      <c r="O415" s="36"/>
      <c r="P415" s="38">
        <f t="shared" si="5600"/>
        <v>0</v>
      </c>
      <c r="Q415" s="38"/>
      <c r="R415" s="38">
        <f t="shared" si="5600"/>
        <v>0</v>
      </c>
      <c r="S415" s="38">
        <f t="shared" si="5601"/>
        <v>1</v>
      </c>
      <c r="T415" s="37">
        <f t="shared" ref="T415:V415" si="5910">TRUNC($M415 * S415,2)</f>
        <v>851.58</v>
      </c>
      <c r="U415" s="36"/>
      <c r="V415" s="38">
        <f t="shared" si="5910"/>
        <v>0</v>
      </c>
      <c r="W415" s="38"/>
      <c r="X415" s="38">
        <f t="shared" ref="X415" si="5911">TRUNC($M415 * W415,2)</f>
        <v>0</v>
      </c>
      <c r="Y415" s="38"/>
      <c r="Z415" s="38">
        <f t="shared" ref="Z415" si="5912">TRUNC($M415 * Y415,2)</f>
        <v>0</v>
      </c>
      <c r="AA415" s="38"/>
      <c r="AB415" s="38">
        <f t="shared" ref="AB415" si="5913">TRUNC($M415 * AA415,2)</f>
        <v>0</v>
      </c>
      <c r="AC415" s="38"/>
      <c r="AD415" s="38">
        <f t="shared" ref="AD415" si="5914">TRUNC($M415 * AC415,2)</f>
        <v>0</v>
      </c>
      <c r="AE415" s="38"/>
      <c r="AF415" s="38">
        <f t="shared" ref="AF415" si="5915">TRUNC($M415 * AE415,2)</f>
        <v>0</v>
      </c>
      <c r="AG415" s="38"/>
      <c r="AH415" s="38">
        <f t="shared" ref="AH415" si="5916">TRUNC($M415 * AG415,2)</f>
        <v>0</v>
      </c>
      <c r="AI415" s="38"/>
      <c r="AJ415" s="38">
        <f t="shared" ref="AJ415" si="5917">TRUNC($M415 * AI415,2)</f>
        <v>0</v>
      </c>
      <c r="AK415" s="38"/>
      <c r="AL415" s="38">
        <f t="shared" ref="AL415" si="5918">TRUNC($M415 * AK415,2)</f>
        <v>0</v>
      </c>
      <c r="AM415" s="38"/>
      <c r="AN415" s="38">
        <f t="shared" ref="AN415" si="5919">TRUNC($M415 * AM415,2)</f>
        <v>0</v>
      </c>
      <c r="AO415" s="38"/>
      <c r="AP415" s="38">
        <f t="shared" ref="AP415" si="5920">TRUNC($M415 * AO415,2)</f>
        <v>0</v>
      </c>
      <c r="AQ415" s="38"/>
      <c r="AR415" s="38">
        <f t="shared" ref="AR415" si="5921">TRUNC($M415 * AQ415,2)</f>
        <v>0</v>
      </c>
      <c r="AS415" s="38"/>
      <c r="AT415" s="38">
        <f t="shared" ref="AT415" si="5922">TRUNC($M415 * AS415,2)</f>
        <v>0</v>
      </c>
      <c r="AU415" s="38"/>
      <c r="AV415" s="38">
        <f t="shared" ref="AV415" si="5923">TRUNC($M415 * AU415,2)</f>
        <v>0</v>
      </c>
      <c r="AW415" s="38"/>
      <c r="AX415" s="37">
        <f t="shared" ref="AX415" si="5924">TRUNC($M415 * AW415,2)</f>
        <v>0</v>
      </c>
      <c r="AY415" s="36">
        <f t="shared" si="5617"/>
        <v>0</v>
      </c>
      <c r="AZ415" s="38">
        <f t="shared" ref="AZ415" si="5925">TRUNC($M415 * AY415,2)</f>
        <v>0</v>
      </c>
      <c r="BA415" s="38">
        <f t="shared" si="5619"/>
        <v>1</v>
      </c>
      <c r="BB415" s="37">
        <f t="shared" ref="BB415" si="5926">TRUNC($M415 * BA415,2)</f>
        <v>851.58</v>
      </c>
    </row>
    <row r="416" spans="1:54" ht="26.1" customHeight="1" x14ac:dyDescent="0.25">
      <c r="A416" s="31" t="s">
        <v>1228</v>
      </c>
      <c r="B416" s="31" t="s">
        <v>843</v>
      </c>
      <c r="C416" s="31" t="s">
        <v>245</v>
      </c>
      <c r="D416" s="31" t="s">
        <v>844</v>
      </c>
      <c r="E416" s="32" t="s">
        <v>36</v>
      </c>
      <c r="F416" s="33">
        <v>1</v>
      </c>
      <c r="G416" s="34">
        <v>1312.33</v>
      </c>
      <c r="H416" s="34">
        <f t="shared" si="5562"/>
        <v>1208.31</v>
      </c>
      <c r="I416" s="34">
        <f t="shared" si="5563"/>
        <v>1208.31</v>
      </c>
      <c r="J416" s="34">
        <f>(TRUNC(H416 * L14,2) + H416)</f>
        <v>1454.08</v>
      </c>
      <c r="K416" s="34">
        <f t="shared" si="5564"/>
        <v>1454.08</v>
      </c>
      <c r="L416" s="35">
        <f>K416 / L13</f>
        <v>5.0140689655172406E-4</v>
      </c>
      <c r="M416" s="36">
        <v>274.14999999999998</v>
      </c>
      <c r="N416" s="37">
        <f t="shared" si="5565"/>
        <v>274.14999999999998</v>
      </c>
      <c r="O416" s="36"/>
      <c r="P416" s="38">
        <f t="shared" si="5600"/>
        <v>0</v>
      </c>
      <c r="Q416" s="38"/>
      <c r="R416" s="38">
        <f t="shared" si="5600"/>
        <v>0</v>
      </c>
      <c r="S416" s="38">
        <f t="shared" si="5601"/>
        <v>1</v>
      </c>
      <c r="T416" s="37">
        <f t="shared" ref="T416:V416" si="5927">TRUNC($M416 * S416,2)</f>
        <v>274.14999999999998</v>
      </c>
      <c r="U416" s="36"/>
      <c r="V416" s="38">
        <f t="shared" si="5927"/>
        <v>0</v>
      </c>
      <c r="W416" s="38"/>
      <c r="X416" s="38">
        <f t="shared" ref="X416" si="5928">TRUNC($M416 * W416,2)</f>
        <v>0</v>
      </c>
      <c r="Y416" s="38"/>
      <c r="Z416" s="38">
        <f t="shared" ref="Z416" si="5929">TRUNC($M416 * Y416,2)</f>
        <v>0</v>
      </c>
      <c r="AA416" s="38"/>
      <c r="AB416" s="38">
        <f t="shared" ref="AB416" si="5930">TRUNC($M416 * AA416,2)</f>
        <v>0</v>
      </c>
      <c r="AC416" s="38"/>
      <c r="AD416" s="38">
        <f t="shared" ref="AD416" si="5931">TRUNC($M416 * AC416,2)</f>
        <v>0</v>
      </c>
      <c r="AE416" s="38"/>
      <c r="AF416" s="38">
        <f t="shared" ref="AF416" si="5932">TRUNC($M416 * AE416,2)</f>
        <v>0</v>
      </c>
      <c r="AG416" s="38"/>
      <c r="AH416" s="38">
        <f t="shared" ref="AH416" si="5933">TRUNC($M416 * AG416,2)</f>
        <v>0</v>
      </c>
      <c r="AI416" s="38"/>
      <c r="AJ416" s="38">
        <f t="shared" ref="AJ416" si="5934">TRUNC($M416 * AI416,2)</f>
        <v>0</v>
      </c>
      <c r="AK416" s="38"/>
      <c r="AL416" s="38">
        <f t="shared" ref="AL416" si="5935">TRUNC($M416 * AK416,2)</f>
        <v>0</v>
      </c>
      <c r="AM416" s="38"/>
      <c r="AN416" s="38">
        <f t="shared" ref="AN416" si="5936">TRUNC($M416 * AM416,2)</f>
        <v>0</v>
      </c>
      <c r="AO416" s="38"/>
      <c r="AP416" s="38">
        <f t="shared" ref="AP416" si="5937">TRUNC($M416 * AO416,2)</f>
        <v>0</v>
      </c>
      <c r="AQ416" s="38"/>
      <c r="AR416" s="38">
        <f t="shared" ref="AR416" si="5938">TRUNC($M416 * AQ416,2)</f>
        <v>0</v>
      </c>
      <c r="AS416" s="38"/>
      <c r="AT416" s="38">
        <f t="shared" ref="AT416" si="5939">TRUNC($M416 * AS416,2)</f>
        <v>0</v>
      </c>
      <c r="AU416" s="38"/>
      <c r="AV416" s="38">
        <f t="shared" ref="AV416" si="5940">TRUNC($M416 * AU416,2)</f>
        <v>0</v>
      </c>
      <c r="AW416" s="38"/>
      <c r="AX416" s="37">
        <f t="shared" ref="AX416" si="5941">TRUNC($M416 * AW416,2)</f>
        <v>0</v>
      </c>
      <c r="AY416" s="36">
        <f t="shared" si="5617"/>
        <v>0</v>
      </c>
      <c r="AZ416" s="38">
        <f t="shared" ref="AZ416" si="5942">TRUNC($M416 * AY416,2)</f>
        <v>0</v>
      </c>
      <c r="BA416" s="38">
        <f t="shared" si="5619"/>
        <v>1</v>
      </c>
      <c r="BB416" s="37">
        <f t="shared" ref="BB416" si="5943">TRUNC($M416 * BA416,2)</f>
        <v>274.14999999999998</v>
      </c>
    </row>
    <row r="417" spans="1:54" ht="26.1" customHeight="1" x14ac:dyDescent="0.25">
      <c r="A417" s="31" t="s">
        <v>1229</v>
      </c>
      <c r="B417" s="31" t="s">
        <v>727</v>
      </c>
      <c r="C417" s="31" t="s">
        <v>245</v>
      </c>
      <c r="D417" s="31" t="s">
        <v>728</v>
      </c>
      <c r="E417" s="32" t="s">
        <v>36</v>
      </c>
      <c r="F417" s="33">
        <v>4</v>
      </c>
      <c r="G417" s="34">
        <v>230.28</v>
      </c>
      <c r="H417" s="34">
        <f t="shared" si="5562"/>
        <v>212.02</v>
      </c>
      <c r="I417" s="34">
        <f t="shared" si="5563"/>
        <v>848.08</v>
      </c>
      <c r="J417" s="34">
        <f>(TRUNC(H417 * L14,2) + H417)</f>
        <v>255.14000000000001</v>
      </c>
      <c r="K417" s="34">
        <f t="shared" si="5564"/>
        <v>1020.56</v>
      </c>
      <c r="L417" s="35">
        <f>K417 / L13</f>
        <v>3.519172413793103E-4</v>
      </c>
      <c r="M417" s="36">
        <v>48.1</v>
      </c>
      <c r="N417" s="37">
        <f t="shared" si="5565"/>
        <v>192.4</v>
      </c>
      <c r="O417" s="36"/>
      <c r="P417" s="38">
        <f t="shared" si="5600"/>
        <v>0</v>
      </c>
      <c r="Q417" s="38"/>
      <c r="R417" s="38">
        <f t="shared" si="5600"/>
        <v>0</v>
      </c>
      <c r="S417" s="38">
        <f t="shared" si="5601"/>
        <v>4</v>
      </c>
      <c r="T417" s="37">
        <f t="shared" ref="T417:V417" si="5944">TRUNC($M417 * S417,2)</f>
        <v>192.4</v>
      </c>
      <c r="U417" s="36"/>
      <c r="V417" s="38">
        <f t="shared" si="5944"/>
        <v>0</v>
      </c>
      <c r="W417" s="38"/>
      <c r="X417" s="38">
        <f t="shared" ref="X417" si="5945">TRUNC($M417 * W417,2)</f>
        <v>0</v>
      </c>
      <c r="Y417" s="38"/>
      <c r="Z417" s="38">
        <f t="shared" ref="Z417" si="5946">TRUNC($M417 * Y417,2)</f>
        <v>0</v>
      </c>
      <c r="AA417" s="38"/>
      <c r="AB417" s="38">
        <f t="shared" ref="AB417" si="5947">TRUNC($M417 * AA417,2)</f>
        <v>0</v>
      </c>
      <c r="AC417" s="38"/>
      <c r="AD417" s="38">
        <f t="shared" ref="AD417" si="5948">TRUNC($M417 * AC417,2)</f>
        <v>0</v>
      </c>
      <c r="AE417" s="38"/>
      <c r="AF417" s="38">
        <f t="shared" ref="AF417" si="5949">TRUNC($M417 * AE417,2)</f>
        <v>0</v>
      </c>
      <c r="AG417" s="38"/>
      <c r="AH417" s="38">
        <f t="shared" ref="AH417" si="5950">TRUNC($M417 * AG417,2)</f>
        <v>0</v>
      </c>
      <c r="AI417" s="38"/>
      <c r="AJ417" s="38">
        <f t="shared" ref="AJ417" si="5951">TRUNC($M417 * AI417,2)</f>
        <v>0</v>
      </c>
      <c r="AK417" s="38"/>
      <c r="AL417" s="38">
        <f t="shared" ref="AL417" si="5952">TRUNC($M417 * AK417,2)</f>
        <v>0</v>
      </c>
      <c r="AM417" s="38"/>
      <c r="AN417" s="38">
        <f t="shared" ref="AN417" si="5953">TRUNC($M417 * AM417,2)</f>
        <v>0</v>
      </c>
      <c r="AO417" s="38"/>
      <c r="AP417" s="38">
        <f t="shared" ref="AP417" si="5954">TRUNC($M417 * AO417,2)</f>
        <v>0</v>
      </c>
      <c r="AQ417" s="38"/>
      <c r="AR417" s="38">
        <f t="shared" ref="AR417" si="5955">TRUNC($M417 * AQ417,2)</f>
        <v>0</v>
      </c>
      <c r="AS417" s="38"/>
      <c r="AT417" s="38">
        <f t="shared" ref="AT417" si="5956">TRUNC($M417 * AS417,2)</f>
        <v>0</v>
      </c>
      <c r="AU417" s="38"/>
      <c r="AV417" s="38">
        <f t="shared" ref="AV417" si="5957">TRUNC($M417 * AU417,2)</f>
        <v>0</v>
      </c>
      <c r="AW417" s="38"/>
      <c r="AX417" s="37">
        <f t="shared" ref="AX417" si="5958">TRUNC($M417 * AW417,2)</f>
        <v>0</v>
      </c>
      <c r="AY417" s="36">
        <f t="shared" si="5617"/>
        <v>0</v>
      </c>
      <c r="AZ417" s="38">
        <f t="shared" ref="AZ417" si="5959">TRUNC($M417 * AY417,2)</f>
        <v>0</v>
      </c>
      <c r="BA417" s="38">
        <f t="shared" si="5619"/>
        <v>4</v>
      </c>
      <c r="BB417" s="37">
        <f t="shared" ref="BB417" si="5960">TRUNC($M417 * BA417,2)</f>
        <v>192.4</v>
      </c>
    </row>
    <row r="418" spans="1:54" ht="24" customHeight="1" x14ac:dyDescent="0.25">
      <c r="A418" s="4" t="s">
        <v>1230</v>
      </c>
      <c r="B418" s="4" t="s">
        <v>12</v>
      </c>
      <c r="C418" s="4"/>
      <c r="D418" s="4" t="s">
        <v>845</v>
      </c>
      <c r="E418" s="5"/>
      <c r="F418" s="14"/>
      <c r="G418" s="6"/>
      <c r="H418" s="6"/>
      <c r="I418" s="7">
        <f>SUM(I419:I423)</f>
        <v>22942.87</v>
      </c>
      <c r="J418" s="7"/>
      <c r="K418" s="7">
        <f>SUM(K419:K423)</f>
        <v>27608.620000000003</v>
      </c>
      <c r="L418" s="22">
        <f>K418 / L13</f>
        <v>9.5202137931034471E-3</v>
      </c>
      <c r="M418" s="25"/>
      <c r="N418" s="26">
        <f>SUM(N419:N423)</f>
        <v>18206.21</v>
      </c>
      <c r="O418" s="25"/>
      <c r="P418" s="30">
        <f>SUM(P419:P423)</f>
        <v>0</v>
      </c>
      <c r="Q418" s="30"/>
      <c r="R418" s="30">
        <f>SUM(R419:R423)</f>
        <v>0</v>
      </c>
      <c r="S418" s="30"/>
      <c r="T418" s="26">
        <f>SUM(T419:T423)</f>
        <v>18206.21</v>
      </c>
      <c r="U418" s="25"/>
      <c r="V418" s="30">
        <f>SUM(V419:V423)</f>
        <v>0</v>
      </c>
      <c r="W418" s="30"/>
      <c r="X418" s="30">
        <f>SUM(X419:X423)</f>
        <v>0</v>
      </c>
      <c r="Y418" s="30"/>
      <c r="Z418" s="30">
        <f>SUM(Z419:Z423)</f>
        <v>0</v>
      </c>
      <c r="AA418" s="30"/>
      <c r="AB418" s="30">
        <f>SUM(AB419:AB423)</f>
        <v>0</v>
      </c>
      <c r="AC418" s="30"/>
      <c r="AD418" s="30">
        <f>SUM(AD419:AD423)</f>
        <v>0</v>
      </c>
      <c r="AE418" s="30"/>
      <c r="AF418" s="30">
        <f>SUM(AF419:AF423)</f>
        <v>0</v>
      </c>
      <c r="AG418" s="30"/>
      <c r="AH418" s="30">
        <f>SUM(AH419:AH423)</f>
        <v>0</v>
      </c>
      <c r="AI418" s="30"/>
      <c r="AJ418" s="30">
        <f>SUM(AJ419:AJ423)</f>
        <v>0</v>
      </c>
      <c r="AK418" s="30"/>
      <c r="AL418" s="30">
        <f>SUM(AL419:AL423)</f>
        <v>0</v>
      </c>
      <c r="AM418" s="30"/>
      <c r="AN418" s="30">
        <f>SUM(AN419:AN423)</f>
        <v>0</v>
      </c>
      <c r="AO418" s="30"/>
      <c r="AP418" s="30">
        <f>SUM(AP419:AP423)</f>
        <v>0</v>
      </c>
      <c r="AQ418" s="30"/>
      <c r="AR418" s="30">
        <f>SUM(AR419:AR423)</f>
        <v>0</v>
      </c>
      <c r="AS418" s="30"/>
      <c r="AT418" s="30">
        <f>SUM(AT419:AT423)</f>
        <v>0</v>
      </c>
      <c r="AU418" s="30"/>
      <c r="AV418" s="30">
        <f>SUM(AV419:AV423)</f>
        <v>0</v>
      </c>
      <c r="AW418" s="30"/>
      <c r="AX418" s="26">
        <f>SUM(AX419:AX423)</f>
        <v>0</v>
      </c>
      <c r="AY418" s="25"/>
      <c r="AZ418" s="30">
        <f>SUM(AZ419:AZ423)</f>
        <v>0</v>
      </c>
      <c r="BA418" s="30"/>
      <c r="BB418" s="26">
        <f>SUM(BB419:BB423)</f>
        <v>18206.21</v>
      </c>
    </row>
    <row r="419" spans="1:54" ht="39" customHeight="1" x14ac:dyDescent="0.25">
      <c r="A419" s="31" t="s">
        <v>1231</v>
      </c>
      <c r="B419" s="31" t="s">
        <v>846</v>
      </c>
      <c r="C419" s="31" t="s">
        <v>34</v>
      </c>
      <c r="D419" s="31" t="s">
        <v>847</v>
      </c>
      <c r="E419" s="32" t="s">
        <v>36</v>
      </c>
      <c r="F419" s="33">
        <v>22</v>
      </c>
      <c r="G419" s="34">
        <v>111.89</v>
      </c>
      <c r="H419" s="34">
        <f t="shared" si="5562"/>
        <v>103.02</v>
      </c>
      <c r="I419" s="34">
        <f t="shared" si="5563"/>
        <v>2266.44</v>
      </c>
      <c r="J419" s="34">
        <f>(TRUNC(H419 * L14,2) + H419)</f>
        <v>123.97</v>
      </c>
      <c r="K419" s="34">
        <f t="shared" ref="K419:K423" si="5961">TRUNC(F419 * J419,2)</f>
        <v>2727.34</v>
      </c>
      <c r="L419" s="35">
        <f>K419 / L13</f>
        <v>9.4046206896551709E-4</v>
      </c>
      <c r="M419" s="36">
        <v>89.84</v>
      </c>
      <c r="N419" s="37">
        <f t="shared" si="5565"/>
        <v>1976.48</v>
      </c>
      <c r="O419" s="36"/>
      <c r="P419" s="38">
        <f t="shared" si="5600"/>
        <v>0</v>
      </c>
      <c r="Q419" s="38"/>
      <c r="R419" s="38">
        <f t="shared" si="5600"/>
        <v>0</v>
      </c>
      <c r="S419" s="38">
        <f t="shared" si="5601"/>
        <v>22</v>
      </c>
      <c r="T419" s="37">
        <f t="shared" ref="T419:V419" si="5962">TRUNC($M419 * S419,2)</f>
        <v>1976.48</v>
      </c>
      <c r="U419" s="36"/>
      <c r="V419" s="38">
        <f t="shared" si="5962"/>
        <v>0</v>
      </c>
      <c r="W419" s="38"/>
      <c r="X419" s="38">
        <f t="shared" ref="X419" si="5963">TRUNC($M419 * W419,2)</f>
        <v>0</v>
      </c>
      <c r="Y419" s="38"/>
      <c r="Z419" s="38">
        <f t="shared" ref="Z419" si="5964">TRUNC($M419 * Y419,2)</f>
        <v>0</v>
      </c>
      <c r="AA419" s="38"/>
      <c r="AB419" s="38">
        <f t="shared" ref="AB419" si="5965">TRUNC($M419 * AA419,2)</f>
        <v>0</v>
      </c>
      <c r="AC419" s="38"/>
      <c r="AD419" s="38">
        <f t="shared" ref="AD419" si="5966">TRUNC($M419 * AC419,2)</f>
        <v>0</v>
      </c>
      <c r="AE419" s="38"/>
      <c r="AF419" s="38">
        <f t="shared" ref="AF419" si="5967">TRUNC($M419 * AE419,2)</f>
        <v>0</v>
      </c>
      <c r="AG419" s="38"/>
      <c r="AH419" s="38">
        <f t="shared" ref="AH419" si="5968">TRUNC($M419 * AG419,2)</f>
        <v>0</v>
      </c>
      <c r="AI419" s="38"/>
      <c r="AJ419" s="38">
        <f t="shared" ref="AJ419" si="5969">TRUNC($M419 * AI419,2)</f>
        <v>0</v>
      </c>
      <c r="AK419" s="38"/>
      <c r="AL419" s="38">
        <f t="shared" ref="AL419" si="5970">TRUNC($M419 * AK419,2)</f>
        <v>0</v>
      </c>
      <c r="AM419" s="38"/>
      <c r="AN419" s="38">
        <f t="shared" ref="AN419" si="5971">TRUNC($M419 * AM419,2)</f>
        <v>0</v>
      </c>
      <c r="AO419" s="38"/>
      <c r="AP419" s="38">
        <f t="shared" ref="AP419" si="5972">TRUNC($M419 * AO419,2)</f>
        <v>0</v>
      </c>
      <c r="AQ419" s="38"/>
      <c r="AR419" s="38">
        <f t="shared" ref="AR419" si="5973">TRUNC($M419 * AQ419,2)</f>
        <v>0</v>
      </c>
      <c r="AS419" s="38"/>
      <c r="AT419" s="38">
        <f t="shared" ref="AT419" si="5974">TRUNC($M419 * AS419,2)</f>
        <v>0</v>
      </c>
      <c r="AU419" s="38"/>
      <c r="AV419" s="38">
        <f t="shared" ref="AV419" si="5975">TRUNC($M419 * AU419,2)</f>
        <v>0</v>
      </c>
      <c r="AW419" s="38"/>
      <c r="AX419" s="37">
        <f t="shared" ref="AX419" si="5976">TRUNC($M419 * AW419,2)</f>
        <v>0</v>
      </c>
      <c r="AY419" s="36">
        <f t="shared" si="5617"/>
        <v>0</v>
      </c>
      <c r="AZ419" s="38">
        <f t="shared" ref="AZ419" si="5977">TRUNC($M419 * AY419,2)</f>
        <v>0</v>
      </c>
      <c r="BA419" s="38">
        <f t="shared" si="5619"/>
        <v>22</v>
      </c>
      <c r="BB419" s="37">
        <f t="shared" ref="BB419" si="5978">TRUNC($M419 * BA419,2)</f>
        <v>1976.48</v>
      </c>
    </row>
    <row r="420" spans="1:54" ht="39" customHeight="1" x14ac:dyDescent="0.25">
      <c r="A420" s="31" t="s">
        <v>1232</v>
      </c>
      <c r="B420" s="31" t="s">
        <v>848</v>
      </c>
      <c r="C420" s="31" t="s">
        <v>19</v>
      </c>
      <c r="D420" s="31" t="s">
        <v>849</v>
      </c>
      <c r="E420" s="32" t="s">
        <v>171</v>
      </c>
      <c r="F420" s="33">
        <v>26</v>
      </c>
      <c r="G420" s="34">
        <v>322.35000000000002</v>
      </c>
      <c r="H420" s="34">
        <f t="shared" si="5562"/>
        <v>296.8</v>
      </c>
      <c r="I420" s="34">
        <f t="shared" si="5563"/>
        <v>7716.8</v>
      </c>
      <c r="J420" s="34">
        <f>(TRUNC(H420 * L14,2) + H420)</f>
        <v>357.16</v>
      </c>
      <c r="K420" s="34">
        <f t="shared" si="5961"/>
        <v>9286.16</v>
      </c>
      <c r="L420" s="35">
        <f>K420 / L13</f>
        <v>3.202124137931034E-3</v>
      </c>
      <c r="M420" s="36">
        <v>237.69</v>
      </c>
      <c r="N420" s="37">
        <f t="shared" si="5565"/>
        <v>6179.94</v>
      </c>
      <c r="O420" s="36"/>
      <c r="P420" s="38">
        <f t="shared" si="5600"/>
        <v>0</v>
      </c>
      <c r="Q420" s="38"/>
      <c r="R420" s="38">
        <f t="shared" si="5600"/>
        <v>0</v>
      </c>
      <c r="S420" s="38">
        <f t="shared" si="5601"/>
        <v>26</v>
      </c>
      <c r="T420" s="37">
        <f t="shared" ref="T420:V420" si="5979">TRUNC($M420 * S420,2)</f>
        <v>6179.94</v>
      </c>
      <c r="U420" s="36"/>
      <c r="V420" s="38">
        <f t="shared" si="5979"/>
        <v>0</v>
      </c>
      <c r="W420" s="38"/>
      <c r="X420" s="38">
        <f t="shared" ref="X420" si="5980">TRUNC($M420 * W420,2)</f>
        <v>0</v>
      </c>
      <c r="Y420" s="38"/>
      <c r="Z420" s="38">
        <f t="shared" ref="Z420" si="5981">TRUNC($M420 * Y420,2)</f>
        <v>0</v>
      </c>
      <c r="AA420" s="38"/>
      <c r="AB420" s="38">
        <f t="shared" ref="AB420" si="5982">TRUNC($M420 * AA420,2)</f>
        <v>0</v>
      </c>
      <c r="AC420" s="38"/>
      <c r="AD420" s="38">
        <f t="shared" ref="AD420" si="5983">TRUNC($M420 * AC420,2)</f>
        <v>0</v>
      </c>
      <c r="AE420" s="38"/>
      <c r="AF420" s="38">
        <f t="shared" ref="AF420" si="5984">TRUNC($M420 * AE420,2)</f>
        <v>0</v>
      </c>
      <c r="AG420" s="38"/>
      <c r="AH420" s="38">
        <f t="shared" ref="AH420" si="5985">TRUNC($M420 * AG420,2)</f>
        <v>0</v>
      </c>
      <c r="AI420" s="38"/>
      <c r="AJ420" s="38">
        <f t="shared" ref="AJ420" si="5986">TRUNC($M420 * AI420,2)</f>
        <v>0</v>
      </c>
      <c r="AK420" s="38"/>
      <c r="AL420" s="38">
        <f t="shared" ref="AL420" si="5987">TRUNC($M420 * AK420,2)</f>
        <v>0</v>
      </c>
      <c r="AM420" s="38"/>
      <c r="AN420" s="38">
        <f t="shared" ref="AN420" si="5988">TRUNC($M420 * AM420,2)</f>
        <v>0</v>
      </c>
      <c r="AO420" s="38"/>
      <c r="AP420" s="38">
        <f t="shared" ref="AP420" si="5989">TRUNC($M420 * AO420,2)</f>
        <v>0</v>
      </c>
      <c r="AQ420" s="38"/>
      <c r="AR420" s="38">
        <f t="shared" ref="AR420" si="5990">TRUNC($M420 * AQ420,2)</f>
        <v>0</v>
      </c>
      <c r="AS420" s="38"/>
      <c r="AT420" s="38">
        <f t="shared" ref="AT420" si="5991">TRUNC($M420 * AS420,2)</f>
        <v>0</v>
      </c>
      <c r="AU420" s="38"/>
      <c r="AV420" s="38">
        <f t="shared" ref="AV420" si="5992">TRUNC($M420 * AU420,2)</f>
        <v>0</v>
      </c>
      <c r="AW420" s="38"/>
      <c r="AX420" s="37">
        <f t="shared" ref="AX420" si="5993">TRUNC($M420 * AW420,2)</f>
        <v>0</v>
      </c>
      <c r="AY420" s="36">
        <f t="shared" si="5617"/>
        <v>0</v>
      </c>
      <c r="AZ420" s="38">
        <f t="shared" ref="AZ420" si="5994">TRUNC($M420 * AY420,2)</f>
        <v>0</v>
      </c>
      <c r="BA420" s="38">
        <f t="shared" si="5619"/>
        <v>26</v>
      </c>
      <c r="BB420" s="37">
        <f t="shared" ref="BB420" si="5995">TRUNC($M420 * BA420,2)</f>
        <v>6179.94</v>
      </c>
    </row>
    <row r="421" spans="1:54" ht="26.1" customHeight="1" x14ac:dyDescent="0.25">
      <c r="A421" s="31" t="s">
        <v>1233</v>
      </c>
      <c r="B421" s="31" t="s">
        <v>850</v>
      </c>
      <c r="C421" s="31" t="s">
        <v>245</v>
      </c>
      <c r="D421" s="31" t="s">
        <v>851</v>
      </c>
      <c r="E421" s="32" t="s">
        <v>36</v>
      </c>
      <c r="F421" s="33">
        <v>20</v>
      </c>
      <c r="G421" s="34">
        <v>67.64</v>
      </c>
      <c r="H421" s="34">
        <f t="shared" si="5562"/>
        <v>62.27</v>
      </c>
      <c r="I421" s="34">
        <f t="shared" si="5563"/>
        <v>1245.4000000000001</v>
      </c>
      <c r="J421" s="34">
        <f>(TRUNC(H421 * L14,2) + H421)</f>
        <v>74.930000000000007</v>
      </c>
      <c r="K421" s="34">
        <f t="shared" si="5961"/>
        <v>1498.6</v>
      </c>
      <c r="L421" s="35">
        <f>K421 / L13</f>
        <v>5.1675862068965503E-4</v>
      </c>
      <c r="M421" s="36">
        <v>14.12</v>
      </c>
      <c r="N421" s="37">
        <f t="shared" si="5565"/>
        <v>282.39999999999998</v>
      </c>
      <c r="O421" s="36"/>
      <c r="P421" s="38">
        <f t="shared" si="5600"/>
        <v>0</v>
      </c>
      <c r="Q421" s="38"/>
      <c r="R421" s="38">
        <f t="shared" si="5600"/>
        <v>0</v>
      </c>
      <c r="S421" s="38">
        <f t="shared" si="5601"/>
        <v>20</v>
      </c>
      <c r="T421" s="37">
        <f t="shared" ref="T421:V421" si="5996">TRUNC($M421 * S421,2)</f>
        <v>282.39999999999998</v>
      </c>
      <c r="U421" s="36"/>
      <c r="V421" s="38">
        <f t="shared" si="5996"/>
        <v>0</v>
      </c>
      <c r="W421" s="38"/>
      <c r="X421" s="38">
        <f t="shared" ref="X421" si="5997">TRUNC($M421 * W421,2)</f>
        <v>0</v>
      </c>
      <c r="Y421" s="38"/>
      <c r="Z421" s="38">
        <f t="shared" ref="Z421" si="5998">TRUNC($M421 * Y421,2)</f>
        <v>0</v>
      </c>
      <c r="AA421" s="38"/>
      <c r="AB421" s="38">
        <f t="shared" ref="AB421" si="5999">TRUNC($M421 * AA421,2)</f>
        <v>0</v>
      </c>
      <c r="AC421" s="38"/>
      <c r="AD421" s="38">
        <f t="shared" ref="AD421" si="6000">TRUNC($M421 * AC421,2)</f>
        <v>0</v>
      </c>
      <c r="AE421" s="38"/>
      <c r="AF421" s="38">
        <f t="shared" ref="AF421" si="6001">TRUNC($M421 * AE421,2)</f>
        <v>0</v>
      </c>
      <c r="AG421" s="38"/>
      <c r="AH421" s="38">
        <f t="shared" ref="AH421" si="6002">TRUNC($M421 * AG421,2)</f>
        <v>0</v>
      </c>
      <c r="AI421" s="38"/>
      <c r="AJ421" s="38">
        <f t="shared" ref="AJ421" si="6003">TRUNC($M421 * AI421,2)</f>
        <v>0</v>
      </c>
      <c r="AK421" s="38"/>
      <c r="AL421" s="38">
        <f t="shared" ref="AL421" si="6004">TRUNC($M421 * AK421,2)</f>
        <v>0</v>
      </c>
      <c r="AM421" s="38"/>
      <c r="AN421" s="38">
        <f t="shared" ref="AN421" si="6005">TRUNC($M421 * AM421,2)</f>
        <v>0</v>
      </c>
      <c r="AO421" s="38"/>
      <c r="AP421" s="38">
        <f t="shared" ref="AP421" si="6006">TRUNC($M421 * AO421,2)</f>
        <v>0</v>
      </c>
      <c r="AQ421" s="38"/>
      <c r="AR421" s="38">
        <f t="shared" ref="AR421" si="6007">TRUNC($M421 * AQ421,2)</f>
        <v>0</v>
      </c>
      <c r="AS421" s="38"/>
      <c r="AT421" s="38">
        <f t="shared" ref="AT421" si="6008">TRUNC($M421 * AS421,2)</f>
        <v>0</v>
      </c>
      <c r="AU421" s="38"/>
      <c r="AV421" s="38">
        <f t="shared" ref="AV421" si="6009">TRUNC($M421 * AU421,2)</f>
        <v>0</v>
      </c>
      <c r="AW421" s="38"/>
      <c r="AX421" s="37">
        <f t="shared" ref="AX421" si="6010">TRUNC($M421 * AW421,2)</f>
        <v>0</v>
      </c>
      <c r="AY421" s="36">
        <f t="shared" si="5617"/>
        <v>0</v>
      </c>
      <c r="AZ421" s="38">
        <f t="shared" ref="AZ421" si="6011">TRUNC($M421 * AY421,2)</f>
        <v>0</v>
      </c>
      <c r="BA421" s="38">
        <f t="shared" si="5619"/>
        <v>20</v>
      </c>
      <c r="BB421" s="37">
        <f t="shared" ref="BB421" si="6012">TRUNC($M421 * BA421,2)</f>
        <v>282.39999999999998</v>
      </c>
    </row>
    <row r="422" spans="1:54" ht="26.1" customHeight="1" x14ac:dyDescent="0.25">
      <c r="A422" s="31" t="s">
        <v>1234</v>
      </c>
      <c r="B422" s="31" t="s">
        <v>852</v>
      </c>
      <c r="C422" s="31" t="s">
        <v>24</v>
      </c>
      <c r="D422" s="31" t="s">
        <v>853</v>
      </c>
      <c r="E422" s="32" t="s">
        <v>171</v>
      </c>
      <c r="F422" s="33">
        <v>53</v>
      </c>
      <c r="G422" s="34">
        <v>223.08</v>
      </c>
      <c r="H422" s="34">
        <f t="shared" si="5562"/>
        <v>205.39</v>
      </c>
      <c r="I422" s="34">
        <f t="shared" si="5563"/>
        <v>10885.67</v>
      </c>
      <c r="J422" s="34">
        <f>(TRUNC(H422 * L14,2) + H422)</f>
        <v>247.16</v>
      </c>
      <c r="K422" s="34">
        <f t="shared" si="5961"/>
        <v>13099.48</v>
      </c>
      <c r="L422" s="35">
        <f>K422 / L13</f>
        <v>4.5170620689655161E-3</v>
      </c>
      <c r="M422" s="36">
        <v>169.83</v>
      </c>
      <c r="N422" s="37">
        <f t="shared" si="5565"/>
        <v>9000.99</v>
      </c>
      <c r="O422" s="36"/>
      <c r="P422" s="38">
        <f t="shared" si="5600"/>
        <v>0</v>
      </c>
      <c r="Q422" s="38"/>
      <c r="R422" s="38">
        <f t="shared" si="5600"/>
        <v>0</v>
      </c>
      <c r="S422" s="38">
        <f t="shared" si="5601"/>
        <v>53</v>
      </c>
      <c r="T422" s="37">
        <f t="shared" ref="T422:V422" si="6013">TRUNC($M422 * S422,2)</f>
        <v>9000.99</v>
      </c>
      <c r="U422" s="36"/>
      <c r="V422" s="38">
        <f t="shared" si="6013"/>
        <v>0</v>
      </c>
      <c r="W422" s="38"/>
      <c r="X422" s="38">
        <f t="shared" ref="X422" si="6014">TRUNC($M422 * W422,2)</f>
        <v>0</v>
      </c>
      <c r="Y422" s="38"/>
      <c r="Z422" s="38">
        <f t="shared" ref="Z422" si="6015">TRUNC($M422 * Y422,2)</f>
        <v>0</v>
      </c>
      <c r="AA422" s="38"/>
      <c r="AB422" s="38">
        <f t="shared" ref="AB422" si="6016">TRUNC($M422 * AA422,2)</f>
        <v>0</v>
      </c>
      <c r="AC422" s="38"/>
      <c r="AD422" s="38">
        <f t="shared" ref="AD422" si="6017">TRUNC($M422 * AC422,2)</f>
        <v>0</v>
      </c>
      <c r="AE422" s="38"/>
      <c r="AF422" s="38">
        <f t="shared" ref="AF422" si="6018">TRUNC($M422 * AE422,2)</f>
        <v>0</v>
      </c>
      <c r="AG422" s="38"/>
      <c r="AH422" s="38">
        <f t="shared" ref="AH422" si="6019">TRUNC($M422 * AG422,2)</f>
        <v>0</v>
      </c>
      <c r="AI422" s="38"/>
      <c r="AJ422" s="38">
        <f t="shared" ref="AJ422" si="6020">TRUNC($M422 * AI422,2)</f>
        <v>0</v>
      </c>
      <c r="AK422" s="38"/>
      <c r="AL422" s="38">
        <f t="shared" ref="AL422" si="6021">TRUNC($M422 * AK422,2)</f>
        <v>0</v>
      </c>
      <c r="AM422" s="38"/>
      <c r="AN422" s="38">
        <f t="shared" ref="AN422" si="6022">TRUNC($M422 * AM422,2)</f>
        <v>0</v>
      </c>
      <c r="AO422" s="38"/>
      <c r="AP422" s="38">
        <f t="shared" ref="AP422" si="6023">TRUNC($M422 * AO422,2)</f>
        <v>0</v>
      </c>
      <c r="AQ422" s="38"/>
      <c r="AR422" s="38">
        <f t="shared" ref="AR422" si="6024">TRUNC($M422 * AQ422,2)</f>
        <v>0</v>
      </c>
      <c r="AS422" s="38"/>
      <c r="AT422" s="38">
        <f t="shared" ref="AT422" si="6025">TRUNC($M422 * AS422,2)</f>
        <v>0</v>
      </c>
      <c r="AU422" s="38"/>
      <c r="AV422" s="38">
        <f t="shared" ref="AV422" si="6026">TRUNC($M422 * AU422,2)</f>
        <v>0</v>
      </c>
      <c r="AW422" s="38"/>
      <c r="AX422" s="37">
        <f t="shared" ref="AX422" si="6027">TRUNC($M422 * AW422,2)</f>
        <v>0</v>
      </c>
      <c r="AY422" s="36">
        <f t="shared" si="5617"/>
        <v>0</v>
      </c>
      <c r="AZ422" s="38">
        <f t="shared" ref="AZ422" si="6028">TRUNC($M422 * AY422,2)</f>
        <v>0</v>
      </c>
      <c r="BA422" s="38">
        <f t="shared" si="5619"/>
        <v>53</v>
      </c>
      <c r="BB422" s="37">
        <f t="shared" ref="BB422" si="6029">TRUNC($M422 * BA422,2)</f>
        <v>9000.99</v>
      </c>
    </row>
    <row r="423" spans="1:54" ht="39" customHeight="1" x14ac:dyDescent="0.25">
      <c r="A423" s="31" t="s">
        <v>1235</v>
      </c>
      <c r="B423" s="31" t="s">
        <v>854</v>
      </c>
      <c r="C423" s="31" t="s">
        <v>19</v>
      </c>
      <c r="D423" s="31" t="s">
        <v>855</v>
      </c>
      <c r="E423" s="32" t="s">
        <v>36</v>
      </c>
      <c r="F423" s="33">
        <v>8</v>
      </c>
      <c r="G423" s="34">
        <v>112.49</v>
      </c>
      <c r="H423" s="34">
        <f t="shared" si="5562"/>
        <v>103.57</v>
      </c>
      <c r="I423" s="34">
        <f t="shared" si="5563"/>
        <v>828.56</v>
      </c>
      <c r="J423" s="34">
        <f>(TRUNC(H423 * L14,2) + H423)</f>
        <v>124.63</v>
      </c>
      <c r="K423" s="34">
        <f t="shared" si="5961"/>
        <v>997.04</v>
      </c>
      <c r="L423" s="35">
        <f>K423 / L13</f>
        <v>3.4380689655172408E-4</v>
      </c>
      <c r="M423" s="36">
        <v>95.8</v>
      </c>
      <c r="N423" s="37">
        <f t="shared" si="5565"/>
        <v>766.4</v>
      </c>
      <c r="O423" s="36"/>
      <c r="P423" s="38">
        <f t="shared" si="5600"/>
        <v>0</v>
      </c>
      <c r="Q423" s="38"/>
      <c r="R423" s="38">
        <f t="shared" si="5600"/>
        <v>0</v>
      </c>
      <c r="S423" s="38">
        <f t="shared" si="5601"/>
        <v>8</v>
      </c>
      <c r="T423" s="37">
        <f t="shared" ref="T423:V423" si="6030">TRUNC($M423 * S423,2)</f>
        <v>766.4</v>
      </c>
      <c r="U423" s="36"/>
      <c r="V423" s="38">
        <f t="shared" si="6030"/>
        <v>0</v>
      </c>
      <c r="W423" s="38"/>
      <c r="X423" s="38">
        <f t="shared" ref="X423" si="6031">TRUNC($M423 * W423,2)</f>
        <v>0</v>
      </c>
      <c r="Y423" s="38"/>
      <c r="Z423" s="38">
        <f t="shared" ref="Z423" si="6032">TRUNC($M423 * Y423,2)</f>
        <v>0</v>
      </c>
      <c r="AA423" s="38"/>
      <c r="AB423" s="38">
        <f t="shared" ref="AB423" si="6033">TRUNC($M423 * AA423,2)</f>
        <v>0</v>
      </c>
      <c r="AC423" s="38"/>
      <c r="AD423" s="38">
        <f t="shared" ref="AD423" si="6034">TRUNC($M423 * AC423,2)</f>
        <v>0</v>
      </c>
      <c r="AE423" s="38"/>
      <c r="AF423" s="38">
        <f t="shared" ref="AF423" si="6035">TRUNC($M423 * AE423,2)</f>
        <v>0</v>
      </c>
      <c r="AG423" s="38"/>
      <c r="AH423" s="38">
        <f t="shared" ref="AH423" si="6036">TRUNC($M423 * AG423,2)</f>
        <v>0</v>
      </c>
      <c r="AI423" s="38"/>
      <c r="AJ423" s="38">
        <f t="shared" ref="AJ423" si="6037">TRUNC($M423 * AI423,2)</f>
        <v>0</v>
      </c>
      <c r="AK423" s="38"/>
      <c r="AL423" s="38">
        <f t="shared" ref="AL423" si="6038">TRUNC($M423 * AK423,2)</f>
        <v>0</v>
      </c>
      <c r="AM423" s="38"/>
      <c r="AN423" s="38">
        <f t="shared" ref="AN423" si="6039">TRUNC($M423 * AM423,2)</f>
        <v>0</v>
      </c>
      <c r="AO423" s="38"/>
      <c r="AP423" s="38">
        <f t="shared" ref="AP423" si="6040">TRUNC($M423 * AO423,2)</f>
        <v>0</v>
      </c>
      <c r="AQ423" s="38"/>
      <c r="AR423" s="38">
        <f t="shared" ref="AR423" si="6041">TRUNC($M423 * AQ423,2)</f>
        <v>0</v>
      </c>
      <c r="AS423" s="38"/>
      <c r="AT423" s="38">
        <f t="shared" ref="AT423" si="6042">TRUNC($M423 * AS423,2)</f>
        <v>0</v>
      </c>
      <c r="AU423" s="38"/>
      <c r="AV423" s="38">
        <f t="shared" ref="AV423" si="6043">TRUNC($M423 * AU423,2)</f>
        <v>0</v>
      </c>
      <c r="AW423" s="38"/>
      <c r="AX423" s="37">
        <f t="shared" ref="AX423" si="6044">TRUNC($M423 * AW423,2)</f>
        <v>0</v>
      </c>
      <c r="AY423" s="36">
        <f t="shared" si="5617"/>
        <v>0</v>
      </c>
      <c r="AZ423" s="38">
        <f t="shared" ref="AZ423" si="6045">TRUNC($M423 * AY423,2)</f>
        <v>0</v>
      </c>
      <c r="BA423" s="38">
        <f t="shared" si="5619"/>
        <v>8</v>
      </c>
      <c r="BB423" s="37">
        <f t="shared" ref="BB423" si="6046">TRUNC($M423 * BA423,2)</f>
        <v>766.4</v>
      </c>
    </row>
    <row r="424" spans="1:54" ht="24" customHeight="1" x14ac:dyDescent="0.25">
      <c r="A424" s="4" t="s">
        <v>1236</v>
      </c>
      <c r="B424" s="4" t="s">
        <v>12</v>
      </c>
      <c r="C424" s="4"/>
      <c r="D424" s="4" t="s">
        <v>856</v>
      </c>
      <c r="E424" s="5"/>
      <c r="F424" s="14"/>
      <c r="G424" s="6"/>
      <c r="H424" s="6"/>
      <c r="I424" s="7">
        <f>SUM(I425:I435)</f>
        <v>36989.359999999993</v>
      </c>
      <c r="J424" s="7"/>
      <c r="K424" s="7">
        <f>SUM(K425:K435)</f>
        <v>44509.560000000012</v>
      </c>
      <c r="L424" s="22">
        <f>K424 / L13</f>
        <v>1.5348124137931036E-2</v>
      </c>
      <c r="M424" s="25"/>
      <c r="N424" s="26">
        <f>SUM(N425:N435)</f>
        <v>18546.88</v>
      </c>
      <c r="O424" s="25"/>
      <c r="P424" s="30">
        <f>SUM(P425:P435)</f>
        <v>0</v>
      </c>
      <c r="Q424" s="30"/>
      <c r="R424" s="30">
        <f>SUM(R425:R435)</f>
        <v>0</v>
      </c>
      <c r="S424" s="30"/>
      <c r="T424" s="26">
        <f>SUM(T425:T435)</f>
        <v>18546.88</v>
      </c>
      <c r="U424" s="25"/>
      <c r="V424" s="30">
        <f>SUM(V425:V435)</f>
        <v>0</v>
      </c>
      <c r="W424" s="30"/>
      <c r="X424" s="30">
        <f>SUM(X425:X435)</f>
        <v>0</v>
      </c>
      <c r="Y424" s="30"/>
      <c r="Z424" s="30">
        <f>SUM(Z425:Z435)</f>
        <v>0</v>
      </c>
      <c r="AA424" s="30"/>
      <c r="AB424" s="30">
        <f>SUM(AB425:AB435)</f>
        <v>0</v>
      </c>
      <c r="AC424" s="30"/>
      <c r="AD424" s="30">
        <f>SUM(AD425:AD435)</f>
        <v>0</v>
      </c>
      <c r="AE424" s="30"/>
      <c r="AF424" s="30">
        <f>SUM(AF425:AF435)</f>
        <v>0</v>
      </c>
      <c r="AG424" s="30"/>
      <c r="AH424" s="30">
        <f>SUM(AH425:AH435)</f>
        <v>0</v>
      </c>
      <c r="AI424" s="30"/>
      <c r="AJ424" s="30">
        <f>SUM(AJ425:AJ435)</f>
        <v>0</v>
      </c>
      <c r="AK424" s="30"/>
      <c r="AL424" s="30">
        <f>SUM(AL425:AL435)</f>
        <v>0</v>
      </c>
      <c r="AM424" s="30"/>
      <c r="AN424" s="30">
        <f>SUM(AN425:AN435)</f>
        <v>0</v>
      </c>
      <c r="AO424" s="30"/>
      <c r="AP424" s="30">
        <f>SUM(AP425:AP435)</f>
        <v>0</v>
      </c>
      <c r="AQ424" s="30"/>
      <c r="AR424" s="30">
        <f>SUM(AR425:AR435)</f>
        <v>0</v>
      </c>
      <c r="AS424" s="30"/>
      <c r="AT424" s="30">
        <f>SUM(AT425:AT435)</f>
        <v>0</v>
      </c>
      <c r="AU424" s="30"/>
      <c r="AV424" s="30">
        <f>SUM(AV425:AV435)</f>
        <v>0</v>
      </c>
      <c r="AW424" s="30"/>
      <c r="AX424" s="26">
        <f>SUM(AX425:AX435)</f>
        <v>0</v>
      </c>
      <c r="AY424" s="25"/>
      <c r="AZ424" s="30">
        <f>SUM(AZ425:AZ435)</f>
        <v>0</v>
      </c>
      <c r="BA424" s="30"/>
      <c r="BB424" s="26">
        <f>SUM(BB425:BB435)</f>
        <v>18546.88</v>
      </c>
    </row>
    <row r="425" spans="1:54" ht="39" customHeight="1" x14ac:dyDescent="0.25">
      <c r="A425" s="31" t="s">
        <v>1237</v>
      </c>
      <c r="B425" s="31" t="s">
        <v>857</v>
      </c>
      <c r="C425" s="31" t="s">
        <v>24</v>
      </c>
      <c r="D425" s="31" t="s">
        <v>858</v>
      </c>
      <c r="E425" s="32" t="s">
        <v>171</v>
      </c>
      <c r="F425" s="33">
        <v>1</v>
      </c>
      <c r="G425" s="34">
        <v>354.21</v>
      </c>
      <c r="H425" s="34">
        <f t="shared" si="5562"/>
        <v>326.13</v>
      </c>
      <c r="I425" s="34">
        <f t="shared" si="5563"/>
        <v>326.13</v>
      </c>
      <c r="J425" s="34">
        <f>(TRUNC(H425 * L14,2) + H425)</f>
        <v>392.46</v>
      </c>
      <c r="K425" s="34">
        <f t="shared" ref="K425:K435" si="6047">TRUNC(F425 * J425,2)</f>
        <v>392.46</v>
      </c>
      <c r="L425" s="35">
        <f>K425 / L13</f>
        <v>1.3533103448275859E-4</v>
      </c>
      <c r="M425" s="36">
        <v>272.83999999999997</v>
      </c>
      <c r="N425" s="37">
        <f t="shared" si="5565"/>
        <v>272.83999999999997</v>
      </c>
      <c r="O425" s="36"/>
      <c r="P425" s="38">
        <f t="shared" si="5600"/>
        <v>0</v>
      </c>
      <c r="Q425" s="38"/>
      <c r="R425" s="38">
        <f t="shared" si="5600"/>
        <v>0</v>
      </c>
      <c r="S425" s="38">
        <f t="shared" si="5601"/>
        <v>1</v>
      </c>
      <c r="T425" s="37">
        <f t="shared" ref="T425:V425" si="6048">TRUNC($M425 * S425,2)</f>
        <v>272.83999999999997</v>
      </c>
      <c r="U425" s="36"/>
      <c r="V425" s="38">
        <f t="shared" si="6048"/>
        <v>0</v>
      </c>
      <c r="W425" s="38"/>
      <c r="X425" s="38">
        <f t="shared" ref="X425" si="6049">TRUNC($M425 * W425,2)</f>
        <v>0</v>
      </c>
      <c r="Y425" s="38"/>
      <c r="Z425" s="38">
        <f t="shared" ref="Z425" si="6050">TRUNC($M425 * Y425,2)</f>
        <v>0</v>
      </c>
      <c r="AA425" s="38"/>
      <c r="AB425" s="38">
        <f t="shared" ref="AB425" si="6051">TRUNC($M425 * AA425,2)</f>
        <v>0</v>
      </c>
      <c r="AC425" s="38"/>
      <c r="AD425" s="38">
        <f t="shared" ref="AD425" si="6052">TRUNC($M425 * AC425,2)</f>
        <v>0</v>
      </c>
      <c r="AE425" s="38"/>
      <c r="AF425" s="38">
        <f t="shared" ref="AF425" si="6053">TRUNC($M425 * AE425,2)</f>
        <v>0</v>
      </c>
      <c r="AG425" s="38"/>
      <c r="AH425" s="38">
        <f t="shared" ref="AH425" si="6054">TRUNC($M425 * AG425,2)</f>
        <v>0</v>
      </c>
      <c r="AI425" s="38"/>
      <c r="AJ425" s="38">
        <f t="shared" ref="AJ425" si="6055">TRUNC($M425 * AI425,2)</f>
        <v>0</v>
      </c>
      <c r="AK425" s="38"/>
      <c r="AL425" s="38">
        <f t="shared" ref="AL425" si="6056">TRUNC($M425 * AK425,2)</f>
        <v>0</v>
      </c>
      <c r="AM425" s="38"/>
      <c r="AN425" s="38">
        <f t="shared" ref="AN425" si="6057">TRUNC($M425 * AM425,2)</f>
        <v>0</v>
      </c>
      <c r="AO425" s="38"/>
      <c r="AP425" s="38">
        <f t="shared" ref="AP425" si="6058">TRUNC($M425 * AO425,2)</f>
        <v>0</v>
      </c>
      <c r="AQ425" s="38"/>
      <c r="AR425" s="38">
        <f t="shared" ref="AR425" si="6059">TRUNC($M425 * AQ425,2)</f>
        <v>0</v>
      </c>
      <c r="AS425" s="38"/>
      <c r="AT425" s="38">
        <f t="shared" ref="AT425" si="6060">TRUNC($M425 * AS425,2)</f>
        <v>0</v>
      </c>
      <c r="AU425" s="38"/>
      <c r="AV425" s="38">
        <f t="shared" ref="AV425" si="6061">TRUNC($M425 * AU425,2)</f>
        <v>0</v>
      </c>
      <c r="AW425" s="38"/>
      <c r="AX425" s="37">
        <f t="shared" ref="AX425" si="6062">TRUNC($M425 * AW425,2)</f>
        <v>0</v>
      </c>
      <c r="AY425" s="36">
        <f t="shared" si="5617"/>
        <v>0</v>
      </c>
      <c r="AZ425" s="38">
        <f t="shared" ref="AZ425" si="6063">TRUNC($M425 * AY425,2)</f>
        <v>0</v>
      </c>
      <c r="BA425" s="38">
        <f t="shared" si="5619"/>
        <v>1</v>
      </c>
      <c r="BB425" s="37">
        <f t="shared" ref="BB425" si="6064">TRUNC($M425 * BA425,2)</f>
        <v>272.83999999999997</v>
      </c>
    </row>
    <row r="426" spans="1:54" ht="39" customHeight="1" x14ac:dyDescent="0.25">
      <c r="A426" s="31" t="s">
        <v>1238</v>
      </c>
      <c r="B426" s="31" t="s">
        <v>859</v>
      </c>
      <c r="C426" s="31" t="s">
        <v>34</v>
      </c>
      <c r="D426" s="31" t="s">
        <v>860</v>
      </c>
      <c r="E426" s="32" t="s">
        <v>36</v>
      </c>
      <c r="F426" s="33">
        <v>12</v>
      </c>
      <c r="G426" s="34">
        <v>1073.3599999999999</v>
      </c>
      <c r="H426" s="34">
        <f t="shared" si="5562"/>
        <v>988.28</v>
      </c>
      <c r="I426" s="34">
        <f t="shared" si="5563"/>
        <v>11859.36</v>
      </c>
      <c r="J426" s="34">
        <f>(TRUNC(H426 * L14,2) + H426)</f>
        <v>1189.29</v>
      </c>
      <c r="K426" s="34">
        <f t="shared" si="6047"/>
        <v>14271.48</v>
      </c>
      <c r="L426" s="35">
        <f>K426 / L13</f>
        <v>4.9211999999999988E-3</v>
      </c>
      <c r="M426" s="36">
        <v>886.77</v>
      </c>
      <c r="N426" s="37">
        <f t="shared" si="5565"/>
        <v>10641.24</v>
      </c>
      <c r="O426" s="36"/>
      <c r="P426" s="38">
        <f t="shared" si="5600"/>
        <v>0</v>
      </c>
      <c r="Q426" s="38"/>
      <c r="R426" s="38">
        <f t="shared" si="5600"/>
        <v>0</v>
      </c>
      <c r="S426" s="38">
        <f t="shared" si="5601"/>
        <v>12</v>
      </c>
      <c r="T426" s="37">
        <f t="shared" ref="T426:V426" si="6065">TRUNC($M426 * S426,2)</f>
        <v>10641.24</v>
      </c>
      <c r="U426" s="36"/>
      <c r="V426" s="38">
        <f t="shared" si="6065"/>
        <v>0</v>
      </c>
      <c r="W426" s="38"/>
      <c r="X426" s="38">
        <f t="shared" ref="X426" si="6066">TRUNC($M426 * W426,2)</f>
        <v>0</v>
      </c>
      <c r="Y426" s="38"/>
      <c r="Z426" s="38">
        <f t="shared" ref="Z426" si="6067">TRUNC($M426 * Y426,2)</f>
        <v>0</v>
      </c>
      <c r="AA426" s="38"/>
      <c r="AB426" s="38">
        <f t="shared" ref="AB426" si="6068">TRUNC($M426 * AA426,2)</f>
        <v>0</v>
      </c>
      <c r="AC426" s="38"/>
      <c r="AD426" s="38">
        <f t="shared" ref="AD426" si="6069">TRUNC($M426 * AC426,2)</f>
        <v>0</v>
      </c>
      <c r="AE426" s="38"/>
      <c r="AF426" s="38">
        <f t="shared" ref="AF426" si="6070">TRUNC($M426 * AE426,2)</f>
        <v>0</v>
      </c>
      <c r="AG426" s="38"/>
      <c r="AH426" s="38">
        <f t="shared" ref="AH426" si="6071">TRUNC($M426 * AG426,2)</f>
        <v>0</v>
      </c>
      <c r="AI426" s="38"/>
      <c r="AJ426" s="38">
        <f t="shared" ref="AJ426" si="6072">TRUNC($M426 * AI426,2)</f>
        <v>0</v>
      </c>
      <c r="AK426" s="38"/>
      <c r="AL426" s="38">
        <f t="shared" ref="AL426" si="6073">TRUNC($M426 * AK426,2)</f>
        <v>0</v>
      </c>
      <c r="AM426" s="38"/>
      <c r="AN426" s="38">
        <f t="shared" ref="AN426" si="6074">TRUNC($M426 * AM426,2)</f>
        <v>0</v>
      </c>
      <c r="AO426" s="38"/>
      <c r="AP426" s="38">
        <f t="shared" ref="AP426" si="6075">TRUNC($M426 * AO426,2)</f>
        <v>0</v>
      </c>
      <c r="AQ426" s="38"/>
      <c r="AR426" s="38">
        <f t="shared" ref="AR426" si="6076">TRUNC($M426 * AQ426,2)</f>
        <v>0</v>
      </c>
      <c r="AS426" s="38"/>
      <c r="AT426" s="38">
        <f t="shared" ref="AT426" si="6077">TRUNC($M426 * AS426,2)</f>
        <v>0</v>
      </c>
      <c r="AU426" s="38"/>
      <c r="AV426" s="38">
        <f t="shared" ref="AV426" si="6078">TRUNC($M426 * AU426,2)</f>
        <v>0</v>
      </c>
      <c r="AW426" s="38"/>
      <c r="AX426" s="37">
        <f t="shared" ref="AX426" si="6079">TRUNC($M426 * AW426,2)</f>
        <v>0</v>
      </c>
      <c r="AY426" s="36">
        <f t="shared" si="5617"/>
        <v>0</v>
      </c>
      <c r="AZ426" s="38">
        <f t="shared" ref="AZ426" si="6080">TRUNC($M426 * AY426,2)</f>
        <v>0</v>
      </c>
      <c r="BA426" s="38">
        <f t="shared" si="5619"/>
        <v>12</v>
      </c>
      <c r="BB426" s="37">
        <f t="shared" ref="BB426" si="6081">TRUNC($M426 * BA426,2)</f>
        <v>10641.24</v>
      </c>
    </row>
    <row r="427" spans="1:54" ht="26.1" customHeight="1" x14ac:dyDescent="0.25">
      <c r="A427" s="31" t="s">
        <v>1239</v>
      </c>
      <c r="B427" s="31" t="s">
        <v>861</v>
      </c>
      <c r="C427" s="31" t="s">
        <v>34</v>
      </c>
      <c r="D427" s="31" t="s">
        <v>862</v>
      </c>
      <c r="E427" s="32" t="s">
        <v>36</v>
      </c>
      <c r="F427" s="33">
        <v>12</v>
      </c>
      <c r="G427" s="34">
        <v>54.04</v>
      </c>
      <c r="H427" s="34">
        <f t="shared" si="5562"/>
        <v>49.75</v>
      </c>
      <c r="I427" s="34">
        <f t="shared" si="5563"/>
        <v>597</v>
      </c>
      <c r="J427" s="34">
        <f>(TRUNC(H427 * L14,2) + H427)</f>
        <v>59.86</v>
      </c>
      <c r="K427" s="34">
        <f t="shared" si="6047"/>
        <v>718.32</v>
      </c>
      <c r="L427" s="35">
        <f>K427 / L13</f>
        <v>2.4769655172413789E-4</v>
      </c>
      <c r="M427" s="36">
        <v>41.19</v>
      </c>
      <c r="N427" s="37">
        <f t="shared" si="5565"/>
        <v>494.28</v>
      </c>
      <c r="O427" s="36"/>
      <c r="P427" s="38">
        <f t="shared" si="5600"/>
        <v>0</v>
      </c>
      <c r="Q427" s="38"/>
      <c r="R427" s="38">
        <f t="shared" si="5600"/>
        <v>0</v>
      </c>
      <c r="S427" s="38">
        <f t="shared" si="5601"/>
        <v>12</v>
      </c>
      <c r="T427" s="37">
        <f t="shared" ref="T427:V427" si="6082">TRUNC($M427 * S427,2)</f>
        <v>494.28</v>
      </c>
      <c r="U427" s="36"/>
      <c r="V427" s="38">
        <f t="shared" si="6082"/>
        <v>0</v>
      </c>
      <c r="W427" s="38"/>
      <c r="X427" s="38">
        <f t="shared" ref="X427" si="6083">TRUNC($M427 * W427,2)</f>
        <v>0</v>
      </c>
      <c r="Y427" s="38"/>
      <c r="Z427" s="38">
        <f t="shared" ref="Z427" si="6084">TRUNC($M427 * Y427,2)</f>
        <v>0</v>
      </c>
      <c r="AA427" s="38"/>
      <c r="AB427" s="38">
        <f t="shared" ref="AB427" si="6085">TRUNC($M427 * AA427,2)</f>
        <v>0</v>
      </c>
      <c r="AC427" s="38"/>
      <c r="AD427" s="38">
        <f t="shared" ref="AD427" si="6086">TRUNC($M427 * AC427,2)</f>
        <v>0</v>
      </c>
      <c r="AE427" s="38"/>
      <c r="AF427" s="38">
        <f t="shared" ref="AF427" si="6087">TRUNC($M427 * AE427,2)</f>
        <v>0</v>
      </c>
      <c r="AG427" s="38"/>
      <c r="AH427" s="38">
        <f t="shared" ref="AH427" si="6088">TRUNC($M427 * AG427,2)</f>
        <v>0</v>
      </c>
      <c r="AI427" s="38"/>
      <c r="AJ427" s="38">
        <f t="shared" ref="AJ427" si="6089">TRUNC($M427 * AI427,2)</f>
        <v>0</v>
      </c>
      <c r="AK427" s="38"/>
      <c r="AL427" s="38">
        <f t="shared" ref="AL427" si="6090">TRUNC($M427 * AK427,2)</f>
        <v>0</v>
      </c>
      <c r="AM427" s="38"/>
      <c r="AN427" s="38">
        <f t="shared" ref="AN427" si="6091">TRUNC($M427 * AM427,2)</f>
        <v>0</v>
      </c>
      <c r="AO427" s="38"/>
      <c r="AP427" s="38">
        <f t="shared" ref="AP427" si="6092">TRUNC($M427 * AO427,2)</f>
        <v>0</v>
      </c>
      <c r="AQ427" s="38"/>
      <c r="AR427" s="38">
        <f t="shared" ref="AR427" si="6093">TRUNC($M427 * AQ427,2)</f>
        <v>0</v>
      </c>
      <c r="AS427" s="38"/>
      <c r="AT427" s="38">
        <f t="shared" ref="AT427" si="6094">TRUNC($M427 * AS427,2)</f>
        <v>0</v>
      </c>
      <c r="AU427" s="38"/>
      <c r="AV427" s="38">
        <f t="shared" ref="AV427" si="6095">TRUNC($M427 * AU427,2)</f>
        <v>0</v>
      </c>
      <c r="AW427" s="38"/>
      <c r="AX427" s="37">
        <f t="shared" ref="AX427" si="6096">TRUNC($M427 * AW427,2)</f>
        <v>0</v>
      </c>
      <c r="AY427" s="36">
        <f t="shared" si="5617"/>
        <v>0</v>
      </c>
      <c r="AZ427" s="38">
        <f t="shared" ref="AZ427" si="6097">TRUNC($M427 * AY427,2)</f>
        <v>0</v>
      </c>
      <c r="BA427" s="38">
        <f t="shared" si="5619"/>
        <v>12</v>
      </c>
      <c r="BB427" s="37">
        <f t="shared" ref="BB427" si="6098">TRUNC($M427 * BA427,2)</f>
        <v>494.28</v>
      </c>
    </row>
    <row r="428" spans="1:54" ht="26.1" customHeight="1" x14ac:dyDescent="0.25">
      <c r="A428" s="31" t="s">
        <v>1240</v>
      </c>
      <c r="B428" s="31" t="s">
        <v>863</v>
      </c>
      <c r="C428" s="31" t="s">
        <v>245</v>
      </c>
      <c r="D428" s="31" t="s">
        <v>864</v>
      </c>
      <c r="E428" s="32" t="s">
        <v>36</v>
      </c>
      <c r="F428" s="33">
        <v>12</v>
      </c>
      <c r="G428" s="34">
        <v>211.29</v>
      </c>
      <c r="H428" s="34">
        <f t="shared" si="5562"/>
        <v>194.54</v>
      </c>
      <c r="I428" s="34">
        <f t="shared" si="5563"/>
        <v>2334.48</v>
      </c>
      <c r="J428" s="34">
        <f>(TRUNC(H428 * L14,2) + H428)</f>
        <v>234.1</v>
      </c>
      <c r="K428" s="34">
        <f t="shared" si="6047"/>
        <v>2809.2</v>
      </c>
      <c r="L428" s="35">
        <f>K428 / L13</f>
        <v>9.6868965517241362E-4</v>
      </c>
      <c r="M428" s="36">
        <v>44.14</v>
      </c>
      <c r="N428" s="37">
        <f t="shared" si="5565"/>
        <v>529.67999999999995</v>
      </c>
      <c r="O428" s="36"/>
      <c r="P428" s="38">
        <f t="shared" si="5600"/>
        <v>0</v>
      </c>
      <c r="Q428" s="38"/>
      <c r="R428" s="38">
        <f t="shared" si="5600"/>
        <v>0</v>
      </c>
      <c r="S428" s="38">
        <f t="shared" si="5601"/>
        <v>12</v>
      </c>
      <c r="T428" s="37">
        <f t="shared" ref="T428:V428" si="6099">TRUNC($M428 * S428,2)</f>
        <v>529.67999999999995</v>
      </c>
      <c r="U428" s="36"/>
      <c r="V428" s="38">
        <f t="shared" si="6099"/>
        <v>0</v>
      </c>
      <c r="W428" s="38"/>
      <c r="X428" s="38">
        <f t="shared" ref="X428" si="6100">TRUNC($M428 * W428,2)</f>
        <v>0</v>
      </c>
      <c r="Y428" s="38"/>
      <c r="Z428" s="38">
        <f t="shared" ref="Z428" si="6101">TRUNC($M428 * Y428,2)</f>
        <v>0</v>
      </c>
      <c r="AA428" s="38"/>
      <c r="AB428" s="38">
        <f t="shared" ref="AB428" si="6102">TRUNC($M428 * AA428,2)</f>
        <v>0</v>
      </c>
      <c r="AC428" s="38"/>
      <c r="AD428" s="38">
        <f t="shared" ref="AD428" si="6103">TRUNC($M428 * AC428,2)</f>
        <v>0</v>
      </c>
      <c r="AE428" s="38"/>
      <c r="AF428" s="38">
        <f t="shared" ref="AF428" si="6104">TRUNC($M428 * AE428,2)</f>
        <v>0</v>
      </c>
      <c r="AG428" s="38"/>
      <c r="AH428" s="38">
        <f t="shared" ref="AH428" si="6105">TRUNC($M428 * AG428,2)</f>
        <v>0</v>
      </c>
      <c r="AI428" s="38"/>
      <c r="AJ428" s="38">
        <f t="shared" ref="AJ428" si="6106">TRUNC($M428 * AI428,2)</f>
        <v>0</v>
      </c>
      <c r="AK428" s="38"/>
      <c r="AL428" s="38">
        <f t="shared" ref="AL428" si="6107">TRUNC($M428 * AK428,2)</f>
        <v>0</v>
      </c>
      <c r="AM428" s="38"/>
      <c r="AN428" s="38">
        <f t="shared" ref="AN428" si="6108">TRUNC($M428 * AM428,2)</f>
        <v>0</v>
      </c>
      <c r="AO428" s="38"/>
      <c r="AP428" s="38">
        <f t="shared" ref="AP428" si="6109">TRUNC($M428 * AO428,2)</f>
        <v>0</v>
      </c>
      <c r="AQ428" s="38"/>
      <c r="AR428" s="38">
        <f t="shared" ref="AR428" si="6110">TRUNC($M428 * AQ428,2)</f>
        <v>0</v>
      </c>
      <c r="AS428" s="38"/>
      <c r="AT428" s="38">
        <f t="shared" ref="AT428" si="6111">TRUNC($M428 * AS428,2)</f>
        <v>0</v>
      </c>
      <c r="AU428" s="38"/>
      <c r="AV428" s="38">
        <f t="shared" ref="AV428" si="6112">TRUNC($M428 * AU428,2)</f>
        <v>0</v>
      </c>
      <c r="AW428" s="38"/>
      <c r="AX428" s="37">
        <f t="shared" ref="AX428" si="6113">TRUNC($M428 * AW428,2)</f>
        <v>0</v>
      </c>
      <c r="AY428" s="36">
        <f t="shared" si="5617"/>
        <v>0</v>
      </c>
      <c r="AZ428" s="38">
        <f t="shared" ref="AZ428" si="6114">TRUNC($M428 * AY428,2)</f>
        <v>0</v>
      </c>
      <c r="BA428" s="38">
        <f t="shared" si="5619"/>
        <v>12</v>
      </c>
      <c r="BB428" s="37">
        <f t="shared" ref="BB428" si="6115">TRUNC($M428 * BA428,2)</f>
        <v>529.67999999999995</v>
      </c>
    </row>
    <row r="429" spans="1:54" ht="26.1" customHeight="1" x14ac:dyDescent="0.25">
      <c r="A429" s="31" t="s">
        <v>1241</v>
      </c>
      <c r="B429" s="31" t="s">
        <v>865</v>
      </c>
      <c r="C429" s="31" t="s">
        <v>34</v>
      </c>
      <c r="D429" s="31" t="s">
        <v>866</v>
      </c>
      <c r="E429" s="32" t="s">
        <v>36</v>
      </c>
      <c r="F429" s="33">
        <v>1</v>
      </c>
      <c r="G429" s="34">
        <v>145.96</v>
      </c>
      <c r="H429" s="34">
        <f t="shared" si="5562"/>
        <v>134.38999999999999</v>
      </c>
      <c r="I429" s="34">
        <f t="shared" si="5563"/>
        <v>134.38999999999999</v>
      </c>
      <c r="J429" s="34">
        <f>(TRUNC(H429 * L14,2) + H429)</f>
        <v>161.71999999999997</v>
      </c>
      <c r="K429" s="34">
        <f t="shared" si="6047"/>
        <v>161.72</v>
      </c>
      <c r="L429" s="35">
        <f>K429 / L13</f>
        <v>5.5765517241379304E-5</v>
      </c>
      <c r="M429" s="36">
        <v>106.89</v>
      </c>
      <c r="N429" s="37">
        <f t="shared" si="5565"/>
        <v>106.89</v>
      </c>
      <c r="O429" s="36"/>
      <c r="P429" s="38">
        <f t="shared" si="5600"/>
        <v>0</v>
      </c>
      <c r="Q429" s="38"/>
      <c r="R429" s="38">
        <f t="shared" si="5600"/>
        <v>0</v>
      </c>
      <c r="S429" s="38">
        <f t="shared" si="5601"/>
        <v>1</v>
      </c>
      <c r="T429" s="37">
        <f t="shared" ref="T429:V429" si="6116">TRUNC($M429 * S429,2)</f>
        <v>106.89</v>
      </c>
      <c r="U429" s="36"/>
      <c r="V429" s="38">
        <f t="shared" si="6116"/>
        <v>0</v>
      </c>
      <c r="W429" s="38"/>
      <c r="X429" s="38">
        <f t="shared" ref="X429" si="6117">TRUNC($M429 * W429,2)</f>
        <v>0</v>
      </c>
      <c r="Y429" s="38"/>
      <c r="Z429" s="38">
        <f t="shared" ref="Z429" si="6118">TRUNC($M429 * Y429,2)</f>
        <v>0</v>
      </c>
      <c r="AA429" s="38"/>
      <c r="AB429" s="38">
        <f t="shared" ref="AB429" si="6119">TRUNC($M429 * AA429,2)</f>
        <v>0</v>
      </c>
      <c r="AC429" s="38"/>
      <c r="AD429" s="38">
        <f t="shared" ref="AD429" si="6120">TRUNC($M429 * AC429,2)</f>
        <v>0</v>
      </c>
      <c r="AE429" s="38"/>
      <c r="AF429" s="38">
        <f t="shared" ref="AF429" si="6121">TRUNC($M429 * AE429,2)</f>
        <v>0</v>
      </c>
      <c r="AG429" s="38"/>
      <c r="AH429" s="38">
        <f t="shared" ref="AH429" si="6122">TRUNC($M429 * AG429,2)</f>
        <v>0</v>
      </c>
      <c r="AI429" s="38"/>
      <c r="AJ429" s="38">
        <f t="shared" ref="AJ429" si="6123">TRUNC($M429 * AI429,2)</f>
        <v>0</v>
      </c>
      <c r="AK429" s="38"/>
      <c r="AL429" s="38">
        <f t="shared" ref="AL429" si="6124">TRUNC($M429 * AK429,2)</f>
        <v>0</v>
      </c>
      <c r="AM429" s="38"/>
      <c r="AN429" s="38">
        <f t="shared" ref="AN429" si="6125">TRUNC($M429 * AM429,2)</f>
        <v>0</v>
      </c>
      <c r="AO429" s="38"/>
      <c r="AP429" s="38">
        <f t="shared" ref="AP429" si="6126">TRUNC($M429 * AO429,2)</f>
        <v>0</v>
      </c>
      <c r="AQ429" s="38"/>
      <c r="AR429" s="38">
        <f t="shared" ref="AR429" si="6127">TRUNC($M429 * AQ429,2)</f>
        <v>0</v>
      </c>
      <c r="AS429" s="38"/>
      <c r="AT429" s="38">
        <f t="shared" ref="AT429" si="6128">TRUNC($M429 * AS429,2)</f>
        <v>0</v>
      </c>
      <c r="AU429" s="38"/>
      <c r="AV429" s="38">
        <f t="shared" ref="AV429" si="6129">TRUNC($M429 * AU429,2)</f>
        <v>0</v>
      </c>
      <c r="AW429" s="38"/>
      <c r="AX429" s="37">
        <f t="shared" ref="AX429" si="6130">TRUNC($M429 * AW429,2)</f>
        <v>0</v>
      </c>
      <c r="AY429" s="36">
        <f t="shared" si="5617"/>
        <v>0</v>
      </c>
      <c r="AZ429" s="38">
        <f t="shared" ref="AZ429" si="6131">TRUNC($M429 * AY429,2)</f>
        <v>0</v>
      </c>
      <c r="BA429" s="38">
        <f t="shared" si="5619"/>
        <v>1</v>
      </c>
      <c r="BB429" s="37">
        <f t="shared" ref="BB429" si="6132">TRUNC($M429 * BA429,2)</f>
        <v>106.89</v>
      </c>
    </row>
    <row r="430" spans="1:54" ht="26.1" customHeight="1" x14ac:dyDescent="0.25">
      <c r="A430" s="31" t="s">
        <v>1242</v>
      </c>
      <c r="B430" s="31" t="s">
        <v>867</v>
      </c>
      <c r="C430" s="31" t="s">
        <v>34</v>
      </c>
      <c r="D430" s="31" t="s">
        <v>868</v>
      </c>
      <c r="E430" s="32" t="s">
        <v>36</v>
      </c>
      <c r="F430" s="33">
        <v>2</v>
      </c>
      <c r="G430" s="34">
        <v>174.45</v>
      </c>
      <c r="H430" s="34">
        <f t="shared" si="5562"/>
        <v>160.62</v>
      </c>
      <c r="I430" s="34">
        <f t="shared" si="5563"/>
        <v>321.24</v>
      </c>
      <c r="J430" s="34">
        <f>(TRUNC(H430 * L14,2) + H430)</f>
        <v>193.29000000000002</v>
      </c>
      <c r="K430" s="34">
        <f t="shared" si="6047"/>
        <v>386.58</v>
      </c>
      <c r="L430" s="35">
        <f>K430 / L13</f>
        <v>1.3330344827586205E-4</v>
      </c>
      <c r="M430" s="36">
        <v>127.51</v>
      </c>
      <c r="N430" s="37">
        <f t="shared" si="5565"/>
        <v>255.02</v>
      </c>
      <c r="O430" s="36"/>
      <c r="P430" s="38">
        <f t="shared" si="5600"/>
        <v>0</v>
      </c>
      <c r="Q430" s="38"/>
      <c r="R430" s="38">
        <f t="shared" si="5600"/>
        <v>0</v>
      </c>
      <c r="S430" s="38">
        <f t="shared" si="5601"/>
        <v>2</v>
      </c>
      <c r="T430" s="37">
        <f t="shared" ref="T430:V430" si="6133">TRUNC($M430 * S430,2)</f>
        <v>255.02</v>
      </c>
      <c r="U430" s="36"/>
      <c r="V430" s="38">
        <f t="shared" si="6133"/>
        <v>0</v>
      </c>
      <c r="W430" s="38"/>
      <c r="X430" s="38">
        <f t="shared" ref="X430" si="6134">TRUNC($M430 * W430,2)</f>
        <v>0</v>
      </c>
      <c r="Y430" s="38"/>
      <c r="Z430" s="38">
        <f t="shared" ref="Z430" si="6135">TRUNC($M430 * Y430,2)</f>
        <v>0</v>
      </c>
      <c r="AA430" s="38"/>
      <c r="AB430" s="38">
        <f t="shared" ref="AB430" si="6136">TRUNC($M430 * AA430,2)</f>
        <v>0</v>
      </c>
      <c r="AC430" s="38"/>
      <c r="AD430" s="38">
        <f t="shared" ref="AD430" si="6137">TRUNC($M430 * AC430,2)</f>
        <v>0</v>
      </c>
      <c r="AE430" s="38"/>
      <c r="AF430" s="38">
        <f t="shared" ref="AF430" si="6138">TRUNC($M430 * AE430,2)</f>
        <v>0</v>
      </c>
      <c r="AG430" s="38"/>
      <c r="AH430" s="38">
        <f t="shared" ref="AH430" si="6139">TRUNC($M430 * AG430,2)</f>
        <v>0</v>
      </c>
      <c r="AI430" s="38"/>
      <c r="AJ430" s="38">
        <f t="shared" ref="AJ430" si="6140">TRUNC($M430 * AI430,2)</f>
        <v>0</v>
      </c>
      <c r="AK430" s="38"/>
      <c r="AL430" s="38">
        <f t="shared" ref="AL430" si="6141">TRUNC($M430 * AK430,2)</f>
        <v>0</v>
      </c>
      <c r="AM430" s="38"/>
      <c r="AN430" s="38">
        <f t="shared" ref="AN430" si="6142">TRUNC($M430 * AM430,2)</f>
        <v>0</v>
      </c>
      <c r="AO430" s="38"/>
      <c r="AP430" s="38">
        <f t="shared" ref="AP430" si="6143">TRUNC($M430 * AO430,2)</f>
        <v>0</v>
      </c>
      <c r="AQ430" s="38"/>
      <c r="AR430" s="38">
        <f t="shared" ref="AR430" si="6144">TRUNC($M430 * AQ430,2)</f>
        <v>0</v>
      </c>
      <c r="AS430" s="38"/>
      <c r="AT430" s="38">
        <f t="shared" ref="AT430" si="6145">TRUNC($M430 * AS430,2)</f>
        <v>0</v>
      </c>
      <c r="AU430" s="38"/>
      <c r="AV430" s="38">
        <f t="shared" ref="AV430" si="6146">TRUNC($M430 * AU430,2)</f>
        <v>0</v>
      </c>
      <c r="AW430" s="38"/>
      <c r="AX430" s="37">
        <f t="shared" ref="AX430" si="6147">TRUNC($M430 * AW430,2)</f>
        <v>0</v>
      </c>
      <c r="AY430" s="36">
        <f t="shared" si="5617"/>
        <v>0</v>
      </c>
      <c r="AZ430" s="38">
        <f t="shared" ref="AZ430" si="6148">TRUNC($M430 * AY430,2)</f>
        <v>0</v>
      </c>
      <c r="BA430" s="38">
        <f t="shared" si="5619"/>
        <v>2</v>
      </c>
      <c r="BB430" s="37">
        <f t="shared" ref="BB430" si="6149">TRUNC($M430 * BA430,2)</f>
        <v>255.02</v>
      </c>
    </row>
    <row r="431" spans="1:54" ht="26.1" customHeight="1" x14ac:dyDescent="0.25">
      <c r="A431" s="31" t="s">
        <v>1243</v>
      </c>
      <c r="B431" s="31" t="s">
        <v>869</v>
      </c>
      <c r="C431" s="31" t="s">
        <v>34</v>
      </c>
      <c r="D431" s="31" t="s">
        <v>870</v>
      </c>
      <c r="E431" s="32" t="s">
        <v>36</v>
      </c>
      <c r="F431" s="33">
        <v>31</v>
      </c>
      <c r="G431" s="34">
        <v>30.38</v>
      </c>
      <c r="H431" s="34">
        <f t="shared" si="5562"/>
        <v>27.97</v>
      </c>
      <c r="I431" s="34">
        <f t="shared" si="5563"/>
        <v>867.07</v>
      </c>
      <c r="J431" s="34">
        <f>(TRUNC(H431 * L14,2) + H431)</f>
        <v>33.65</v>
      </c>
      <c r="K431" s="34">
        <f t="shared" si="6047"/>
        <v>1043.1500000000001</v>
      </c>
      <c r="L431" s="35">
        <f>K431 / L13</f>
        <v>3.5970689655172414E-4</v>
      </c>
      <c r="M431" s="36">
        <v>25.72</v>
      </c>
      <c r="N431" s="37">
        <f t="shared" si="5565"/>
        <v>797.32</v>
      </c>
      <c r="O431" s="36"/>
      <c r="P431" s="38">
        <f t="shared" si="5600"/>
        <v>0</v>
      </c>
      <c r="Q431" s="38"/>
      <c r="R431" s="38">
        <f t="shared" si="5600"/>
        <v>0</v>
      </c>
      <c r="S431" s="38">
        <f t="shared" si="5601"/>
        <v>31</v>
      </c>
      <c r="T431" s="37">
        <f t="shared" ref="T431:V431" si="6150">TRUNC($M431 * S431,2)</f>
        <v>797.32</v>
      </c>
      <c r="U431" s="36"/>
      <c r="V431" s="38">
        <f t="shared" si="6150"/>
        <v>0</v>
      </c>
      <c r="W431" s="38"/>
      <c r="X431" s="38">
        <f t="shared" ref="X431" si="6151">TRUNC($M431 * W431,2)</f>
        <v>0</v>
      </c>
      <c r="Y431" s="38"/>
      <c r="Z431" s="38">
        <f t="shared" ref="Z431" si="6152">TRUNC($M431 * Y431,2)</f>
        <v>0</v>
      </c>
      <c r="AA431" s="38"/>
      <c r="AB431" s="38">
        <f t="shared" ref="AB431" si="6153">TRUNC($M431 * AA431,2)</f>
        <v>0</v>
      </c>
      <c r="AC431" s="38"/>
      <c r="AD431" s="38">
        <f t="shared" ref="AD431" si="6154">TRUNC($M431 * AC431,2)</f>
        <v>0</v>
      </c>
      <c r="AE431" s="38"/>
      <c r="AF431" s="38">
        <f t="shared" ref="AF431" si="6155">TRUNC($M431 * AE431,2)</f>
        <v>0</v>
      </c>
      <c r="AG431" s="38"/>
      <c r="AH431" s="38">
        <f t="shared" ref="AH431" si="6156">TRUNC($M431 * AG431,2)</f>
        <v>0</v>
      </c>
      <c r="AI431" s="38"/>
      <c r="AJ431" s="38">
        <f t="shared" ref="AJ431" si="6157">TRUNC($M431 * AI431,2)</f>
        <v>0</v>
      </c>
      <c r="AK431" s="38"/>
      <c r="AL431" s="38">
        <f t="shared" ref="AL431" si="6158">TRUNC($M431 * AK431,2)</f>
        <v>0</v>
      </c>
      <c r="AM431" s="38"/>
      <c r="AN431" s="38">
        <f t="shared" ref="AN431" si="6159">TRUNC($M431 * AM431,2)</f>
        <v>0</v>
      </c>
      <c r="AO431" s="38"/>
      <c r="AP431" s="38">
        <f t="shared" ref="AP431" si="6160">TRUNC($M431 * AO431,2)</f>
        <v>0</v>
      </c>
      <c r="AQ431" s="38"/>
      <c r="AR431" s="38">
        <f t="shared" ref="AR431" si="6161">TRUNC($M431 * AQ431,2)</f>
        <v>0</v>
      </c>
      <c r="AS431" s="38"/>
      <c r="AT431" s="38">
        <f t="shared" ref="AT431" si="6162">TRUNC($M431 * AS431,2)</f>
        <v>0</v>
      </c>
      <c r="AU431" s="38"/>
      <c r="AV431" s="38">
        <f t="shared" ref="AV431" si="6163">TRUNC($M431 * AU431,2)</f>
        <v>0</v>
      </c>
      <c r="AW431" s="38"/>
      <c r="AX431" s="37">
        <f t="shared" ref="AX431" si="6164">TRUNC($M431 * AW431,2)</f>
        <v>0</v>
      </c>
      <c r="AY431" s="36">
        <f t="shared" si="5617"/>
        <v>0</v>
      </c>
      <c r="AZ431" s="38">
        <f t="shared" ref="AZ431" si="6165">TRUNC($M431 * AY431,2)</f>
        <v>0</v>
      </c>
      <c r="BA431" s="38">
        <f t="shared" si="5619"/>
        <v>31</v>
      </c>
      <c r="BB431" s="37">
        <f t="shared" ref="BB431" si="6166">TRUNC($M431 * BA431,2)</f>
        <v>797.32</v>
      </c>
    </row>
    <row r="432" spans="1:54" ht="24" customHeight="1" x14ac:dyDescent="0.25">
      <c r="A432" s="31" t="s">
        <v>1244</v>
      </c>
      <c r="B432" s="31" t="s">
        <v>871</v>
      </c>
      <c r="C432" s="31" t="s">
        <v>245</v>
      </c>
      <c r="D432" s="31" t="s">
        <v>872</v>
      </c>
      <c r="E432" s="32" t="s">
        <v>218</v>
      </c>
      <c r="F432" s="33">
        <v>325.60000000000002</v>
      </c>
      <c r="G432" s="34">
        <v>41.43</v>
      </c>
      <c r="H432" s="34">
        <f t="shared" si="5562"/>
        <v>38.14</v>
      </c>
      <c r="I432" s="34">
        <f t="shared" si="5563"/>
        <v>12418.38</v>
      </c>
      <c r="J432" s="34">
        <f>(TRUNC(H432 * L14,2) + H432)</f>
        <v>45.89</v>
      </c>
      <c r="K432" s="34">
        <f t="shared" si="6047"/>
        <v>14941.78</v>
      </c>
      <c r="L432" s="35">
        <f>K432 / L13</f>
        <v>5.152337931034482E-3</v>
      </c>
      <c r="M432" s="36">
        <v>8.65</v>
      </c>
      <c r="N432" s="37">
        <f t="shared" si="5565"/>
        <v>2816.44</v>
      </c>
      <c r="O432" s="36"/>
      <c r="P432" s="38">
        <f t="shared" si="5600"/>
        <v>0</v>
      </c>
      <c r="Q432" s="38"/>
      <c r="R432" s="38">
        <f t="shared" si="5600"/>
        <v>0</v>
      </c>
      <c r="S432" s="38">
        <f t="shared" si="5601"/>
        <v>325.60000000000002</v>
      </c>
      <c r="T432" s="37">
        <f t="shared" ref="T432:V432" si="6167">TRUNC($M432 * S432,2)</f>
        <v>2816.44</v>
      </c>
      <c r="U432" s="36"/>
      <c r="V432" s="38">
        <f t="shared" si="6167"/>
        <v>0</v>
      </c>
      <c r="W432" s="38"/>
      <c r="X432" s="38">
        <f t="shared" ref="X432" si="6168">TRUNC($M432 * W432,2)</f>
        <v>0</v>
      </c>
      <c r="Y432" s="38"/>
      <c r="Z432" s="38">
        <f t="shared" ref="Z432" si="6169">TRUNC($M432 * Y432,2)</f>
        <v>0</v>
      </c>
      <c r="AA432" s="38"/>
      <c r="AB432" s="38">
        <f t="shared" ref="AB432" si="6170">TRUNC($M432 * AA432,2)</f>
        <v>0</v>
      </c>
      <c r="AC432" s="38"/>
      <c r="AD432" s="38">
        <f t="shared" ref="AD432" si="6171">TRUNC($M432 * AC432,2)</f>
        <v>0</v>
      </c>
      <c r="AE432" s="38"/>
      <c r="AF432" s="38">
        <f t="shared" ref="AF432" si="6172">TRUNC($M432 * AE432,2)</f>
        <v>0</v>
      </c>
      <c r="AG432" s="38"/>
      <c r="AH432" s="38">
        <f t="shared" ref="AH432" si="6173">TRUNC($M432 * AG432,2)</f>
        <v>0</v>
      </c>
      <c r="AI432" s="38"/>
      <c r="AJ432" s="38">
        <f t="shared" ref="AJ432" si="6174">TRUNC($M432 * AI432,2)</f>
        <v>0</v>
      </c>
      <c r="AK432" s="38"/>
      <c r="AL432" s="38">
        <f t="shared" ref="AL432" si="6175">TRUNC($M432 * AK432,2)</f>
        <v>0</v>
      </c>
      <c r="AM432" s="38"/>
      <c r="AN432" s="38">
        <f t="shared" ref="AN432" si="6176">TRUNC($M432 * AM432,2)</f>
        <v>0</v>
      </c>
      <c r="AO432" s="38"/>
      <c r="AP432" s="38">
        <f t="shared" ref="AP432" si="6177">TRUNC($M432 * AO432,2)</f>
        <v>0</v>
      </c>
      <c r="AQ432" s="38"/>
      <c r="AR432" s="38">
        <f t="shared" ref="AR432" si="6178">TRUNC($M432 * AQ432,2)</f>
        <v>0</v>
      </c>
      <c r="AS432" s="38"/>
      <c r="AT432" s="38">
        <f t="shared" ref="AT432" si="6179">TRUNC($M432 * AS432,2)</f>
        <v>0</v>
      </c>
      <c r="AU432" s="38"/>
      <c r="AV432" s="38">
        <f t="shared" ref="AV432" si="6180">TRUNC($M432 * AU432,2)</f>
        <v>0</v>
      </c>
      <c r="AW432" s="38"/>
      <c r="AX432" s="37">
        <f t="shared" ref="AX432" si="6181">TRUNC($M432 * AW432,2)</f>
        <v>0</v>
      </c>
      <c r="AY432" s="36">
        <f t="shared" si="5617"/>
        <v>0</v>
      </c>
      <c r="AZ432" s="38">
        <f t="shared" ref="AZ432" si="6182">TRUNC($M432 * AY432,2)</f>
        <v>0</v>
      </c>
      <c r="BA432" s="38">
        <f t="shared" si="5619"/>
        <v>325.60000000000002</v>
      </c>
      <c r="BB432" s="37">
        <f t="shared" ref="BB432" si="6183">TRUNC($M432 * BA432,2)</f>
        <v>2816.44</v>
      </c>
    </row>
    <row r="433" spans="1:54" ht="24" customHeight="1" x14ac:dyDescent="0.25">
      <c r="A433" s="31" t="s">
        <v>1245</v>
      </c>
      <c r="B433" s="31" t="s">
        <v>873</v>
      </c>
      <c r="C433" s="31" t="s">
        <v>245</v>
      </c>
      <c r="D433" s="31" t="s">
        <v>874</v>
      </c>
      <c r="E433" s="32" t="s">
        <v>218</v>
      </c>
      <c r="F433" s="33">
        <v>132.5</v>
      </c>
      <c r="G433" s="34">
        <v>58.37</v>
      </c>
      <c r="H433" s="34">
        <f t="shared" si="5562"/>
        <v>53.74</v>
      </c>
      <c r="I433" s="34">
        <f t="shared" si="5563"/>
        <v>7120.55</v>
      </c>
      <c r="J433" s="34">
        <f>(TRUNC(H433 * L14,2) + H433)</f>
        <v>64.67</v>
      </c>
      <c r="K433" s="34">
        <f t="shared" si="6047"/>
        <v>8568.77</v>
      </c>
      <c r="L433" s="35">
        <f>K433 / L13</f>
        <v>2.9547482758620685E-3</v>
      </c>
      <c r="M433" s="36">
        <v>12.19</v>
      </c>
      <c r="N433" s="37">
        <f t="shared" si="5565"/>
        <v>1615.17</v>
      </c>
      <c r="O433" s="36"/>
      <c r="P433" s="38">
        <f t="shared" si="5600"/>
        <v>0</v>
      </c>
      <c r="Q433" s="38"/>
      <c r="R433" s="38">
        <f t="shared" si="5600"/>
        <v>0</v>
      </c>
      <c r="S433" s="38">
        <f t="shared" si="5601"/>
        <v>132.5</v>
      </c>
      <c r="T433" s="37">
        <f t="shared" ref="T433:V433" si="6184">TRUNC($M433 * S433,2)</f>
        <v>1615.17</v>
      </c>
      <c r="U433" s="36"/>
      <c r="V433" s="38">
        <f t="shared" si="6184"/>
        <v>0</v>
      </c>
      <c r="W433" s="38"/>
      <c r="X433" s="38">
        <f t="shared" ref="X433" si="6185">TRUNC($M433 * W433,2)</f>
        <v>0</v>
      </c>
      <c r="Y433" s="38"/>
      <c r="Z433" s="38">
        <f t="shared" ref="Z433" si="6186">TRUNC($M433 * Y433,2)</f>
        <v>0</v>
      </c>
      <c r="AA433" s="38"/>
      <c r="AB433" s="38">
        <f t="shared" ref="AB433" si="6187">TRUNC($M433 * AA433,2)</f>
        <v>0</v>
      </c>
      <c r="AC433" s="38"/>
      <c r="AD433" s="38">
        <f t="shared" ref="AD433" si="6188">TRUNC($M433 * AC433,2)</f>
        <v>0</v>
      </c>
      <c r="AE433" s="38"/>
      <c r="AF433" s="38">
        <f t="shared" ref="AF433" si="6189">TRUNC($M433 * AE433,2)</f>
        <v>0</v>
      </c>
      <c r="AG433" s="38"/>
      <c r="AH433" s="38">
        <f t="shared" ref="AH433" si="6190">TRUNC($M433 * AG433,2)</f>
        <v>0</v>
      </c>
      <c r="AI433" s="38"/>
      <c r="AJ433" s="38">
        <f t="shared" ref="AJ433" si="6191">TRUNC($M433 * AI433,2)</f>
        <v>0</v>
      </c>
      <c r="AK433" s="38"/>
      <c r="AL433" s="38">
        <f t="shared" ref="AL433" si="6192">TRUNC($M433 * AK433,2)</f>
        <v>0</v>
      </c>
      <c r="AM433" s="38"/>
      <c r="AN433" s="38">
        <f t="shared" ref="AN433" si="6193">TRUNC($M433 * AM433,2)</f>
        <v>0</v>
      </c>
      <c r="AO433" s="38"/>
      <c r="AP433" s="38">
        <f t="shared" ref="AP433" si="6194">TRUNC($M433 * AO433,2)</f>
        <v>0</v>
      </c>
      <c r="AQ433" s="38"/>
      <c r="AR433" s="38">
        <f t="shared" ref="AR433" si="6195">TRUNC($M433 * AQ433,2)</f>
        <v>0</v>
      </c>
      <c r="AS433" s="38"/>
      <c r="AT433" s="38">
        <f t="shared" ref="AT433" si="6196">TRUNC($M433 * AS433,2)</f>
        <v>0</v>
      </c>
      <c r="AU433" s="38"/>
      <c r="AV433" s="38">
        <f t="shared" ref="AV433" si="6197">TRUNC($M433 * AU433,2)</f>
        <v>0</v>
      </c>
      <c r="AW433" s="38"/>
      <c r="AX433" s="37">
        <f t="shared" ref="AX433" si="6198">TRUNC($M433 * AW433,2)</f>
        <v>0</v>
      </c>
      <c r="AY433" s="36">
        <f t="shared" si="5617"/>
        <v>0</v>
      </c>
      <c r="AZ433" s="38">
        <f t="shared" ref="AZ433" si="6199">TRUNC($M433 * AY433,2)</f>
        <v>0</v>
      </c>
      <c r="BA433" s="38">
        <f t="shared" si="5619"/>
        <v>132.5</v>
      </c>
      <c r="BB433" s="37">
        <f t="shared" ref="BB433" si="6200">TRUNC($M433 * BA433,2)</f>
        <v>1615.17</v>
      </c>
    </row>
    <row r="434" spans="1:54" ht="39" customHeight="1" x14ac:dyDescent="0.25">
      <c r="A434" s="31" t="s">
        <v>1246</v>
      </c>
      <c r="B434" s="31" t="s">
        <v>875</v>
      </c>
      <c r="C434" s="31" t="s">
        <v>34</v>
      </c>
      <c r="D434" s="31" t="s">
        <v>876</v>
      </c>
      <c r="E434" s="32" t="s">
        <v>36</v>
      </c>
      <c r="F434" s="33">
        <v>14</v>
      </c>
      <c r="G434" s="34">
        <v>66.3</v>
      </c>
      <c r="H434" s="34">
        <f t="shared" si="5562"/>
        <v>61.04</v>
      </c>
      <c r="I434" s="34">
        <f t="shared" si="5563"/>
        <v>854.56</v>
      </c>
      <c r="J434" s="34">
        <f>(TRUNC(H434 * L14,2) + H434)</f>
        <v>73.45</v>
      </c>
      <c r="K434" s="34">
        <f t="shared" si="6047"/>
        <v>1028.3</v>
      </c>
      <c r="L434" s="35">
        <f>K434 / L13</f>
        <v>3.5458620689655165E-4</v>
      </c>
      <c r="M434" s="36">
        <v>62.9</v>
      </c>
      <c r="N434" s="37">
        <f t="shared" si="5565"/>
        <v>880.6</v>
      </c>
      <c r="O434" s="36"/>
      <c r="P434" s="38">
        <f t="shared" si="5600"/>
        <v>0</v>
      </c>
      <c r="Q434" s="38"/>
      <c r="R434" s="38">
        <f t="shared" si="5600"/>
        <v>0</v>
      </c>
      <c r="S434" s="38">
        <f t="shared" si="5601"/>
        <v>14</v>
      </c>
      <c r="T434" s="37">
        <f t="shared" ref="T434:V434" si="6201">TRUNC($M434 * S434,2)</f>
        <v>880.6</v>
      </c>
      <c r="U434" s="36"/>
      <c r="V434" s="38">
        <f t="shared" si="6201"/>
        <v>0</v>
      </c>
      <c r="W434" s="38"/>
      <c r="X434" s="38">
        <f t="shared" ref="X434" si="6202">TRUNC($M434 * W434,2)</f>
        <v>0</v>
      </c>
      <c r="Y434" s="38"/>
      <c r="Z434" s="38">
        <f t="shared" ref="Z434" si="6203">TRUNC($M434 * Y434,2)</f>
        <v>0</v>
      </c>
      <c r="AA434" s="38"/>
      <c r="AB434" s="38">
        <f t="shared" ref="AB434" si="6204">TRUNC($M434 * AA434,2)</f>
        <v>0</v>
      </c>
      <c r="AC434" s="38"/>
      <c r="AD434" s="38">
        <f t="shared" ref="AD434" si="6205">TRUNC($M434 * AC434,2)</f>
        <v>0</v>
      </c>
      <c r="AE434" s="38"/>
      <c r="AF434" s="38">
        <f t="shared" ref="AF434" si="6206">TRUNC($M434 * AE434,2)</f>
        <v>0</v>
      </c>
      <c r="AG434" s="38"/>
      <c r="AH434" s="38">
        <f t="shared" ref="AH434" si="6207">TRUNC($M434 * AG434,2)</f>
        <v>0</v>
      </c>
      <c r="AI434" s="38"/>
      <c r="AJ434" s="38">
        <f t="shared" ref="AJ434" si="6208">TRUNC($M434 * AI434,2)</f>
        <v>0</v>
      </c>
      <c r="AK434" s="38"/>
      <c r="AL434" s="38">
        <f t="shared" ref="AL434" si="6209">TRUNC($M434 * AK434,2)</f>
        <v>0</v>
      </c>
      <c r="AM434" s="38"/>
      <c r="AN434" s="38">
        <f t="shared" ref="AN434" si="6210">TRUNC($M434 * AM434,2)</f>
        <v>0</v>
      </c>
      <c r="AO434" s="38"/>
      <c r="AP434" s="38">
        <f t="shared" ref="AP434" si="6211">TRUNC($M434 * AO434,2)</f>
        <v>0</v>
      </c>
      <c r="AQ434" s="38"/>
      <c r="AR434" s="38">
        <f t="shared" ref="AR434" si="6212">TRUNC($M434 * AQ434,2)</f>
        <v>0</v>
      </c>
      <c r="AS434" s="38"/>
      <c r="AT434" s="38">
        <f t="shared" ref="AT434" si="6213">TRUNC($M434 * AS434,2)</f>
        <v>0</v>
      </c>
      <c r="AU434" s="38"/>
      <c r="AV434" s="38">
        <f t="shared" ref="AV434" si="6214">TRUNC($M434 * AU434,2)</f>
        <v>0</v>
      </c>
      <c r="AW434" s="38"/>
      <c r="AX434" s="37">
        <f t="shared" ref="AX434" si="6215">TRUNC($M434 * AW434,2)</f>
        <v>0</v>
      </c>
      <c r="AY434" s="36">
        <f t="shared" si="5617"/>
        <v>0</v>
      </c>
      <c r="AZ434" s="38">
        <f t="shared" ref="AZ434" si="6216">TRUNC($M434 * AY434,2)</f>
        <v>0</v>
      </c>
      <c r="BA434" s="38">
        <f t="shared" si="5619"/>
        <v>14</v>
      </c>
      <c r="BB434" s="37">
        <f t="shared" ref="BB434" si="6217">TRUNC($M434 * BA434,2)</f>
        <v>880.6</v>
      </c>
    </row>
    <row r="435" spans="1:54" ht="26.1" customHeight="1" x14ac:dyDescent="0.25">
      <c r="A435" s="31" t="s">
        <v>1247</v>
      </c>
      <c r="B435" s="31" t="s">
        <v>877</v>
      </c>
      <c r="C435" s="31" t="s">
        <v>34</v>
      </c>
      <c r="D435" s="31" t="s">
        <v>878</v>
      </c>
      <c r="E435" s="32" t="s">
        <v>36</v>
      </c>
      <c r="F435" s="33">
        <v>20</v>
      </c>
      <c r="G435" s="34">
        <v>8.49</v>
      </c>
      <c r="H435" s="34">
        <f t="shared" si="5562"/>
        <v>7.81</v>
      </c>
      <c r="I435" s="34">
        <f t="shared" si="5563"/>
        <v>156.19999999999999</v>
      </c>
      <c r="J435" s="34">
        <f>(TRUNC(H435 * L14,2) + H435)</f>
        <v>9.39</v>
      </c>
      <c r="K435" s="34">
        <f t="shared" si="6047"/>
        <v>187.8</v>
      </c>
      <c r="L435" s="35">
        <f>K435 / L13</f>
        <v>6.4758620689655169E-5</v>
      </c>
      <c r="M435" s="36">
        <v>6.87</v>
      </c>
      <c r="N435" s="37">
        <f t="shared" si="5565"/>
        <v>137.4</v>
      </c>
      <c r="O435" s="36"/>
      <c r="P435" s="38">
        <f t="shared" si="5600"/>
        <v>0</v>
      </c>
      <c r="Q435" s="38"/>
      <c r="R435" s="38">
        <f t="shared" si="5600"/>
        <v>0</v>
      </c>
      <c r="S435" s="38">
        <f t="shared" si="5601"/>
        <v>20</v>
      </c>
      <c r="T435" s="37">
        <f t="shared" ref="T435:V435" si="6218">TRUNC($M435 * S435,2)</f>
        <v>137.4</v>
      </c>
      <c r="U435" s="36"/>
      <c r="V435" s="38">
        <f t="shared" si="6218"/>
        <v>0</v>
      </c>
      <c r="W435" s="38"/>
      <c r="X435" s="38">
        <f t="shared" ref="X435" si="6219">TRUNC($M435 * W435,2)</f>
        <v>0</v>
      </c>
      <c r="Y435" s="38"/>
      <c r="Z435" s="38">
        <f t="shared" ref="Z435" si="6220">TRUNC($M435 * Y435,2)</f>
        <v>0</v>
      </c>
      <c r="AA435" s="38"/>
      <c r="AB435" s="38">
        <f t="shared" ref="AB435" si="6221">TRUNC($M435 * AA435,2)</f>
        <v>0</v>
      </c>
      <c r="AC435" s="38"/>
      <c r="AD435" s="38">
        <f t="shared" ref="AD435" si="6222">TRUNC($M435 * AC435,2)</f>
        <v>0</v>
      </c>
      <c r="AE435" s="38"/>
      <c r="AF435" s="38">
        <f t="shared" ref="AF435" si="6223">TRUNC($M435 * AE435,2)</f>
        <v>0</v>
      </c>
      <c r="AG435" s="38"/>
      <c r="AH435" s="38">
        <f t="shared" ref="AH435" si="6224">TRUNC($M435 * AG435,2)</f>
        <v>0</v>
      </c>
      <c r="AI435" s="38"/>
      <c r="AJ435" s="38">
        <f t="shared" ref="AJ435" si="6225">TRUNC($M435 * AI435,2)</f>
        <v>0</v>
      </c>
      <c r="AK435" s="38"/>
      <c r="AL435" s="38">
        <f t="shared" ref="AL435" si="6226">TRUNC($M435 * AK435,2)</f>
        <v>0</v>
      </c>
      <c r="AM435" s="38"/>
      <c r="AN435" s="38">
        <f t="shared" ref="AN435" si="6227">TRUNC($M435 * AM435,2)</f>
        <v>0</v>
      </c>
      <c r="AO435" s="38"/>
      <c r="AP435" s="38">
        <f t="shared" ref="AP435" si="6228">TRUNC($M435 * AO435,2)</f>
        <v>0</v>
      </c>
      <c r="AQ435" s="38"/>
      <c r="AR435" s="38">
        <f t="shared" ref="AR435" si="6229">TRUNC($M435 * AQ435,2)</f>
        <v>0</v>
      </c>
      <c r="AS435" s="38"/>
      <c r="AT435" s="38">
        <f t="shared" ref="AT435" si="6230">TRUNC($M435 * AS435,2)</f>
        <v>0</v>
      </c>
      <c r="AU435" s="38"/>
      <c r="AV435" s="38">
        <f t="shared" ref="AV435" si="6231">TRUNC($M435 * AU435,2)</f>
        <v>0</v>
      </c>
      <c r="AW435" s="38"/>
      <c r="AX435" s="37">
        <f t="shared" ref="AX435" si="6232">TRUNC($M435 * AW435,2)</f>
        <v>0</v>
      </c>
      <c r="AY435" s="36">
        <f t="shared" si="5617"/>
        <v>0</v>
      </c>
      <c r="AZ435" s="38">
        <f t="shared" ref="AZ435" si="6233">TRUNC($M435 * AY435,2)</f>
        <v>0</v>
      </c>
      <c r="BA435" s="38">
        <f t="shared" si="5619"/>
        <v>20</v>
      </c>
      <c r="BB435" s="37">
        <f t="shared" ref="BB435" si="6234">TRUNC($M435 * BA435,2)</f>
        <v>137.4</v>
      </c>
    </row>
    <row r="436" spans="1:54" ht="24" customHeight="1" x14ac:dyDescent="0.25">
      <c r="A436" s="4">
        <v>17</v>
      </c>
      <c r="B436" s="4" t="s">
        <v>12</v>
      </c>
      <c r="C436" s="4"/>
      <c r="D436" s="4" t="s">
        <v>879</v>
      </c>
      <c r="E436" s="5"/>
      <c r="F436" s="14"/>
      <c r="G436" s="6"/>
      <c r="H436" s="6"/>
      <c r="I436" s="7">
        <f>SUM(I437,I450)</f>
        <v>81302.44</v>
      </c>
      <c r="J436" s="7"/>
      <c r="K436" s="7">
        <f>SUM(K437,K450)</f>
        <v>97835.26999999999</v>
      </c>
      <c r="L436" s="22">
        <f>K436 / L13</f>
        <v>3.373629999999999E-2</v>
      </c>
      <c r="M436" s="25"/>
      <c r="N436" s="26">
        <f>SUM(N437,N450)</f>
        <v>52391.8</v>
      </c>
      <c r="O436" s="25"/>
      <c r="P436" s="30">
        <f>SUM(P437,P450)</f>
        <v>0</v>
      </c>
      <c r="Q436" s="30"/>
      <c r="R436" s="30">
        <f>SUM(R437,R450)</f>
        <v>0</v>
      </c>
      <c r="S436" s="30"/>
      <c r="T436" s="26">
        <f>SUM(T437,T450)</f>
        <v>52391.8</v>
      </c>
      <c r="U436" s="25"/>
      <c r="V436" s="30">
        <f>SUM(V437,V450)</f>
        <v>0</v>
      </c>
      <c r="W436" s="30"/>
      <c r="X436" s="30">
        <f>SUM(X437,X450)</f>
        <v>0</v>
      </c>
      <c r="Y436" s="30"/>
      <c r="Z436" s="30">
        <f>SUM(Z437,Z450)</f>
        <v>0</v>
      </c>
      <c r="AA436" s="30"/>
      <c r="AB436" s="30">
        <f>SUM(AB437,AB450)</f>
        <v>0</v>
      </c>
      <c r="AC436" s="30"/>
      <c r="AD436" s="30">
        <f>SUM(AD437,AD450)</f>
        <v>0</v>
      </c>
      <c r="AE436" s="30"/>
      <c r="AF436" s="30">
        <f>SUM(AF437,AF450)</f>
        <v>0</v>
      </c>
      <c r="AG436" s="30"/>
      <c r="AH436" s="30">
        <f>SUM(AH437,AH450)</f>
        <v>0</v>
      </c>
      <c r="AI436" s="30"/>
      <c r="AJ436" s="30">
        <f>SUM(AJ437,AJ450)</f>
        <v>0</v>
      </c>
      <c r="AK436" s="30"/>
      <c r="AL436" s="30">
        <f>SUM(AL437,AL450)</f>
        <v>0</v>
      </c>
      <c r="AM436" s="30"/>
      <c r="AN436" s="30">
        <f>SUM(AN437,AN450)</f>
        <v>0</v>
      </c>
      <c r="AO436" s="30"/>
      <c r="AP436" s="30">
        <f>SUM(AP437,AP450)</f>
        <v>0</v>
      </c>
      <c r="AQ436" s="30"/>
      <c r="AR436" s="30">
        <f>SUM(AR437,AR450)</f>
        <v>0</v>
      </c>
      <c r="AS436" s="30"/>
      <c r="AT436" s="30">
        <f>SUM(AT437,AT450)</f>
        <v>0</v>
      </c>
      <c r="AU436" s="30"/>
      <c r="AV436" s="30">
        <f>SUM(AV437,AV450)</f>
        <v>0</v>
      </c>
      <c r="AW436" s="30"/>
      <c r="AX436" s="26">
        <f>SUM(AX437,AX450)</f>
        <v>0</v>
      </c>
      <c r="AY436" s="25"/>
      <c r="AZ436" s="30">
        <f>SUM(AZ437,AZ450)</f>
        <v>0</v>
      </c>
      <c r="BA436" s="30"/>
      <c r="BB436" s="26">
        <f>SUM(BB437,BB450)</f>
        <v>52391.8</v>
      </c>
    </row>
    <row r="437" spans="1:54" ht="24" customHeight="1" x14ac:dyDescent="0.25">
      <c r="A437" s="4" t="s">
        <v>1248</v>
      </c>
      <c r="B437" s="4" t="s">
        <v>12</v>
      </c>
      <c r="C437" s="4"/>
      <c r="D437" s="4" t="s">
        <v>56</v>
      </c>
      <c r="E437" s="5"/>
      <c r="F437" s="14"/>
      <c r="G437" s="6"/>
      <c r="H437" s="6"/>
      <c r="I437" s="7">
        <f>SUM(I438:I449)</f>
        <v>59581.27</v>
      </c>
      <c r="J437" s="7"/>
      <c r="K437" s="7">
        <f>SUM(K438:K449)</f>
        <v>71696.049999999988</v>
      </c>
      <c r="L437" s="22">
        <f>K437 / L13</f>
        <v>2.4722775862068957E-2</v>
      </c>
      <c r="M437" s="25"/>
      <c r="N437" s="26">
        <f>SUM(N438:N449)</f>
        <v>47463.500000000007</v>
      </c>
      <c r="O437" s="25"/>
      <c r="P437" s="30">
        <f>SUM(P438:P449)</f>
        <v>0</v>
      </c>
      <c r="Q437" s="30"/>
      <c r="R437" s="30">
        <f>SUM(R438:R449)</f>
        <v>0</v>
      </c>
      <c r="S437" s="30"/>
      <c r="T437" s="26">
        <f>SUM(T438:T449)</f>
        <v>47463.500000000007</v>
      </c>
      <c r="U437" s="25"/>
      <c r="V437" s="30">
        <f>SUM(V438:V449)</f>
        <v>0</v>
      </c>
      <c r="W437" s="30"/>
      <c r="X437" s="30">
        <f>SUM(X438:X449)</f>
        <v>0</v>
      </c>
      <c r="Y437" s="30"/>
      <c r="Z437" s="30">
        <f>SUM(Z438:Z449)</f>
        <v>0</v>
      </c>
      <c r="AA437" s="30"/>
      <c r="AB437" s="30">
        <f>SUM(AB438:AB449)</f>
        <v>0</v>
      </c>
      <c r="AC437" s="30"/>
      <c r="AD437" s="30">
        <f>SUM(AD438:AD449)</f>
        <v>0</v>
      </c>
      <c r="AE437" s="30"/>
      <c r="AF437" s="30">
        <f>SUM(AF438:AF449)</f>
        <v>0</v>
      </c>
      <c r="AG437" s="30"/>
      <c r="AH437" s="30">
        <f>SUM(AH438:AH449)</f>
        <v>0</v>
      </c>
      <c r="AI437" s="30"/>
      <c r="AJ437" s="30">
        <f>SUM(AJ438:AJ449)</f>
        <v>0</v>
      </c>
      <c r="AK437" s="30"/>
      <c r="AL437" s="30">
        <f>SUM(AL438:AL449)</f>
        <v>0</v>
      </c>
      <c r="AM437" s="30"/>
      <c r="AN437" s="30">
        <f>SUM(AN438:AN449)</f>
        <v>0</v>
      </c>
      <c r="AO437" s="30"/>
      <c r="AP437" s="30">
        <f>SUM(AP438:AP449)</f>
        <v>0</v>
      </c>
      <c r="AQ437" s="30"/>
      <c r="AR437" s="30">
        <f>SUM(AR438:AR449)</f>
        <v>0</v>
      </c>
      <c r="AS437" s="30"/>
      <c r="AT437" s="30">
        <f>SUM(AT438:AT449)</f>
        <v>0</v>
      </c>
      <c r="AU437" s="30"/>
      <c r="AV437" s="30">
        <f>SUM(AV438:AV449)</f>
        <v>0</v>
      </c>
      <c r="AW437" s="30"/>
      <c r="AX437" s="26">
        <f>SUM(AX438:AX449)</f>
        <v>0</v>
      </c>
      <c r="AY437" s="25"/>
      <c r="AZ437" s="30">
        <f>SUM(AZ438:AZ449)</f>
        <v>0</v>
      </c>
      <c r="BA437" s="30"/>
      <c r="BB437" s="26">
        <f>SUM(BB438:BB449)</f>
        <v>47463.500000000007</v>
      </c>
    </row>
    <row r="438" spans="1:54" ht="51.9" customHeight="1" x14ac:dyDescent="0.25">
      <c r="A438" s="31" t="s">
        <v>1249</v>
      </c>
      <c r="B438" s="31" t="s">
        <v>880</v>
      </c>
      <c r="C438" s="31" t="s">
        <v>34</v>
      </c>
      <c r="D438" s="31" t="s">
        <v>881</v>
      </c>
      <c r="E438" s="32" t="s">
        <v>218</v>
      </c>
      <c r="F438" s="33">
        <v>136</v>
      </c>
      <c r="G438" s="34">
        <v>27.25</v>
      </c>
      <c r="H438" s="34">
        <f t="shared" ref="H438:H448" si="6235">TRUNC(G438*$L$1,2)</f>
        <v>25.09</v>
      </c>
      <c r="I438" s="34">
        <f t="shared" ref="I438:I471" si="6236">TRUNC(F438 * H438,2)</f>
        <v>3412.24</v>
      </c>
      <c r="J438" s="34">
        <f>(TRUNC(H438 * L14,2) + H438)</f>
        <v>30.189999999999998</v>
      </c>
      <c r="K438" s="34">
        <f t="shared" ref="K438:K449" si="6237">TRUNC(F438 * J438,2)</f>
        <v>4105.84</v>
      </c>
      <c r="L438" s="35">
        <f>K438 / L13</f>
        <v>1.4158068965517241E-3</v>
      </c>
      <c r="M438" s="36">
        <v>20.51</v>
      </c>
      <c r="N438" s="37">
        <f t="shared" ref="N438:N471" si="6238">TRUNC(F438 * M438,2)</f>
        <v>2789.36</v>
      </c>
      <c r="O438" s="36"/>
      <c r="P438" s="38">
        <f t="shared" ref="P438:R471" si="6239">TRUNC($M438 * O438,2)</f>
        <v>0</v>
      </c>
      <c r="Q438" s="38"/>
      <c r="R438" s="38">
        <f t="shared" si="6239"/>
        <v>0</v>
      </c>
      <c r="S438" s="38">
        <f t="shared" ref="S438:S471" si="6240">F438+O438-Q438</f>
        <v>136</v>
      </c>
      <c r="T438" s="37">
        <f t="shared" ref="T438:V438" si="6241">TRUNC($M438 * S438,2)</f>
        <v>2789.36</v>
      </c>
      <c r="U438" s="36"/>
      <c r="V438" s="38">
        <f t="shared" si="6241"/>
        <v>0</v>
      </c>
      <c r="W438" s="38"/>
      <c r="X438" s="38">
        <f t="shared" ref="X438" si="6242">TRUNC($M438 * W438,2)</f>
        <v>0</v>
      </c>
      <c r="Y438" s="38"/>
      <c r="Z438" s="38">
        <f t="shared" ref="Z438" si="6243">TRUNC($M438 * Y438,2)</f>
        <v>0</v>
      </c>
      <c r="AA438" s="38"/>
      <c r="AB438" s="38">
        <f t="shared" ref="AB438" si="6244">TRUNC($M438 * AA438,2)</f>
        <v>0</v>
      </c>
      <c r="AC438" s="38"/>
      <c r="AD438" s="38">
        <f t="shared" ref="AD438" si="6245">TRUNC($M438 * AC438,2)</f>
        <v>0</v>
      </c>
      <c r="AE438" s="38"/>
      <c r="AF438" s="38">
        <f t="shared" ref="AF438" si="6246">TRUNC($M438 * AE438,2)</f>
        <v>0</v>
      </c>
      <c r="AG438" s="38"/>
      <c r="AH438" s="38">
        <f t="shared" ref="AH438" si="6247">TRUNC($M438 * AG438,2)</f>
        <v>0</v>
      </c>
      <c r="AI438" s="38"/>
      <c r="AJ438" s="38">
        <f t="shared" ref="AJ438" si="6248">TRUNC($M438 * AI438,2)</f>
        <v>0</v>
      </c>
      <c r="AK438" s="38"/>
      <c r="AL438" s="38">
        <f t="shared" ref="AL438" si="6249">TRUNC($M438 * AK438,2)</f>
        <v>0</v>
      </c>
      <c r="AM438" s="38"/>
      <c r="AN438" s="38">
        <f t="shared" ref="AN438" si="6250">TRUNC($M438 * AM438,2)</f>
        <v>0</v>
      </c>
      <c r="AO438" s="38"/>
      <c r="AP438" s="38">
        <f t="shared" ref="AP438" si="6251">TRUNC($M438 * AO438,2)</f>
        <v>0</v>
      </c>
      <c r="AQ438" s="38"/>
      <c r="AR438" s="38">
        <f t="shared" ref="AR438" si="6252">TRUNC($M438 * AQ438,2)</f>
        <v>0</v>
      </c>
      <c r="AS438" s="38"/>
      <c r="AT438" s="38">
        <f t="shared" ref="AT438" si="6253">TRUNC($M438 * AS438,2)</f>
        <v>0</v>
      </c>
      <c r="AU438" s="38"/>
      <c r="AV438" s="38">
        <f t="shared" ref="AV438" si="6254">TRUNC($M438 * AU438,2)</f>
        <v>0</v>
      </c>
      <c r="AW438" s="38"/>
      <c r="AX438" s="37">
        <f t="shared" ref="AX438" si="6255">TRUNC($M438 * AW438,2)</f>
        <v>0</v>
      </c>
      <c r="AY438" s="36">
        <f t="shared" ref="AY438:AY471" si="6256">SUM(U438,W438,Y438,AA438,AC438,AE438,AG438,AI438,AK438,AM438,AO438,AQ438,AS438,AU438,AW438)</f>
        <v>0</v>
      </c>
      <c r="AZ438" s="38">
        <f t="shared" ref="AZ438" si="6257">TRUNC($M438 * AY438,2)</f>
        <v>0</v>
      </c>
      <c r="BA438" s="38">
        <f t="shared" ref="BA438:BA471" si="6258">S438-AY438</f>
        <v>136</v>
      </c>
      <c r="BB438" s="37">
        <f t="shared" ref="BB438" si="6259">TRUNC($M438 * BA438,2)</f>
        <v>2789.36</v>
      </c>
    </row>
    <row r="439" spans="1:54" ht="39" customHeight="1" x14ac:dyDescent="0.25">
      <c r="A439" s="31" t="s">
        <v>1250</v>
      </c>
      <c r="B439" s="31" t="s">
        <v>882</v>
      </c>
      <c r="C439" s="31" t="s">
        <v>34</v>
      </c>
      <c r="D439" s="31" t="s">
        <v>883</v>
      </c>
      <c r="E439" s="32" t="s">
        <v>218</v>
      </c>
      <c r="F439" s="33">
        <v>32</v>
      </c>
      <c r="G439" s="34">
        <v>48.5</v>
      </c>
      <c r="H439" s="34">
        <f t="shared" si="6235"/>
        <v>44.65</v>
      </c>
      <c r="I439" s="34">
        <f t="shared" si="6236"/>
        <v>1428.8</v>
      </c>
      <c r="J439" s="34">
        <f>(TRUNC(H439 * L14,2) + H439)</f>
        <v>53.73</v>
      </c>
      <c r="K439" s="34">
        <f t="shared" si="6237"/>
        <v>1719.36</v>
      </c>
      <c r="L439" s="35">
        <f>K439 / L13</f>
        <v>5.9288275862068958E-4</v>
      </c>
      <c r="M439" s="36">
        <v>36.47</v>
      </c>
      <c r="N439" s="37">
        <f t="shared" si="6238"/>
        <v>1167.04</v>
      </c>
      <c r="O439" s="36"/>
      <c r="P439" s="38">
        <f t="shared" si="6239"/>
        <v>0</v>
      </c>
      <c r="Q439" s="38"/>
      <c r="R439" s="38">
        <f t="shared" si="6239"/>
        <v>0</v>
      </c>
      <c r="S439" s="38">
        <f t="shared" si="6240"/>
        <v>32</v>
      </c>
      <c r="T439" s="37">
        <f t="shared" ref="T439:V439" si="6260">TRUNC($M439 * S439,2)</f>
        <v>1167.04</v>
      </c>
      <c r="U439" s="36"/>
      <c r="V439" s="38">
        <f t="shared" si="6260"/>
        <v>0</v>
      </c>
      <c r="W439" s="38"/>
      <c r="X439" s="38">
        <f t="shared" ref="X439" si="6261">TRUNC($M439 * W439,2)</f>
        <v>0</v>
      </c>
      <c r="Y439" s="38"/>
      <c r="Z439" s="38">
        <f t="shared" ref="Z439" si="6262">TRUNC($M439 * Y439,2)</f>
        <v>0</v>
      </c>
      <c r="AA439" s="38"/>
      <c r="AB439" s="38">
        <f t="shared" ref="AB439" si="6263">TRUNC($M439 * AA439,2)</f>
        <v>0</v>
      </c>
      <c r="AC439" s="38"/>
      <c r="AD439" s="38">
        <f t="shared" ref="AD439" si="6264">TRUNC($M439 * AC439,2)</f>
        <v>0</v>
      </c>
      <c r="AE439" s="38"/>
      <c r="AF439" s="38">
        <f t="shared" ref="AF439" si="6265">TRUNC($M439 * AE439,2)</f>
        <v>0</v>
      </c>
      <c r="AG439" s="38"/>
      <c r="AH439" s="38">
        <f t="shared" ref="AH439" si="6266">TRUNC($M439 * AG439,2)</f>
        <v>0</v>
      </c>
      <c r="AI439" s="38"/>
      <c r="AJ439" s="38">
        <f t="shared" ref="AJ439" si="6267">TRUNC($M439 * AI439,2)</f>
        <v>0</v>
      </c>
      <c r="AK439" s="38"/>
      <c r="AL439" s="38">
        <f t="shared" ref="AL439" si="6268">TRUNC($M439 * AK439,2)</f>
        <v>0</v>
      </c>
      <c r="AM439" s="38"/>
      <c r="AN439" s="38">
        <f t="shared" ref="AN439" si="6269">TRUNC($M439 * AM439,2)</f>
        <v>0</v>
      </c>
      <c r="AO439" s="38"/>
      <c r="AP439" s="38">
        <f t="shared" ref="AP439" si="6270">TRUNC($M439 * AO439,2)</f>
        <v>0</v>
      </c>
      <c r="AQ439" s="38"/>
      <c r="AR439" s="38">
        <f t="shared" ref="AR439" si="6271">TRUNC($M439 * AQ439,2)</f>
        <v>0</v>
      </c>
      <c r="AS439" s="38"/>
      <c r="AT439" s="38">
        <f t="shared" ref="AT439" si="6272">TRUNC($M439 * AS439,2)</f>
        <v>0</v>
      </c>
      <c r="AU439" s="38"/>
      <c r="AV439" s="38">
        <f t="shared" ref="AV439" si="6273">TRUNC($M439 * AU439,2)</f>
        <v>0</v>
      </c>
      <c r="AW439" s="38"/>
      <c r="AX439" s="37">
        <f t="shared" ref="AX439" si="6274">TRUNC($M439 * AW439,2)</f>
        <v>0</v>
      </c>
      <c r="AY439" s="36">
        <f t="shared" si="6256"/>
        <v>0</v>
      </c>
      <c r="AZ439" s="38">
        <f t="shared" ref="AZ439" si="6275">TRUNC($M439 * AY439,2)</f>
        <v>0</v>
      </c>
      <c r="BA439" s="38">
        <f t="shared" si="6258"/>
        <v>32</v>
      </c>
      <c r="BB439" s="37">
        <f t="shared" ref="BB439" si="6276">TRUNC($M439 * BA439,2)</f>
        <v>1167.04</v>
      </c>
    </row>
    <row r="440" spans="1:54" ht="39" customHeight="1" x14ac:dyDescent="0.25">
      <c r="A440" s="31" t="s">
        <v>1251</v>
      </c>
      <c r="B440" s="31" t="s">
        <v>884</v>
      </c>
      <c r="C440" s="31" t="s">
        <v>34</v>
      </c>
      <c r="D440" s="31" t="s">
        <v>885</v>
      </c>
      <c r="E440" s="32" t="s">
        <v>218</v>
      </c>
      <c r="F440" s="33">
        <v>122</v>
      </c>
      <c r="G440" s="34">
        <v>60.73</v>
      </c>
      <c r="H440" s="34">
        <f t="shared" si="6235"/>
        <v>55.91</v>
      </c>
      <c r="I440" s="34">
        <f t="shared" si="6236"/>
        <v>6821.02</v>
      </c>
      <c r="J440" s="34">
        <f>(TRUNC(H440 * L14,2) + H440)</f>
        <v>67.28</v>
      </c>
      <c r="K440" s="34">
        <f t="shared" si="6237"/>
        <v>8208.16</v>
      </c>
      <c r="L440" s="35">
        <f>K440 / L13</f>
        <v>2.8303999999999994E-3</v>
      </c>
      <c r="M440" s="36">
        <v>45.28</v>
      </c>
      <c r="N440" s="37">
        <f t="shared" si="6238"/>
        <v>5524.16</v>
      </c>
      <c r="O440" s="36"/>
      <c r="P440" s="38">
        <f t="shared" si="6239"/>
        <v>0</v>
      </c>
      <c r="Q440" s="38"/>
      <c r="R440" s="38">
        <f t="shared" si="6239"/>
        <v>0</v>
      </c>
      <c r="S440" s="38">
        <f t="shared" si="6240"/>
        <v>122</v>
      </c>
      <c r="T440" s="37">
        <f t="shared" ref="T440:V440" si="6277">TRUNC($M440 * S440,2)</f>
        <v>5524.16</v>
      </c>
      <c r="U440" s="36"/>
      <c r="V440" s="38">
        <f t="shared" si="6277"/>
        <v>0</v>
      </c>
      <c r="W440" s="38"/>
      <c r="X440" s="38">
        <f t="shared" ref="X440" si="6278">TRUNC($M440 * W440,2)</f>
        <v>0</v>
      </c>
      <c r="Y440" s="38"/>
      <c r="Z440" s="38">
        <f t="shared" ref="Z440" si="6279">TRUNC($M440 * Y440,2)</f>
        <v>0</v>
      </c>
      <c r="AA440" s="38"/>
      <c r="AB440" s="38">
        <f t="shared" ref="AB440" si="6280">TRUNC($M440 * AA440,2)</f>
        <v>0</v>
      </c>
      <c r="AC440" s="38"/>
      <c r="AD440" s="38">
        <f t="shared" ref="AD440" si="6281">TRUNC($M440 * AC440,2)</f>
        <v>0</v>
      </c>
      <c r="AE440" s="38"/>
      <c r="AF440" s="38">
        <f t="shared" ref="AF440" si="6282">TRUNC($M440 * AE440,2)</f>
        <v>0</v>
      </c>
      <c r="AG440" s="38"/>
      <c r="AH440" s="38">
        <f t="shared" ref="AH440" si="6283">TRUNC($M440 * AG440,2)</f>
        <v>0</v>
      </c>
      <c r="AI440" s="38"/>
      <c r="AJ440" s="38">
        <f t="shared" ref="AJ440" si="6284">TRUNC($M440 * AI440,2)</f>
        <v>0</v>
      </c>
      <c r="AK440" s="38"/>
      <c r="AL440" s="38">
        <f t="shared" ref="AL440" si="6285">TRUNC($M440 * AK440,2)</f>
        <v>0</v>
      </c>
      <c r="AM440" s="38"/>
      <c r="AN440" s="38">
        <f t="shared" ref="AN440" si="6286">TRUNC($M440 * AM440,2)</f>
        <v>0</v>
      </c>
      <c r="AO440" s="38"/>
      <c r="AP440" s="38">
        <f t="shared" ref="AP440" si="6287">TRUNC($M440 * AO440,2)</f>
        <v>0</v>
      </c>
      <c r="AQ440" s="38"/>
      <c r="AR440" s="38">
        <f t="shared" ref="AR440" si="6288">TRUNC($M440 * AQ440,2)</f>
        <v>0</v>
      </c>
      <c r="AS440" s="38"/>
      <c r="AT440" s="38">
        <f t="shared" ref="AT440" si="6289">TRUNC($M440 * AS440,2)</f>
        <v>0</v>
      </c>
      <c r="AU440" s="38"/>
      <c r="AV440" s="38">
        <f t="shared" ref="AV440" si="6290">TRUNC($M440 * AU440,2)</f>
        <v>0</v>
      </c>
      <c r="AW440" s="38"/>
      <c r="AX440" s="37">
        <f t="shared" ref="AX440" si="6291">TRUNC($M440 * AW440,2)</f>
        <v>0</v>
      </c>
      <c r="AY440" s="36">
        <f t="shared" si="6256"/>
        <v>0</v>
      </c>
      <c r="AZ440" s="38">
        <f t="shared" ref="AZ440" si="6292">TRUNC($M440 * AY440,2)</f>
        <v>0</v>
      </c>
      <c r="BA440" s="38">
        <f t="shared" si="6258"/>
        <v>122</v>
      </c>
      <c r="BB440" s="37">
        <f t="shared" ref="BB440" si="6293">TRUNC($M440 * BA440,2)</f>
        <v>5524.16</v>
      </c>
    </row>
    <row r="441" spans="1:54" ht="51.9" customHeight="1" x14ac:dyDescent="0.25">
      <c r="A441" s="31" t="s">
        <v>1252</v>
      </c>
      <c r="B441" s="31" t="s">
        <v>886</v>
      </c>
      <c r="C441" s="31" t="s">
        <v>34</v>
      </c>
      <c r="D441" s="31" t="s">
        <v>887</v>
      </c>
      <c r="E441" s="32" t="s">
        <v>218</v>
      </c>
      <c r="F441" s="33">
        <v>18</v>
      </c>
      <c r="G441" s="34">
        <v>67.95</v>
      </c>
      <c r="H441" s="34">
        <f t="shared" si="6235"/>
        <v>62.56</v>
      </c>
      <c r="I441" s="34">
        <f t="shared" si="6236"/>
        <v>1126.08</v>
      </c>
      <c r="J441" s="34">
        <f>(TRUNC(H441 * L14,2) + H441)</f>
        <v>75.28</v>
      </c>
      <c r="K441" s="34">
        <f t="shared" si="6237"/>
        <v>1355.04</v>
      </c>
      <c r="L441" s="35">
        <f>K441 / L13</f>
        <v>4.6725517241379301E-4</v>
      </c>
      <c r="M441" s="36">
        <v>49.5</v>
      </c>
      <c r="N441" s="37">
        <f t="shared" si="6238"/>
        <v>891</v>
      </c>
      <c r="O441" s="36"/>
      <c r="P441" s="38">
        <f t="shared" si="6239"/>
        <v>0</v>
      </c>
      <c r="Q441" s="38"/>
      <c r="R441" s="38">
        <f t="shared" si="6239"/>
        <v>0</v>
      </c>
      <c r="S441" s="38">
        <f t="shared" si="6240"/>
        <v>18</v>
      </c>
      <c r="T441" s="37">
        <f t="shared" ref="T441:V441" si="6294">TRUNC($M441 * S441,2)</f>
        <v>891</v>
      </c>
      <c r="U441" s="36"/>
      <c r="V441" s="38">
        <f t="shared" si="6294"/>
        <v>0</v>
      </c>
      <c r="W441" s="38"/>
      <c r="X441" s="38">
        <f t="shared" ref="X441" si="6295">TRUNC($M441 * W441,2)</f>
        <v>0</v>
      </c>
      <c r="Y441" s="38"/>
      <c r="Z441" s="38">
        <f t="shared" ref="Z441" si="6296">TRUNC($M441 * Y441,2)</f>
        <v>0</v>
      </c>
      <c r="AA441" s="38"/>
      <c r="AB441" s="38">
        <f t="shared" ref="AB441" si="6297">TRUNC($M441 * AA441,2)</f>
        <v>0</v>
      </c>
      <c r="AC441" s="38"/>
      <c r="AD441" s="38">
        <f t="shared" ref="AD441" si="6298">TRUNC($M441 * AC441,2)</f>
        <v>0</v>
      </c>
      <c r="AE441" s="38"/>
      <c r="AF441" s="38">
        <f t="shared" ref="AF441" si="6299">TRUNC($M441 * AE441,2)</f>
        <v>0</v>
      </c>
      <c r="AG441" s="38"/>
      <c r="AH441" s="38">
        <f t="shared" ref="AH441" si="6300">TRUNC($M441 * AG441,2)</f>
        <v>0</v>
      </c>
      <c r="AI441" s="38"/>
      <c r="AJ441" s="38">
        <f t="shared" ref="AJ441" si="6301">TRUNC($M441 * AI441,2)</f>
        <v>0</v>
      </c>
      <c r="AK441" s="38"/>
      <c r="AL441" s="38">
        <f t="shared" ref="AL441" si="6302">TRUNC($M441 * AK441,2)</f>
        <v>0</v>
      </c>
      <c r="AM441" s="38"/>
      <c r="AN441" s="38">
        <f t="shared" ref="AN441" si="6303">TRUNC($M441 * AM441,2)</f>
        <v>0</v>
      </c>
      <c r="AO441" s="38"/>
      <c r="AP441" s="38">
        <f t="shared" ref="AP441" si="6304">TRUNC($M441 * AO441,2)</f>
        <v>0</v>
      </c>
      <c r="AQ441" s="38"/>
      <c r="AR441" s="38">
        <f t="shared" ref="AR441" si="6305">TRUNC($M441 * AQ441,2)</f>
        <v>0</v>
      </c>
      <c r="AS441" s="38"/>
      <c r="AT441" s="38">
        <f t="shared" ref="AT441" si="6306">TRUNC($M441 * AS441,2)</f>
        <v>0</v>
      </c>
      <c r="AU441" s="38"/>
      <c r="AV441" s="38">
        <f t="shared" ref="AV441" si="6307">TRUNC($M441 * AU441,2)</f>
        <v>0</v>
      </c>
      <c r="AW441" s="38"/>
      <c r="AX441" s="37">
        <f t="shared" ref="AX441" si="6308">TRUNC($M441 * AW441,2)</f>
        <v>0</v>
      </c>
      <c r="AY441" s="36">
        <f t="shared" si="6256"/>
        <v>0</v>
      </c>
      <c r="AZ441" s="38">
        <f t="shared" ref="AZ441" si="6309">TRUNC($M441 * AY441,2)</f>
        <v>0</v>
      </c>
      <c r="BA441" s="38">
        <f t="shared" si="6258"/>
        <v>18</v>
      </c>
      <c r="BB441" s="37">
        <f t="shared" ref="BB441" si="6310">TRUNC($M441 * BA441,2)</f>
        <v>891</v>
      </c>
    </row>
    <row r="442" spans="1:54" ht="26.1" customHeight="1" x14ac:dyDescent="0.25">
      <c r="A442" s="31" t="s">
        <v>1253</v>
      </c>
      <c r="B442" s="31" t="s">
        <v>888</v>
      </c>
      <c r="C442" s="31" t="s">
        <v>24</v>
      </c>
      <c r="D442" s="31" t="s">
        <v>889</v>
      </c>
      <c r="E442" s="32" t="s">
        <v>218</v>
      </c>
      <c r="F442" s="33">
        <v>185</v>
      </c>
      <c r="G442" s="34">
        <v>15.18</v>
      </c>
      <c r="H442" s="34">
        <f t="shared" si="6235"/>
        <v>13.97</v>
      </c>
      <c r="I442" s="34">
        <f t="shared" si="6236"/>
        <v>2584.4499999999998</v>
      </c>
      <c r="J442" s="34">
        <f>(TRUNC(H442 * L14,2) + H442)</f>
        <v>16.810000000000002</v>
      </c>
      <c r="K442" s="34">
        <f t="shared" si="6237"/>
        <v>3109.85</v>
      </c>
      <c r="L442" s="35">
        <f>K442 / L13</f>
        <v>1.072362068965517E-3</v>
      </c>
      <c r="M442" s="36">
        <v>12.78</v>
      </c>
      <c r="N442" s="37">
        <f t="shared" si="6238"/>
        <v>2364.3000000000002</v>
      </c>
      <c r="O442" s="36"/>
      <c r="P442" s="38">
        <f t="shared" si="6239"/>
        <v>0</v>
      </c>
      <c r="Q442" s="38"/>
      <c r="R442" s="38">
        <f t="shared" si="6239"/>
        <v>0</v>
      </c>
      <c r="S442" s="38">
        <f t="shared" si="6240"/>
        <v>185</v>
      </c>
      <c r="T442" s="37">
        <f t="shared" ref="T442:V442" si="6311">TRUNC($M442 * S442,2)</f>
        <v>2364.3000000000002</v>
      </c>
      <c r="U442" s="36"/>
      <c r="V442" s="38">
        <f t="shared" si="6311"/>
        <v>0</v>
      </c>
      <c r="W442" s="38"/>
      <c r="X442" s="38">
        <f t="shared" ref="X442" si="6312">TRUNC($M442 * W442,2)</f>
        <v>0</v>
      </c>
      <c r="Y442" s="38"/>
      <c r="Z442" s="38">
        <f t="shared" ref="Z442" si="6313">TRUNC($M442 * Y442,2)</f>
        <v>0</v>
      </c>
      <c r="AA442" s="38"/>
      <c r="AB442" s="38">
        <f t="shared" ref="AB442" si="6314">TRUNC($M442 * AA442,2)</f>
        <v>0</v>
      </c>
      <c r="AC442" s="38"/>
      <c r="AD442" s="38">
        <f t="shared" ref="AD442" si="6315">TRUNC($M442 * AC442,2)</f>
        <v>0</v>
      </c>
      <c r="AE442" s="38"/>
      <c r="AF442" s="38">
        <f t="shared" ref="AF442" si="6316">TRUNC($M442 * AE442,2)</f>
        <v>0</v>
      </c>
      <c r="AG442" s="38"/>
      <c r="AH442" s="38">
        <f t="shared" ref="AH442" si="6317">TRUNC($M442 * AG442,2)</f>
        <v>0</v>
      </c>
      <c r="AI442" s="38"/>
      <c r="AJ442" s="38">
        <f t="shared" ref="AJ442" si="6318">TRUNC($M442 * AI442,2)</f>
        <v>0</v>
      </c>
      <c r="AK442" s="38"/>
      <c r="AL442" s="38">
        <f t="shared" ref="AL442" si="6319">TRUNC($M442 * AK442,2)</f>
        <v>0</v>
      </c>
      <c r="AM442" s="38"/>
      <c r="AN442" s="38">
        <f t="shared" ref="AN442" si="6320">TRUNC($M442 * AM442,2)</f>
        <v>0</v>
      </c>
      <c r="AO442" s="38"/>
      <c r="AP442" s="38">
        <f t="shared" ref="AP442" si="6321">TRUNC($M442 * AO442,2)</f>
        <v>0</v>
      </c>
      <c r="AQ442" s="38"/>
      <c r="AR442" s="38">
        <f t="shared" ref="AR442" si="6322">TRUNC($M442 * AQ442,2)</f>
        <v>0</v>
      </c>
      <c r="AS442" s="38"/>
      <c r="AT442" s="38">
        <f t="shared" ref="AT442" si="6323">TRUNC($M442 * AS442,2)</f>
        <v>0</v>
      </c>
      <c r="AU442" s="38"/>
      <c r="AV442" s="38">
        <f t="shared" ref="AV442" si="6324">TRUNC($M442 * AU442,2)</f>
        <v>0</v>
      </c>
      <c r="AW442" s="38"/>
      <c r="AX442" s="37">
        <f t="shared" ref="AX442" si="6325">TRUNC($M442 * AW442,2)</f>
        <v>0</v>
      </c>
      <c r="AY442" s="36">
        <f t="shared" si="6256"/>
        <v>0</v>
      </c>
      <c r="AZ442" s="38">
        <f t="shared" ref="AZ442" si="6326">TRUNC($M442 * AY442,2)</f>
        <v>0</v>
      </c>
      <c r="BA442" s="38">
        <f t="shared" si="6258"/>
        <v>185</v>
      </c>
      <c r="BB442" s="37">
        <f t="shared" ref="BB442" si="6327">TRUNC($M442 * BA442,2)</f>
        <v>2364.3000000000002</v>
      </c>
    </row>
    <row r="443" spans="1:54" ht="26.1" customHeight="1" x14ac:dyDescent="0.25">
      <c r="A443" s="31" t="s">
        <v>1254</v>
      </c>
      <c r="B443" s="31" t="s">
        <v>890</v>
      </c>
      <c r="C443" s="31" t="s">
        <v>245</v>
      </c>
      <c r="D443" s="31" t="s">
        <v>891</v>
      </c>
      <c r="E443" s="32" t="s">
        <v>36</v>
      </c>
      <c r="F443" s="33">
        <v>20</v>
      </c>
      <c r="G443" s="34">
        <v>407.64</v>
      </c>
      <c r="H443" s="34">
        <f t="shared" si="6235"/>
        <v>375.33</v>
      </c>
      <c r="I443" s="34">
        <f t="shared" si="6236"/>
        <v>7506.6</v>
      </c>
      <c r="J443" s="34">
        <f>(TRUNC(H443 * L14,2) + H443)</f>
        <v>451.66999999999996</v>
      </c>
      <c r="K443" s="34">
        <f t="shared" si="6237"/>
        <v>9033.4</v>
      </c>
      <c r="L443" s="35">
        <f>K443 / L13</f>
        <v>3.1149655172413786E-3</v>
      </c>
      <c r="M443" s="36">
        <v>85.16</v>
      </c>
      <c r="N443" s="37">
        <f t="shared" si="6238"/>
        <v>1703.2</v>
      </c>
      <c r="O443" s="36"/>
      <c r="P443" s="38">
        <f t="shared" si="6239"/>
        <v>0</v>
      </c>
      <c r="Q443" s="38"/>
      <c r="R443" s="38">
        <f t="shared" si="6239"/>
        <v>0</v>
      </c>
      <c r="S443" s="38">
        <f t="shared" si="6240"/>
        <v>20</v>
      </c>
      <c r="T443" s="37">
        <f t="shared" ref="T443:V443" si="6328">TRUNC($M443 * S443,2)</f>
        <v>1703.2</v>
      </c>
      <c r="U443" s="36"/>
      <c r="V443" s="38">
        <f t="shared" si="6328"/>
        <v>0</v>
      </c>
      <c r="W443" s="38"/>
      <c r="X443" s="38">
        <f t="shared" ref="X443" si="6329">TRUNC($M443 * W443,2)</f>
        <v>0</v>
      </c>
      <c r="Y443" s="38"/>
      <c r="Z443" s="38">
        <f t="shared" ref="Z443" si="6330">TRUNC($M443 * Y443,2)</f>
        <v>0</v>
      </c>
      <c r="AA443" s="38"/>
      <c r="AB443" s="38">
        <f t="shared" ref="AB443" si="6331">TRUNC($M443 * AA443,2)</f>
        <v>0</v>
      </c>
      <c r="AC443" s="38"/>
      <c r="AD443" s="38">
        <f t="shared" ref="AD443" si="6332">TRUNC($M443 * AC443,2)</f>
        <v>0</v>
      </c>
      <c r="AE443" s="38"/>
      <c r="AF443" s="38">
        <f t="shared" ref="AF443" si="6333">TRUNC($M443 * AE443,2)</f>
        <v>0</v>
      </c>
      <c r="AG443" s="38"/>
      <c r="AH443" s="38">
        <f t="shared" ref="AH443" si="6334">TRUNC($M443 * AG443,2)</f>
        <v>0</v>
      </c>
      <c r="AI443" s="38"/>
      <c r="AJ443" s="38">
        <f t="shared" ref="AJ443" si="6335">TRUNC($M443 * AI443,2)</f>
        <v>0</v>
      </c>
      <c r="AK443" s="38"/>
      <c r="AL443" s="38">
        <f t="shared" ref="AL443" si="6336">TRUNC($M443 * AK443,2)</f>
        <v>0</v>
      </c>
      <c r="AM443" s="38"/>
      <c r="AN443" s="38">
        <f t="shared" ref="AN443" si="6337">TRUNC($M443 * AM443,2)</f>
        <v>0</v>
      </c>
      <c r="AO443" s="38"/>
      <c r="AP443" s="38">
        <f t="shared" ref="AP443" si="6338">TRUNC($M443 * AO443,2)</f>
        <v>0</v>
      </c>
      <c r="AQ443" s="38"/>
      <c r="AR443" s="38">
        <f t="shared" ref="AR443" si="6339">TRUNC($M443 * AQ443,2)</f>
        <v>0</v>
      </c>
      <c r="AS443" s="38"/>
      <c r="AT443" s="38">
        <f t="shared" ref="AT443" si="6340">TRUNC($M443 * AS443,2)</f>
        <v>0</v>
      </c>
      <c r="AU443" s="38"/>
      <c r="AV443" s="38">
        <f t="shared" ref="AV443" si="6341">TRUNC($M443 * AU443,2)</f>
        <v>0</v>
      </c>
      <c r="AW443" s="38"/>
      <c r="AX443" s="37">
        <f t="shared" ref="AX443" si="6342">TRUNC($M443 * AW443,2)</f>
        <v>0</v>
      </c>
      <c r="AY443" s="36">
        <f t="shared" si="6256"/>
        <v>0</v>
      </c>
      <c r="AZ443" s="38">
        <f t="shared" ref="AZ443" si="6343">TRUNC($M443 * AY443,2)</f>
        <v>0</v>
      </c>
      <c r="BA443" s="38">
        <f t="shared" si="6258"/>
        <v>20</v>
      </c>
      <c r="BB443" s="37">
        <f t="shared" ref="BB443" si="6344">TRUNC($M443 * BA443,2)</f>
        <v>1703.2</v>
      </c>
    </row>
    <row r="444" spans="1:54" ht="104.1" customHeight="1" x14ac:dyDescent="0.25">
      <c r="A444" s="31" t="s">
        <v>1255</v>
      </c>
      <c r="B444" s="31" t="s">
        <v>892</v>
      </c>
      <c r="C444" s="31" t="s">
        <v>316</v>
      </c>
      <c r="D444" s="31" t="s">
        <v>893</v>
      </c>
      <c r="E444" s="32" t="s">
        <v>76</v>
      </c>
      <c r="F444" s="33">
        <v>485</v>
      </c>
      <c r="G444" s="34">
        <v>63.45</v>
      </c>
      <c r="H444" s="34">
        <f t="shared" si="6235"/>
        <v>58.42</v>
      </c>
      <c r="I444" s="34">
        <f t="shared" si="6236"/>
        <v>28333.7</v>
      </c>
      <c r="J444" s="34">
        <f>(TRUNC(H444 * L14,2) + H444)</f>
        <v>70.3</v>
      </c>
      <c r="K444" s="34">
        <f t="shared" si="6237"/>
        <v>34095.5</v>
      </c>
      <c r="L444" s="35">
        <f>K444 / L13</f>
        <v>1.175706896551724E-2</v>
      </c>
      <c r="M444" s="36">
        <v>55.76</v>
      </c>
      <c r="N444" s="37">
        <f t="shared" si="6238"/>
        <v>27043.599999999999</v>
      </c>
      <c r="O444" s="36"/>
      <c r="P444" s="38">
        <f t="shared" si="6239"/>
        <v>0</v>
      </c>
      <c r="Q444" s="38"/>
      <c r="R444" s="38">
        <f t="shared" si="6239"/>
        <v>0</v>
      </c>
      <c r="S444" s="38">
        <f t="shared" si="6240"/>
        <v>485</v>
      </c>
      <c r="T444" s="37">
        <f t="shared" ref="T444:V444" si="6345">TRUNC($M444 * S444,2)</f>
        <v>27043.599999999999</v>
      </c>
      <c r="U444" s="36"/>
      <c r="V444" s="38">
        <f t="shared" si="6345"/>
        <v>0</v>
      </c>
      <c r="W444" s="38"/>
      <c r="X444" s="38">
        <f t="shared" ref="X444" si="6346">TRUNC($M444 * W444,2)</f>
        <v>0</v>
      </c>
      <c r="Y444" s="38"/>
      <c r="Z444" s="38">
        <f t="shared" ref="Z444" si="6347">TRUNC($M444 * Y444,2)</f>
        <v>0</v>
      </c>
      <c r="AA444" s="38"/>
      <c r="AB444" s="38">
        <f t="shared" ref="AB444" si="6348">TRUNC($M444 * AA444,2)</f>
        <v>0</v>
      </c>
      <c r="AC444" s="38"/>
      <c r="AD444" s="38">
        <f t="shared" ref="AD444" si="6349">TRUNC($M444 * AC444,2)</f>
        <v>0</v>
      </c>
      <c r="AE444" s="38"/>
      <c r="AF444" s="38">
        <f t="shared" ref="AF444" si="6350">TRUNC($M444 * AE444,2)</f>
        <v>0</v>
      </c>
      <c r="AG444" s="38"/>
      <c r="AH444" s="38">
        <f t="shared" ref="AH444" si="6351">TRUNC($M444 * AG444,2)</f>
        <v>0</v>
      </c>
      <c r="AI444" s="38"/>
      <c r="AJ444" s="38">
        <f t="shared" ref="AJ444" si="6352">TRUNC($M444 * AI444,2)</f>
        <v>0</v>
      </c>
      <c r="AK444" s="38"/>
      <c r="AL444" s="38">
        <f t="shared" ref="AL444" si="6353">TRUNC($M444 * AK444,2)</f>
        <v>0</v>
      </c>
      <c r="AM444" s="38"/>
      <c r="AN444" s="38">
        <f t="shared" ref="AN444" si="6354">TRUNC($M444 * AM444,2)</f>
        <v>0</v>
      </c>
      <c r="AO444" s="38"/>
      <c r="AP444" s="38">
        <f t="shared" ref="AP444" si="6355">TRUNC($M444 * AO444,2)</f>
        <v>0</v>
      </c>
      <c r="AQ444" s="38"/>
      <c r="AR444" s="38">
        <f t="shared" ref="AR444" si="6356">TRUNC($M444 * AQ444,2)</f>
        <v>0</v>
      </c>
      <c r="AS444" s="38"/>
      <c r="AT444" s="38">
        <f t="shared" ref="AT444" si="6357">TRUNC($M444 * AS444,2)</f>
        <v>0</v>
      </c>
      <c r="AU444" s="38"/>
      <c r="AV444" s="38">
        <f t="shared" ref="AV444" si="6358">TRUNC($M444 * AU444,2)</f>
        <v>0</v>
      </c>
      <c r="AW444" s="38"/>
      <c r="AX444" s="37">
        <f t="shared" ref="AX444" si="6359">TRUNC($M444 * AW444,2)</f>
        <v>0</v>
      </c>
      <c r="AY444" s="36">
        <f t="shared" si="6256"/>
        <v>0</v>
      </c>
      <c r="AZ444" s="38">
        <f t="shared" ref="AZ444" si="6360">TRUNC($M444 * AY444,2)</f>
        <v>0</v>
      </c>
      <c r="BA444" s="38">
        <f t="shared" si="6258"/>
        <v>485</v>
      </c>
      <c r="BB444" s="37">
        <f t="shared" ref="BB444" si="6361">TRUNC($M444 * BA444,2)</f>
        <v>27043.599999999999</v>
      </c>
    </row>
    <row r="445" spans="1:54" ht="26.1" customHeight="1" x14ac:dyDescent="0.25">
      <c r="A445" s="31" t="s">
        <v>1256</v>
      </c>
      <c r="B445" s="31" t="s">
        <v>894</v>
      </c>
      <c r="C445" s="31" t="s">
        <v>245</v>
      </c>
      <c r="D445" s="31" t="s">
        <v>895</v>
      </c>
      <c r="E445" s="32" t="s">
        <v>218</v>
      </c>
      <c r="F445" s="33">
        <v>12</v>
      </c>
      <c r="G445" s="34">
        <v>42.09</v>
      </c>
      <c r="H445" s="34">
        <f t="shared" si="6235"/>
        <v>38.75</v>
      </c>
      <c r="I445" s="34">
        <f t="shared" si="6236"/>
        <v>465</v>
      </c>
      <c r="J445" s="34">
        <f>(TRUNC(H445 * L14,2) + H445)</f>
        <v>46.63</v>
      </c>
      <c r="K445" s="34">
        <f t="shared" si="6237"/>
        <v>559.55999999999995</v>
      </c>
      <c r="L445" s="35">
        <f>K445 / L13</f>
        <v>1.9295172413793098E-4</v>
      </c>
      <c r="M445" s="36">
        <v>8.7899999999999991</v>
      </c>
      <c r="N445" s="37">
        <f t="shared" si="6238"/>
        <v>105.48</v>
      </c>
      <c r="O445" s="36"/>
      <c r="P445" s="38">
        <f t="shared" si="6239"/>
        <v>0</v>
      </c>
      <c r="Q445" s="38"/>
      <c r="R445" s="38">
        <f t="shared" si="6239"/>
        <v>0</v>
      </c>
      <c r="S445" s="38">
        <f t="shared" si="6240"/>
        <v>12</v>
      </c>
      <c r="T445" s="37">
        <f t="shared" ref="T445:V445" si="6362">TRUNC($M445 * S445,2)</f>
        <v>105.48</v>
      </c>
      <c r="U445" s="36"/>
      <c r="V445" s="38">
        <f t="shared" si="6362"/>
        <v>0</v>
      </c>
      <c r="W445" s="38"/>
      <c r="X445" s="38">
        <f t="shared" ref="X445" si="6363">TRUNC($M445 * W445,2)</f>
        <v>0</v>
      </c>
      <c r="Y445" s="38"/>
      <c r="Z445" s="38">
        <f t="shared" ref="Z445" si="6364">TRUNC($M445 * Y445,2)</f>
        <v>0</v>
      </c>
      <c r="AA445" s="38"/>
      <c r="AB445" s="38">
        <f t="shared" ref="AB445" si="6365">TRUNC($M445 * AA445,2)</f>
        <v>0</v>
      </c>
      <c r="AC445" s="38"/>
      <c r="AD445" s="38">
        <f t="shared" ref="AD445" si="6366">TRUNC($M445 * AC445,2)</f>
        <v>0</v>
      </c>
      <c r="AE445" s="38"/>
      <c r="AF445" s="38">
        <f t="shared" ref="AF445" si="6367">TRUNC($M445 * AE445,2)</f>
        <v>0</v>
      </c>
      <c r="AG445" s="38"/>
      <c r="AH445" s="38">
        <f t="shared" ref="AH445" si="6368">TRUNC($M445 * AG445,2)</f>
        <v>0</v>
      </c>
      <c r="AI445" s="38"/>
      <c r="AJ445" s="38">
        <f t="shared" ref="AJ445" si="6369">TRUNC($M445 * AI445,2)</f>
        <v>0</v>
      </c>
      <c r="AK445" s="38"/>
      <c r="AL445" s="38">
        <f t="shared" ref="AL445" si="6370">TRUNC($M445 * AK445,2)</f>
        <v>0</v>
      </c>
      <c r="AM445" s="38"/>
      <c r="AN445" s="38">
        <f t="shared" ref="AN445" si="6371">TRUNC($M445 * AM445,2)</f>
        <v>0</v>
      </c>
      <c r="AO445" s="38"/>
      <c r="AP445" s="38">
        <f t="shared" ref="AP445" si="6372">TRUNC($M445 * AO445,2)</f>
        <v>0</v>
      </c>
      <c r="AQ445" s="38"/>
      <c r="AR445" s="38">
        <f t="shared" ref="AR445" si="6373">TRUNC($M445 * AQ445,2)</f>
        <v>0</v>
      </c>
      <c r="AS445" s="38"/>
      <c r="AT445" s="38">
        <f t="shared" ref="AT445" si="6374">TRUNC($M445 * AS445,2)</f>
        <v>0</v>
      </c>
      <c r="AU445" s="38"/>
      <c r="AV445" s="38">
        <f t="shared" ref="AV445" si="6375">TRUNC($M445 * AU445,2)</f>
        <v>0</v>
      </c>
      <c r="AW445" s="38"/>
      <c r="AX445" s="37">
        <f t="shared" ref="AX445" si="6376">TRUNC($M445 * AW445,2)</f>
        <v>0</v>
      </c>
      <c r="AY445" s="36">
        <f t="shared" si="6256"/>
        <v>0</v>
      </c>
      <c r="AZ445" s="38">
        <f t="shared" ref="AZ445" si="6377">TRUNC($M445 * AY445,2)</f>
        <v>0</v>
      </c>
      <c r="BA445" s="38">
        <f t="shared" si="6258"/>
        <v>12</v>
      </c>
      <c r="BB445" s="37">
        <f t="shared" ref="BB445" si="6378">TRUNC($M445 * BA445,2)</f>
        <v>105.48</v>
      </c>
    </row>
    <row r="446" spans="1:54" ht="26.1" customHeight="1" x14ac:dyDescent="0.25">
      <c r="A446" s="31" t="s">
        <v>1257</v>
      </c>
      <c r="B446" s="31" t="s">
        <v>896</v>
      </c>
      <c r="C446" s="31" t="s">
        <v>245</v>
      </c>
      <c r="D446" s="31" t="s">
        <v>897</v>
      </c>
      <c r="E446" s="32" t="s">
        <v>218</v>
      </c>
      <c r="F446" s="33">
        <v>52</v>
      </c>
      <c r="G446" s="34">
        <v>33.86</v>
      </c>
      <c r="H446" s="34">
        <f t="shared" si="6235"/>
        <v>31.17</v>
      </c>
      <c r="I446" s="34">
        <f t="shared" si="6236"/>
        <v>1620.84</v>
      </c>
      <c r="J446" s="34">
        <f>(TRUNC(H446 * L14,2) + H446)</f>
        <v>37.5</v>
      </c>
      <c r="K446" s="34">
        <f t="shared" si="6237"/>
        <v>1950</v>
      </c>
      <c r="L446" s="35">
        <f>K446 / L13</f>
        <v>6.7241379310344822E-4</v>
      </c>
      <c r="M446" s="36">
        <v>7.07</v>
      </c>
      <c r="N446" s="37">
        <f t="shared" si="6238"/>
        <v>367.64</v>
      </c>
      <c r="O446" s="36"/>
      <c r="P446" s="38">
        <f t="shared" si="6239"/>
        <v>0</v>
      </c>
      <c r="Q446" s="38"/>
      <c r="R446" s="38">
        <f t="shared" si="6239"/>
        <v>0</v>
      </c>
      <c r="S446" s="38">
        <f t="shared" si="6240"/>
        <v>52</v>
      </c>
      <c r="T446" s="37">
        <f t="shared" ref="T446:V446" si="6379">TRUNC($M446 * S446,2)</f>
        <v>367.64</v>
      </c>
      <c r="U446" s="36"/>
      <c r="V446" s="38">
        <f t="shared" si="6379"/>
        <v>0</v>
      </c>
      <c r="W446" s="38"/>
      <c r="X446" s="38">
        <f t="shared" ref="X446" si="6380">TRUNC($M446 * W446,2)</f>
        <v>0</v>
      </c>
      <c r="Y446" s="38"/>
      <c r="Z446" s="38">
        <f t="shared" ref="Z446" si="6381">TRUNC($M446 * Y446,2)</f>
        <v>0</v>
      </c>
      <c r="AA446" s="38"/>
      <c r="AB446" s="38">
        <f t="shared" ref="AB446" si="6382">TRUNC($M446 * AA446,2)</f>
        <v>0</v>
      </c>
      <c r="AC446" s="38"/>
      <c r="AD446" s="38">
        <f t="shared" ref="AD446" si="6383">TRUNC($M446 * AC446,2)</f>
        <v>0</v>
      </c>
      <c r="AE446" s="38"/>
      <c r="AF446" s="38">
        <f t="shared" ref="AF446" si="6384">TRUNC($M446 * AE446,2)</f>
        <v>0</v>
      </c>
      <c r="AG446" s="38"/>
      <c r="AH446" s="38">
        <f t="shared" ref="AH446" si="6385">TRUNC($M446 * AG446,2)</f>
        <v>0</v>
      </c>
      <c r="AI446" s="38"/>
      <c r="AJ446" s="38">
        <f t="shared" ref="AJ446" si="6386">TRUNC($M446 * AI446,2)</f>
        <v>0</v>
      </c>
      <c r="AK446" s="38"/>
      <c r="AL446" s="38">
        <f t="shared" ref="AL446" si="6387">TRUNC($M446 * AK446,2)</f>
        <v>0</v>
      </c>
      <c r="AM446" s="38"/>
      <c r="AN446" s="38">
        <f t="shared" ref="AN446" si="6388">TRUNC($M446 * AM446,2)</f>
        <v>0</v>
      </c>
      <c r="AO446" s="38"/>
      <c r="AP446" s="38">
        <f t="shared" ref="AP446" si="6389">TRUNC($M446 * AO446,2)</f>
        <v>0</v>
      </c>
      <c r="AQ446" s="38"/>
      <c r="AR446" s="38">
        <f t="shared" ref="AR446" si="6390">TRUNC($M446 * AQ446,2)</f>
        <v>0</v>
      </c>
      <c r="AS446" s="38"/>
      <c r="AT446" s="38">
        <f t="shared" ref="AT446" si="6391">TRUNC($M446 * AS446,2)</f>
        <v>0</v>
      </c>
      <c r="AU446" s="38"/>
      <c r="AV446" s="38">
        <f t="shared" ref="AV446" si="6392">TRUNC($M446 * AU446,2)</f>
        <v>0</v>
      </c>
      <c r="AW446" s="38"/>
      <c r="AX446" s="37">
        <f t="shared" ref="AX446" si="6393">TRUNC($M446 * AW446,2)</f>
        <v>0</v>
      </c>
      <c r="AY446" s="36">
        <f t="shared" si="6256"/>
        <v>0</v>
      </c>
      <c r="AZ446" s="38">
        <f t="shared" ref="AZ446" si="6394">TRUNC($M446 * AY446,2)</f>
        <v>0</v>
      </c>
      <c r="BA446" s="38">
        <f t="shared" si="6258"/>
        <v>52</v>
      </c>
      <c r="BB446" s="37">
        <f t="shared" ref="BB446" si="6395">TRUNC($M446 * BA446,2)</f>
        <v>367.64</v>
      </c>
    </row>
    <row r="447" spans="1:54" ht="24" customHeight="1" x14ac:dyDescent="0.25">
      <c r="A447" s="31" t="s">
        <v>1258</v>
      </c>
      <c r="B447" s="31" t="s">
        <v>898</v>
      </c>
      <c r="C447" s="31" t="s">
        <v>24</v>
      </c>
      <c r="D447" s="31" t="s">
        <v>899</v>
      </c>
      <c r="E447" s="32" t="s">
        <v>171</v>
      </c>
      <c r="F447" s="33">
        <v>74</v>
      </c>
      <c r="G447" s="34">
        <v>84.46</v>
      </c>
      <c r="H447" s="34">
        <f t="shared" si="6235"/>
        <v>77.760000000000005</v>
      </c>
      <c r="I447" s="34">
        <f t="shared" si="6236"/>
        <v>5754.24</v>
      </c>
      <c r="J447" s="34">
        <f>(TRUNC(H447 * L14,2) + H447)</f>
        <v>93.570000000000007</v>
      </c>
      <c r="K447" s="34">
        <f t="shared" si="6237"/>
        <v>6924.18</v>
      </c>
      <c r="L447" s="35">
        <f>K447 / L13</f>
        <v>2.3876482758620689E-3</v>
      </c>
      <c r="M447" s="36">
        <v>67.66</v>
      </c>
      <c r="N447" s="37">
        <f t="shared" si="6238"/>
        <v>5006.84</v>
      </c>
      <c r="O447" s="36"/>
      <c r="P447" s="38">
        <f t="shared" si="6239"/>
        <v>0</v>
      </c>
      <c r="Q447" s="38"/>
      <c r="R447" s="38">
        <f t="shared" si="6239"/>
        <v>0</v>
      </c>
      <c r="S447" s="38">
        <f t="shared" si="6240"/>
        <v>74</v>
      </c>
      <c r="T447" s="37">
        <f t="shared" ref="T447:V447" si="6396">TRUNC($M447 * S447,2)</f>
        <v>5006.84</v>
      </c>
      <c r="U447" s="36"/>
      <c r="V447" s="38">
        <f t="shared" si="6396"/>
        <v>0</v>
      </c>
      <c r="W447" s="38"/>
      <c r="X447" s="38">
        <f t="shared" ref="X447" si="6397">TRUNC($M447 * W447,2)</f>
        <v>0</v>
      </c>
      <c r="Y447" s="38"/>
      <c r="Z447" s="38">
        <f t="shared" ref="Z447" si="6398">TRUNC($M447 * Y447,2)</f>
        <v>0</v>
      </c>
      <c r="AA447" s="38"/>
      <c r="AB447" s="38">
        <f t="shared" ref="AB447" si="6399">TRUNC($M447 * AA447,2)</f>
        <v>0</v>
      </c>
      <c r="AC447" s="38"/>
      <c r="AD447" s="38">
        <f t="shared" ref="AD447" si="6400">TRUNC($M447 * AC447,2)</f>
        <v>0</v>
      </c>
      <c r="AE447" s="38"/>
      <c r="AF447" s="38">
        <f t="shared" ref="AF447" si="6401">TRUNC($M447 * AE447,2)</f>
        <v>0</v>
      </c>
      <c r="AG447" s="38"/>
      <c r="AH447" s="38">
        <f t="shared" ref="AH447" si="6402">TRUNC($M447 * AG447,2)</f>
        <v>0</v>
      </c>
      <c r="AI447" s="38"/>
      <c r="AJ447" s="38">
        <f t="shared" ref="AJ447" si="6403">TRUNC($M447 * AI447,2)</f>
        <v>0</v>
      </c>
      <c r="AK447" s="38"/>
      <c r="AL447" s="38">
        <f t="shared" ref="AL447" si="6404">TRUNC($M447 * AK447,2)</f>
        <v>0</v>
      </c>
      <c r="AM447" s="38"/>
      <c r="AN447" s="38">
        <f t="shared" ref="AN447" si="6405">TRUNC($M447 * AM447,2)</f>
        <v>0</v>
      </c>
      <c r="AO447" s="38"/>
      <c r="AP447" s="38">
        <f t="shared" ref="AP447" si="6406">TRUNC($M447 * AO447,2)</f>
        <v>0</v>
      </c>
      <c r="AQ447" s="38"/>
      <c r="AR447" s="38">
        <f t="shared" ref="AR447" si="6407">TRUNC($M447 * AQ447,2)</f>
        <v>0</v>
      </c>
      <c r="AS447" s="38"/>
      <c r="AT447" s="38">
        <f t="shared" ref="AT447" si="6408">TRUNC($M447 * AS447,2)</f>
        <v>0</v>
      </c>
      <c r="AU447" s="38"/>
      <c r="AV447" s="38">
        <f t="shared" ref="AV447" si="6409">TRUNC($M447 * AU447,2)</f>
        <v>0</v>
      </c>
      <c r="AW447" s="38"/>
      <c r="AX447" s="37">
        <f t="shared" ref="AX447" si="6410">TRUNC($M447 * AW447,2)</f>
        <v>0</v>
      </c>
      <c r="AY447" s="36">
        <f t="shared" si="6256"/>
        <v>0</v>
      </c>
      <c r="AZ447" s="38">
        <f t="shared" ref="AZ447" si="6411">TRUNC($M447 * AY447,2)</f>
        <v>0</v>
      </c>
      <c r="BA447" s="38">
        <f t="shared" si="6258"/>
        <v>74</v>
      </c>
      <c r="BB447" s="37">
        <f t="shared" ref="BB447" si="6412">TRUNC($M447 * BA447,2)</f>
        <v>5006.84</v>
      </c>
    </row>
    <row r="448" spans="1:54" ht="26.1" customHeight="1" x14ac:dyDescent="0.25">
      <c r="A448" s="31" t="s">
        <v>1259</v>
      </c>
      <c r="B448" s="31" t="s">
        <v>900</v>
      </c>
      <c r="C448" s="31" t="s">
        <v>24</v>
      </c>
      <c r="D448" s="31" t="s">
        <v>901</v>
      </c>
      <c r="E448" s="32" t="s">
        <v>171</v>
      </c>
      <c r="F448" s="33">
        <v>48</v>
      </c>
      <c r="G448" s="34">
        <v>2.19</v>
      </c>
      <c r="H448" s="34">
        <f t="shared" si="6235"/>
        <v>2.0099999999999998</v>
      </c>
      <c r="I448" s="34">
        <f t="shared" si="6236"/>
        <v>96.48</v>
      </c>
      <c r="J448" s="34">
        <f>(TRUNC(H448 * L14,2) + H448)</f>
        <v>2.4099999999999997</v>
      </c>
      <c r="K448" s="34">
        <f t="shared" si="6237"/>
        <v>115.68</v>
      </c>
      <c r="L448" s="35">
        <f>K448 / L13</f>
        <v>3.9889655172413789E-5</v>
      </c>
      <c r="M448" s="36">
        <v>2.23</v>
      </c>
      <c r="N448" s="37">
        <f t="shared" si="6238"/>
        <v>107.04</v>
      </c>
      <c r="O448" s="36"/>
      <c r="P448" s="38">
        <f t="shared" si="6239"/>
        <v>0</v>
      </c>
      <c r="Q448" s="38"/>
      <c r="R448" s="38">
        <f t="shared" si="6239"/>
        <v>0</v>
      </c>
      <c r="S448" s="38">
        <f t="shared" si="6240"/>
        <v>48</v>
      </c>
      <c r="T448" s="37">
        <f t="shared" ref="T448:V448" si="6413">TRUNC($M448 * S448,2)</f>
        <v>107.04</v>
      </c>
      <c r="U448" s="36"/>
      <c r="V448" s="38">
        <f t="shared" si="6413"/>
        <v>0</v>
      </c>
      <c r="W448" s="38"/>
      <c r="X448" s="38">
        <f t="shared" ref="X448" si="6414">TRUNC($M448 * W448,2)</f>
        <v>0</v>
      </c>
      <c r="Y448" s="38"/>
      <c r="Z448" s="38">
        <f t="shared" ref="Z448" si="6415">TRUNC($M448 * Y448,2)</f>
        <v>0</v>
      </c>
      <c r="AA448" s="38"/>
      <c r="AB448" s="38">
        <f t="shared" ref="AB448" si="6416">TRUNC($M448 * AA448,2)</f>
        <v>0</v>
      </c>
      <c r="AC448" s="38"/>
      <c r="AD448" s="38">
        <f t="shared" ref="AD448" si="6417">TRUNC($M448 * AC448,2)</f>
        <v>0</v>
      </c>
      <c r="AE448" s="38"/>
      <c r="AF448" s="38">
        <f t="shared" ref="AF448" si="6418">TRUNC($M448 * AE448,2)</f>
        <v>0</v>
      </c>
      <c r="AG448" s="38"/>
      <c r="AH448" s="38">
        <f t="shared" ref="AH448" si="6419">TRUNC($M448 * AG448,2)</f>
        <v>0</v>
      </c>
      <c r="AI448" s="38"/>
      <c r="AJ448" s="38">
        <f t="shared" ref="AJ448" si="6420">TRUNC($M448 * AI448,2)</f>
        <v>0</v>
      </c>
      <c r="AK448" s="38"/>
      <c r="AL448" s="38">
        <f t="shared" ref="AL448" si="6421">TRUNC($M448 * AK448,2)</f>
        <v>0</v>
      </c>
      <c r="AM448" s="38"/>
      <c r="AN448" s="38">
        <f t="shared" ref="AN448" si="6422">TRUNC($M448 * AM448,2)</f>
        <v>0</v>
      </c>
      <c r="AO448" s="38"/>
      <c r="AP448" s="38">
        <f t="shared" ref="AP448" si="6423">TRUNC($M448 * AO448,2)</f>
        <v>0</v>
      </c>
      <c r="AQ448" s="38"/>
      <c r="AR448" s="38">
        <f t="shared" ref="AR448" si="6424">TRUNC($M448 * AQ448,2)</f>
        <v>0</v>
      </c>
      <c r="AS448" s="38"/>
      <c r="AT448" s="38">
        <f t="shared" ref="AT448" si="6425">TRUNC($M448 * AS448,2)</f>
        <v>0</v>
      </c>
      <c r="AU448" s="38"/>
      <c r="AV448" s="38">
        <f t="shared" ref="AV448" si="6426">TRUNC($M448 * AU448,2)</f>
        <v>0</v>
      </c>
      <c r="AW448" s="38"/>
      <c r="AX448" s="37">
        <f t="shared" ref="AX448" si="6427">TRUNC($M448 * AW448,2)</f>
        <v>0</v>
      </c>
      <c r="AY448" s="36">
        <f t="shared" si="6256"/>
        <v>0</v>
      </c>
      <c r="AZ448" s="38">
        <f t="shared" ref="AZ448" si="6428">TRUNC($M448 * AY448,2)</f>
        <v>0</v>
      </c>
      <c r="BA448" s="38">
        <f t="shared" si="6258"/>
        <v>48</v>
      </c>
      <c r="BB448" s="37">
        <f t="shared" ref="BB448" si="6429">TRUNC($M448 * BA448,2)</f>
        <v>107.04</v>
      </c>
    </row>
    <row r="449" spans="1:54" ht="51.9" customHeight="1" x14ac:dyDescent="0.25">
      <c r="A449" s="31" t="s">
        <v>1260</v>
      </c>
      <c r="B449" s="31" t="s">
        <v>902</v>
      </c>
      <c r="C449" s="31" t="s">
        <v>34</v>
      </c>
      <c r="D449" s="31" t="s">
        <v>903</v>
      </c>
      <c r="E449" s="32" t="s">
        <v>218</v>
      </c>
      <c r="F449" s="33">
        <v>18</v>
      </c>
      <c r="G449" s="34">
        <v>26.06</v>
      </c>
      <c r="H449" s="34">
        <f>TRUNC(G449*$L$1,2)</f>
        <v>23.99</v>
      </c>
      <c r="I449" s="34">
        <f t="shared" si="6236"/>
        <v>431.82</v>
      </c>
      <c r="J449" s="34">
        <f>(TRUNC(H449 * L14,2) + H449)</f>
        <v>28.86</v>
      </c>
      <c r="K449" s="34">
        <f t="shared" si="6237"/>
        <v>519.48</v>
      </c>
      <c r="L449" s="35">
        <f>K449 / L13</f>
        <v>1.791310344827586E-4</v>
      </c>
      <c r="M449" s="36">
        <v>21.88</v>
      </c>
      <c r="N449" s="37">
        <f t="shared" si="6238"/>
        <v>393.84</v>
      </c>
      <c r="O449" s="36"/>
      <c r="P449" s="38">
        <f t="shared" si="6239"/>
        <v>0</v>
      </c>
      <c r="Q449" s="38"/>
      <c r="R449" s="38">
        <f t="shared" si="6239"/>
        <v>0</v>
      </c>
      <c r="S449" s="38">
        <f t="shared" si="6240"/>
        <v>18</v>
      </c>
      <c r="T449" s="37">
        <f t="shared" ref="T449:V449" si="6430">TRUNC($M449 * S449,2)</f>
        <v>393.84</v>
      </c>
      <c r="U449" s="36"/>
      <c r="V449" s="38">
        <f t="shared" si="6430"/>
        <v>0</v>
      </c>
      <c r="W449" s="38"/>
      <c r="X449" s="38">
        <f t="shared" ref="X449" si="6431">TRUNC($M449 * W449,2)</f>
        <v>0</v>
      </c>
      <c r="Y449" s="38"/>
      <c r="Z449" s="38">
        <f t="shared" ref="Z449" si="6432">TRUNC($M449 * Y449,2)</f>
        <v>0</v>
      </c>
      <c r="AA449" s="38"/>
      <c r="AB449" s="38">
        <f t="shared" ref="AB449" si="6433">TRUNC($M449 * AA449,2)</f>
        <v>0</v>
      </c>
      <c r="AC449" s="38"/>
      <c r="AD449" s="38">
        <f t="shared" ref="AD449" si="6434">TRUNC($M449 * AC449,2)</f>
        <v>0</v>
      </c>
      <c r="AE449" s="38"/>
      <c r="AF449" s="38">
        <f t="shared" ref="AF449" si="6435">TRUNC($M449 * AE449,2)</f>
        <v>0</v>
      </c>
      <c r="AG449" s="38"/>
      <c r="AH449" s="38">
        <f t="shared" ref="AH449" si="6436">TRUNC($M449 * AG449,2)</f>
        <v>0</v>
      </c>
      <c r="AI449" s="38"/>
      <c r="AJ449" s="38">
        <f t="shared" ref="AJ449" si="6437">TRUNC($M449 * AI449,2)</f>
        <v>0</v>
      </c>
      <c r="AK449" s="38"/>
      <c r="AL449" s="38">
        <f t="shared" ref="AL449" si="6438">TRUNC($M449 * AK449,2)</f>
        <v>0</v>
      </c>
      <c r="AM449" s="38"/>
      <c r="AN449" s="38">
        <f t="shared" ref="AN449" si="6439">TRUNC($M449 * AM449,2)</f>
        <v>0</v>
      </c>
      <c r="AO449" s="38"/>
      <c r="AP449" s="38">
        <f t="shared" ref="AP449" si="6440">TRUNC($M449 * AO449,2)</f>
        <v>0</v>
      </c>
      <c r="AQ449" s="38"/>
      <c r="AR449" s="38">
        <f t="shared" ref="AR449" si="6441">TRUNC($M449 * AQ449,2)</f>
        <v>0</v>
      </c>
      <c r="AS449" s="38"/>
      <c r="AT449" s="38">
        <f t="shared" ref="AT449" si="6442">TRUNC($M449 * AS449,2)</f>
        <v>0</v>
      </c>
      <c r="AU449" s="38"/>
      <c r="AV449" s="38">
        <f t="shared" ref="AV449" si="6443">TRUNC($M449 * AU449,2)</f>
        <v>0</v>
      </c>
      <c r="AW449" s="38"/>
      <c r="AX449" s="37">
        <f t="shared" ref="AX449" si="6444">TRUNC($M449 * AW449,2)</f>
        <v>0</v>
      </c>
      <c r="AY449" s="36">
        <f t="shared" si="6256"/>
        <v>0</v>
      </c>
      <c r="AZ449" s="38">
        <f t="shared" ref="AZ449" si="6445">TRUNC($M449 * AY449,2)</f>
        <v>0</v>
      </c>
      <c r="BA449" s="38">
        <f t="shared" si="6258"/>
        <v>18</v>
      </c>
      <c r="BB449" s="37">
        <f t="shared" ref="BB449" si="6446">TRUNC($M449 * BA449,2)</f>
        <v>393.84</v>
      </c>
    </row>
    <row r="450" spans="1:54" ht="24" customHeight="1" x14ac:dyDescent="0.25">
      <c r="A450" s="4" t="s">
        <v>1261</v>
      </c>
      <c r="B450" s="4" t="s">
        <v>12</v>
      </c>
      <c r="C450" s="4"/>
      <c r="D450" s="4" t="s">
        <v>433</v>
      </c>
      <c r="E450" s="5"/>
      <c r="F450" s="14"/>
      <c r="G450" s="6"/>
      <c r="H450" s="6"/>
      <c r="I450" s="7">
        <f>SUM(I451:I454)</f>
        <v>21721.17</v>
      </c>
      <c r="J450" s="7"/>
      <c r="K450" s="7">
        <f>SUM(K451:K454)</f>
        <v>26139.22</v>
      </c>
      <c r="L450" s="22">
        <f>K450 / L13</f>
        <v>9.0135241379310331E-3</v>
      </c>
      <c r="M450" s="25"/>
      <c r="N450" s="26">
        <f>SUM(N451:N454)</f>
        <v>4928.2999999999993</v>
      </c>
      <c r="O450" s="25"/>
      <c r="P450" s="30">
        <f>SUM(P451:P454)</f>
        <v>0</v>
      </c>
      <c r="Q450" s="30"/>
      <c r="R450" s="30">
        <f>SUM(R451:R454)</f>
        <v>0</v>
      </c>
      <c r="S450" s="30"/>
      <c r="T450" s="26">
        <f>SUM(T451:T454)</f>
        <v>4928.2999999999993</v>
      </c>
      <c r="U450" s="25"/>
      <c r="V450" s="30">
        <f>SUM(V451:V454)</f>
        <v>0</v>
      </c>
      <c r="W450" s="30"/>
      <c r="X450" s="30">
        <f>SUM(X451:X454)</f>
        <v>0</v>
      </c>
      <c r="Y450" s="30"/>
      <c r="Z450" s="30">
        <f>SUM(Z451:Z454)</f>
        <v>0</v>
      </c>
      <c r="AA450" s="30"/>
      <c r="AB450" s="30">
        <f>SUM(AB451:AB454)</f>
        <v>0</v>
      </c>
      <c r="AC450" s="30"/>
      <c r="AD450" s="30">
        <f>SUM(AD451:AD454)</f>
        <v>0</v>
      </c>
      <c r="AE450" s="30"/>
      <c r="AF450" s="30">
        <f>SUM(AF451:AF454)</f>
        <v>0</v>
      </c>
      <c r="AG450" s="30"/>
      <c r="AH450" s="30">
        <f>SUM(AH451:AH454)</f>
        <v>0</v>
      </c>
      <c r="AI450" s="30"/>
      <c r="AJ450" s="30">
        <f>SUM(AJ451:AJ454)</f>
        <v>0</v>
      </c>
      <c r="AK450" s="30"/>
      <c r="AL450" s="30">
        <f>SUM(AL451:AL454)</f>
        <v>0</v>
      </c>
      <c r="AM450" s="30"/>
      <c r="AN450" s="30">
        <f>SUM(AN451:AN454)</f>
        <v>0</v>
      </c>
      <c r="AO450" s="30"/>
      <c r="AP450" s="30">
        <f>SUM(AP451:AP454)</f>
        <v>0</v>
      </c>
      <c r="AQ450" s="30"/>
      <c r="AR450" s="30">
        <f>SUM(AR451:AR454)</f>
        <v>0</v>
      </c>
      <c r="AS450" s="30"/>
      <c r="AT450" s="30">
        <f>SUM(AT451:AT454)</f>
        <v>0</v>
      </c>
      <c r="AU450" s="30"/>
      <c r="AV450" s="30">
        <f>SUM(AV451:AV454)</f>
        <v>0</v>
      </c>
      <c r="AW450" s="30"/>
      <c r="AX450" s="26">
        <f>SUM(AX451:AX454)</f>
        <v>0</v>
      </c>
      <c r="AY450" s="25"/>
      <c r="AZ450" s="30">
        <f>SUM(AZ451:AZ454)</f>
        <v>0</v>
      </c>
      <c r="BA450" s="30"/>
      <c r="BB450" s="26">
        <f>SUM(BB451:BB454)</f>
        <v>4928.2999999999993</v>
      </c>
    </row>
    <row r="451" spans="1:54" ht="24" customHeight="1" x14ac:dyDescent="0.25">
      <c r="A451" s="31" t="s">
        <v>1262</v>
      </c>
      <c r="B451" s="31" t="s">
        <v>904</v>
      </c>
      <c r="C451" s="31" t="s">
        <v>245</v>
      </c>
      <c r="D451" s="31" t="s">
        <v>905</v>
      </c>
      <c r="E451" s="32" t="s">
        <v>36</v>
      </c>
      <c r="F451" s="33">
        <v>1</v>
      </c>
      <c r="G451" s="34">
        <v>6787.1</v>
      </c>
      <c r="H451" s="34">
        <f>TRUNC(G451*$L$1,2)</f>
        <v>6249.16</v>
      </c>
      <c r="I451" s="34">
        <f t="shared" si="6236"/>
        <v>6249.16</v>
      </c>
      <c r="J451" s="34">
        <f>(TRUNC(H451 * L14,2) + H451)</f>
        <v>7520.23</v>
      </c>
      <c r="K451" s="34">
        <f>TRUNC(F451 * J451,2)</f>
        <v>7520.23</v>
      </c>
      <c r="L451" s="35">
        <f>K451 / L13</f>
        <v>2.5931827586206891E-3</v>
      </c>
      <c r="M451" s="36">
        <v>1417.87</v>
      </c>
      <c r="N451" s="37">
        <f t="shared" si="6238"/>
        <v>1417.87</v>
      </c>
      <c r="O451" s="36"/>
      <c r="P451" s="38">
        <f t="shared" si="6239"/>
        <v>0</v>
      </c>
      <c r="Q451" s="38"/>
      <c r="R451" s="38">
        <f t="shared" si="6239"/>
        <v>0</v>
      </c>
      <c r="S451" s="38">
        <f t="shared" si="6240"/>
        <v>1</v>
      </c>
      <c r="T451" s="37">
        <f t="shared" ref="T451:V451" si="6447">TRUNC($M451 * S451,2)</f>
        <v>1417.87</v>
      </c>
      <c r="U451" s="36"/>
      <c r="V451" s="38">
        <f t="shared" si="6447"/>
        <v>0</v>
      </c>
      <c r="W451" s="38"/>
      <c r="X451" s="38">
        <f t="shared" ref="X451" si="6448">TRUNC($M451 * W451,2)</f>
        <v>0</v>
      </c>
      <c r="Y451" s="38"/>
      <c r="Z451" s="38">
        <f t="shared" ref="Z451" si="6449">TRUNC($M451 * Y451,2)</f>
        <v>0</v>
      </c>
      <c r="AA451" s="38"/>
      <c r="AB451" s="38">
        <f t="shared" ref="AB451" si="6450">TRUNC($M451 * AA451,2)</f>
        <v>0</v>
      </c>
      <c r="AC451" s="38"/>
      <c r="AD451" s="38">
        <f t="shared" ref="AD451" si="6451">TRUNC($M451 * AC451,2)</f>
        <v>0</v>
      </c>
      <c r="AE451" s="38"/>
      <c r="AF451" s="38">
        <f t="shared" ref="AF451" si="6452">TRUNC($M451 * AE451,2)</f>
        <v>0</v>
      </c>
      <c r="AG451" s="38"/>
      <c r="AH451" s="38">
        <f t="shared" ref="AH451" si="6453">TRUNC($M451 * AG451,2)</f>
        <v>0</v>
      </c>
      <c r="AI451" s="38"/>
      <c r="AJ451" s="38">
        <f t="shared" ref="AJ451" si="6454">TRUNC($M451 * AI451,2)</f>
        <v>0</v>
      </c>
      <c r="AK451" s="38"/>
      <c r="AL451" s="38">
        <f t="shared" ref="AL451" si="6455">TRUNC($M451 * AK451,2)</f>
        <v>0</v>
      </c>
      <c r="AM451" s="38"/>
      <c r="AN451" s="38">
        <f t="shared" ref="AN451" si="6456">TRUNC($M451 * AM451,2)</f>
        <v>0</v>
      </c>
      <c r="AO451" s="38"/>
      <c r="AP451" s="38">
        <f t="shared" ref="AP451" si="6457">TRUNC($M451 * AO451,2)</f>
        <v>0</v>
      </c>
      <c r="AQ451" s="38"/>
      <c r="AR451" s="38">
        <f t="shared" ref="AR451" si="6458">TRUNC($M451 * AQ451,2)</f>
        <v>0</v>
      </c>
      <c r="AS451" s="38"/>
      <c r="AT451" s="38">
        <f t="shared" ref="AT451" si="6459">TRUNC($M451 * AS451,2)</f>
        <v>0</v>
      </c>
      <c r="AU451" s="38"/>
      <c r="AV451" s="38">
        <f t="shared" ref="AV451" si="6460">TRUNC($M451 * AU451,2)</f>
        <v>0</v>
      </c>
      <c r="AW451" s="38"/>
      <c r="AX451" s="37">
        <f t="shared" ref="AX451" si="6461">TRUNC($M451 * AW451,2)</f>
        <v>0</v>
      </c>
      <c r="AY451" s="36">
        <f t="shared" si="6256"/>
        <v>0</v>
      </c>
      <c r="AZ451" s="38">
        <f t="shared" ref="AZ451" si="6462">TRUNC($M451 * AY451,2)</f>
        <v>0</v>
      </c>
      <c r="BA451" s="38">
        <f t="shared" si="6258"/>
        <v>1</v>
      </c>
      <c r="BB451" s="37">
        <f t="shared" ref="BB451" si="6463">TRUNC($M451 * BA451,2)</f>
        <v>1417.87</v>
      </c>
    </row>
    <row r="452" spans="1:54" ht="26.1" customHeight="1" x14ac:dyDescent="0.25">
      <c r="A452" s="31" t="s">
        <v>1263</v>
      </c>
      <c r="B452" s="31" t="s">
        <v>906</v>
      </c>
      <c r="C452" s="31" t="s">
        <v>245</v>
      </c>
      <c r="D452" s="31" t="s">
        <v>907</v>
      </c>
      <c r="E452" s="32" t="s">
        <v>36</v>
      </c>
      <c r="F452" s="33">
        <v>1</v>
      </c>
      <c r="G452" s="34">
        <v>5315.11</v>
      </c>
      <c r="H452" s="34">
        <f t="shared" ref="H452:H471" si="6464">TRUNC(G452*$L$1,2)</f>
        <v>4893.83</v>
      </c>
      <c r="I452" s="34">
        <f t="shared" si="6236"/>
        <v>4893.83</v>
      </c>
      <c r="J452" s="34">
        <f>(TRUNC(H452 * L14,2) + H452)</f>
        <v>5889.23</v>
      </c>
      <c r="K452" s="34">
        <f>TRUNC(F452 * J452,2)</f>
        <v>5889.23</v>
      </c>
      <c r="L452" s="35">
        <f>K452 / L13</f>
        <v>2.0307689655172409E-3</v>
      </c>
      <c r="M452" s="36">
        <v>1110.3599999999999</v>
      </c>
      <c r="N452" s="37">
        <f t="shared" si="6238"/>
        <v>1110.3599999999999</v>
      </c>
      <c r="O452" s="36"/>
      <c r="P452" s="38">
        <f t="shared" si="6239"/>
        <v>0</v>
      </c>
      <c r="Q452" s="38"/>
      <c r="R452" s="38">
        <f t="shared" si="6239"/>
        <v>0</v>
      </c>
      <c r="S452" s="38">
        <f t="shared" si="6240"/>
        <v>1</v>
      </c>
      <c r="T452" s="37">
        <f t="shared" ref="T452:V452" si="6465">TRUNC($M452 * S452,2)</f>
        <v>1110.3599999999999</v>
      </c>
      <c r="U452" s="36"/>
      <c r="V452" s="38">
        <f t="shared" si="6465"/>
        <v>0</v>
      </c>
      <c r="W452" s="38"/>
      <c r="X452" s="38">
        <f t="shared" ref="X452" si="6466">TRUNC($M452 * W452,2)</f>
        <v>0</v>
      </c>
      <c r="Y452" s="38"/>
      <c r="Z452" s="38">
        <f t="shared" ref="Z452" si="6467">TRUNC($M452 * Y452,2)</f>
        <v>0</v>
      </c>
      <c r="AA452" s="38"/>
      <c r="AB452" s="38">
        <f t="shared" ref="AB452" si="6468">TRUNC($M452 * AA452,2)</f>
        <v>0</v>
      </c>
      <c r="AC452" s="38"/>
      <c r="AD452" s="38">
        <f t="shared" ref="AD452" si="6469">TRUNC($M452 * AC452,2)</f>
        <v>0</v>
      </c>
      <c r="AE452" s="38"/>
      <c r="AF452" s="38">
        <f t="shared" ref="AF452" si="6470">TRUNC($M452 * AE452,2)</f>
        <v>0</v>
      </c>
      <c r="AG452" s="38"/>
      <c r="AH452" s="38">
        <f t="shared" ref="AH452" si="6471">TRUNC($M452 * AG452,2)</f>
        <v>0</v>
      </c>
      <c r="AI452" s="38"/>
      <c r="AJ452" s="38">
        <f t="shared" ref="AJ452" si="6472">TRUNC($M452 * AI452,2)</f>
        <v>0</v>
      </c>
      <c r="AK452" s="38"/>
      <c r="AL452" s="38">
        <f t="shared" ref="AL452" si="6473">TRUNC($M452 * AK452,2)</f>
        <v>0</v>
      </c>
      <c r="AM452" s="38"/>
      <c r="AN452" s="38">
        <f t="shared" ref="AN452" si="6474">TRUNC($M452 * AM452,2)</f>
        <v>0</v>
      </c>
      <c r="AO452" s="38"/>
      <c r="AP452" s="38">
        <f t="shared" ref="AP452" si="6475">TRUNC($M452 * AO452,2)</f>
        <v>0</v>
      </c>
      <c r="AQ452" s="38"/>
      <c r="AR452" s="38">
        <f t="shared" ref="AR452" si="6476">TRUNC($M452 * AQ452,2)</f>
        <v>0</v>
      </c>
      <c r="AS452" s="38"/>
      <c r="AT452" s="38">
        <f t="shared" ref="AT452" si="6477">TRUNC($M452 * AS452,2)</f>
        <v>0</v>
      </c>
      <c r="AU452" s="38"/>
      <c r="AV452" s="38">
        <f t="shared" ref="AV452" si="6478">TRUNC($M452 * AU452,2)</f>
        <v>0</v>
      </c>
      <c r="AW452" s="38"/>
      <c r="AX452" s="37">
        <f t="shared" ref="AX452" si="6479">TRUNC($M452 * AW452,2)</f>
        <v>0</v>
      </c>
      <c r="AY452" s="36">
        <f t="shared" si="6256"/>
        <v>0</v>
      </c>
      <c r="AZ452" s="38">
        <f t="shared" ref="AZ452" si="6480">TRUNC($M452 * AY452,2)</f>
        <v>0</v>
      </c>
      <c r="BA452" s="38">
        <f t="shared" si="6258"/>
        <v>1</v>
      </c>
      <c r="BB452" s="37">
        <f t="shared" ref="BB452" si="6481">TRUNC($M452 * BA452,2)</f>
        <v>1110.3599999999999</v>
      </c>
    </row>
    <row r="453" spans="1:54" ht="26.1" customHeight="1" x14ac:dyDescent="0.25">
      <c r="A453" s="31" t="s">
        <v>1264</v>
      </c>
      <c r="B453" s="31" t="s">
        <v>908</v>
      </c>
      <c r="C453" s="31" t="s">
        <v>245</v>
      </c>
      <c r="D453" s="31" t="s">
        <v>909</v>
      </c>
      <c r="E453" s="32" t="s">
        <v>36</v>
      </c>
      <c r="F453" s="33">
        <v>3</v>
      </c>
      <c r="G453" s="34">
        <v>3756.14</v>
      </c>
      <c r="H453" s="34">
        <f t="shared" si="6464"/>
        <v>3458.43</v>
      </c>
      <c r="I453" s="34">
        <f t="shared" si="6236"/>
        <v>10375.290000000001</v>
      </c>
      <c r="J453" s="34">
        <f>(TRUNC(H453 * L14,2) + H453)</f>
        <v>4161.87</v>
      </c>
      <c r="K453" s="34">
        <f>TRUNC(F453 * J453,2)</f>
        <v>12485.61</v>
      </c>
      <c r="L453" s="35">
        <f>K453 / L13</f>
        <v>4.3053827586206888E-3</v>
      </c>
      <c r="M453" s="36">
        <v>784.68</v>
      </c>
      <c r="N453" s="37">
        <f t="shared" si="6238"/>
        <v>2354.04</v>
      </c>
      <c r="O453" s="36"/>
      <c r="P453" s="38">
        <f t="shared" si="6239"/>
        <v>0</v>
      </c>
      <c r="Q453" s="38"/>
      <c r="R453" s="38">
        <f t="shared" si="6239"/>
        <v>0</v>
      </c>
      <c r="S453" s="38">
        <f t="shared" si="6240"/>
        <v>3</v>
      </c>
      <c r="T453" s="37">
        <f t="shared" ref="T453:V453" si="6482">TRUNC($M453 * S453,2)</f>
        <v>2354.04</v>
      </c>
      <c r="U453" s="36"/>
      <c r="V453" s="38">
        <f t="shared" si="6482"/>
        <v>0</v>
      </c>
      <c r="W453" s="38"/>
      <c r="X453" s="38">
        <f t="shared" ref="X453" si="6483">TRUNC($M453 * W453,2)</f>
        <v>0</v>
      </c>
      <c r="Y453" s="38"/>
      <c r="Z453" s="38">
        <f t="shared" ref="Z453" si="6484">TRUNC($M453 * Y453,2)</f>
        <v>0</v>
      </c>
      <c r="AA453" s="38"/>
      <c r="AB453" s="38">
        <f t="shared" ref="AB453" si="6485">TRUNC($M453 * AA453,2)</f>
        <v>0</v>
      </c>
      <c r="AC453" s="38"/>
      <c r="AD453" s="38">
        <f t="shared" ref="AD453" si="6486">TRUNC($M453 * AC453,2)</f>
        <v>0</v>
      </c>
      <c r="AE453" s="38"/>
      <c r="AF453" s="38">
        <f t="shared" ref="AF453" si="6487">TRUNC($M453 * AE453,2)</f>
        <v>0</v>
      </c>
      <c r="AG453" s="38"/>
      <c r="AH453" s="38">
        <f t="shared" ref="AH453" si="6488">TRUNC($M453 * AG453,2)</f>
        <v>0</v>
      </c>
      <c r="AI453" s="38"/>
      <c r="AJ453" s="38">
        <f t="shared" ref="AJ453" si="6489">TRUNC($M453 * AI453,2)</f>
        <v>0</v>
      </c>
      <c r="AK453" s="38"/>
      <c r="AL453" s="38">
        <f t="shared" ref="AL453" si="6490">TRUNC($M453 * AK453,2)</f>
        <v>0</v>
      </c>
      <c r="AM453" s="38"/>
      <c r="AN453" s="38">
        <f t="shared" ref="AN453" si="6491">TRUNC($M453 * AM453,2)</f>
        <v>0</v>
      </c>
      <c r="AO453" s="38"/>
      <c r="AP453" s="38">
        <f t="shared" ref="AP453" si="6492">TRUNC($M453 * AO453,2)</f>
        <v>0</v>
      </c>
      <c r="AQ453" s="38"/>
      <c r="AR453" s="38">
        <f t="shared" ref="AR453" si="6493">TRUNC($M453 * AQ453,2)</f>
        <v>0</v>
      </c>
      <c r="AS453" s="38"/>
      <c r="AT453" s="38">
        <f t="shared" ref="AT453" si="6494">TRUNC($M453 * AS453,2)</f>
        <v>0</v>
      </c>
      <c r="AU453" s="38"/>
      <c r="AV453" s="38">
        <f t="shared" ref="AV453" si="6495">TRUNC($M453 * AU453,2)</f>
        <v>0</v>
      </c>
      <c r="AW453" s="38"/>
      <c r="AX453" s="37">
        <f t="shared" ref="AX453" si="6496">TRUNC($M453 * AW453,2)</f>
        <v>0</v>
      </c>
      <c r="AY453" s="36">
        <f t="shared" si="6256"/>
        <v>0</v>
      </c>
      <c r="AZ453" s="38">
        <f t="shared" ref="AZ453" si="6497">TRUNC($M453 * AY453,2)</f>
        <v>0</v>
      </c>
      <c r="BA453" s="38">
        <f t="shared" si="6258"/>
        <v>3</v>
      </c>
      <c r="BB453" s="37">
        <f t="shared" ref="BB453" si="6498">TRUNC($M453 * BA453,2)</f>
        <v>2354.04</v>
      </c>
    </row>
    <row r="454" spans="1:54" ht="24" customHeight="1" x14ac:dyDescent="0.25">
      <c r="A454" s="31" t="s">
        <v>1265</v>
      </c>
      <c r="B454" s="31" t="s">
        <v>910</v>
      </c>
      <c r="C454" s="31" t="s">
        <v>245</v>
      </c>
      <c r="D454" s="31" t="s">
        <v>911</v>
      </c>
      <c r="E454" s="32" t="s">
        <v>36</v>
      </c>
      <c r="F454" s="33">
        <v>1</v>
      </c>
      <c r="G454" s="34">
        <v>220.36</v>
      </c>
      <c r="H454" s="34">
        <f t="shared" si="6464"/>
        <v>202.89</v>
      </c>
      <c r="I454" s="34">
        <f t="shared" si="6236"/>
        <v>202.89</v>
      </c>
      <c r="J454" s="34">
        <f>(TRUNC(H454 * L14,2) + H454)</f>
        <v>244.14999999999998</v>
      </c>
      <c r="K454" s="34">
        <f>TRUNC(F454 * J454,2)</f>
        <v>244.15</v>
      </c>
      <c r="L454" s="35">
        <f>K454 / L13</f>
        <v>8.4189655172413775E-5</v>
      </c>
      <c r="M454" s="36">
        <v>46.03</v>
      </c>
      <c r="N454" s="37">
        <f t="shared" si="6238"/>
        <v>46.03</v>
      </c>
      <c r="O454" s="36"/>
      <c r="P454" s="38">
        <f t="shared" si="6239"/>
        <v>0</v>
      </c>
      <c r="Q454" s="38"/>
      <c r="R454" s="38">
        <f t="shared" si="6239"/>
        <v>0</v>
      </c>
      <c r="S454" s="38">
        <f t="shared" si="6240"/>
        <v>1</v>
      </c>
      <c r="T454" s="37">
        <f t="shared" ref="T454:V454" si="6499">TRUNC($M454 * S454,2)</f>
        <v>46.03</v>
      </c>
      <c r="U454" s="36"/>
      <c r="V454" s="38">
        <f t="shared" si="6499"/>
        <v>0</v>
      </c>
      <c r="W454" s="38"/>
      <c r="X454" s="38">
        <f t="shared" ref="X454" si="6500">TRUNC($M454 * W454,2)</f>
        <v>0</v>
      </c>
      <c r="Y454" s="38"/>
      <c r="Z454" s="38">
        <f t="shared" ref="Z454" si="6501">TRUNC($M454 * Y454,2)</f>
        <v>0</v>
      </c>
      <c r="AA454" s="38"/>
      <c r="AB454" s="38">
        <f t="shared" ref="AB454" si="6502">TRUNC($M454 * AA454,2)</f>
        <v>0</v>
      </c>
      <c r="AC454" s="38"/>
      <c r="AD454" s="38">
        <f t="shared" ref="AD454" si="6503">TRUNC($M454 * AC454,2)</f>
        <v>0</v>
      </c>
      <c r="AE454" s="38"/>
      <c r="AF454" s="38">
        <f t="shared" ref="AF454" si="6504">TRUNC($M454 * AE454,2)</f>
        <v>0</v>
      </c>
      <c r="AG454" s="38"/>
      <c r="AH454" s="38">
        <f t="shared" ref="AH454" si="6505">TRUNC($M454 * AG454,2)</f>
        <v>0</v>
      </c>
      <c r="AI454" s="38"/>
      <c r="AJ454" s="38">
        <f t="shared" ref="AJ454" si="6506">TRUNC($M454 * AI454,2)</f>
        <v>0</v>
      </c>
      <c r="AK454" s="38"/>
      <c r="AL454" s="38">
        <f t="shared" ref="AL454" si="6507">TRUNC($M454 * AK454,2)</f>
        <v>0</v>
      </c>
      <c r="AM454" s="38"/>
      <c r="AN454" s="38">
        <f t="shared" ref="AN454" si="6508">TRUNC($M454 * AM454,2)</f>
        <v>0</v>
      </c>
      <c r="AO454" s="38"/>
      <c r="AP454" s="38">
        <f t="shared" ref="AP454" si="6509">TRUNC($M454 * AO454,2)</f>
        <v>0</v>
      </c>
      <c r="AQ454" s="38"/>
      <c r="AR454" s="38">
        <f t="shared" ref="AR454" si="6510">TRUNC($M454 * AQ454,2)</f>
        <v>0</v>
      </c>
      <c r="AS454" s="38"/>
      <c r="AT454" s="38">
        <f t="shared" ref="AT454" si="6511">TRUNC($M454 * AS454,2)</f>
        <v>0</v>
      </c>
      <c r="AU454" s="38"/>
      <c r="AV454" s="38">
        <f t="shared" ref="AV454" si="6512">TRUNC($M454 * AU454,2)</f>
        <v>0</v>
      </c>
      <c r="AW454" s="38"/>
      <c r="AX454" s="37">
        <f t="shared" ref="AX454" si="6513">TRUNC($M454 * AW454,2)</f>
        <v>0</v>
      </c>
      <c r="AY454" s="36">
        <f t="shared" si="6256"/>
        <v>0</v>
      </c>
      <c r="AZ454" s="38">
        <f t="shared" ref="AZ454" si="6514">TRUNC($M454 * AY454,2)</f>
        <v>0</v>
      </c>
      <c r="BA454" s="38">
        <f t="shared" si="6258"/>
        <v>1</v>
      </c>
      <c r="BB454" s="37">
        <f t="shared" ref="BB454" si="6515">TRUNC($M454 * BA454,2)</f>
        <v>46.03</v>
      </c>
    </row>
    <row r="455" spans="1:54" ht="24" customHeight="1" x14ac:dyDescent="0.25">
      <c r="A455" s="4">
        <v>18</v>
      </c>
      <c r="B455" s="4" t="s">
        <v>12</v>
      </c>
      <c r="C455" s="4"/>
      <c r="D455" s="4" t="s">
        <v>912</v>
      </c>
      <c r="E455" s="5"/>
      <c r="F455" s="14"/>
      <c r="G455" s="6"/>
      <c r="H455" s="6"/>
      <c r="I455" s="7">
        <f>SUM(I456:I462)</f>
        <v>5722.92</v>
      </c>
      <c r="J455" s="7"/>
      <c r="K455" s="7">
        <f>SUM(K456:K462)</f>
        <v>6885.97</v>
      </c>
      <c r="L455" s="22">
        <f>K455 / L13</f>
        <v>2.3744724137931029E-3</v>
      </c>
      <c r="M455" s="25"/>
      <c r="N455" s="26">
        <f>SUM(N456:N462)</f>
        <v>4882.01</v>
      </c>
      <c r="O455" s="25"/>
      <c r="P455" s="30">
        <f>SUM(P456:P462)</f>
        <v>0</v>
      </c>
      <c r="Q455" s="30"/>
      <c r="R455" s="30">
        <f>SUM(R456:R462)</f>
        <v>0</v>
      </c>
      <c r="S455" s="30"/>
      <c r="T455" s="26">
        <f>SUM(T456:T462)</f>
        <v>4882.01</v>
      </c>
      <c r="U455" s="25"/>
      <c r="V455" s="30">
        <f>SUM(V456:V462)</f>
        <v>0</v>
      </c>
      <c r="W455" s="30"/>
      <c r="X455" s="30">
        <f>SUM(X456:X462)</f>
        <v>0</v>
      </c>
      <c r="Y455" s="30"/>
      <c r="Z455" s="30">
        <f>SUM(Z456:Z462)</f>
        <v>0</v>
      </c>
      <c r="AA455" s="30"/>
      <c r="AB455" s="30">
        <f>SUM(AB456:AB462)</f>
        <v>0</v>
      </c>
      <c r="AC455" s="30"/>
      <c r="AD455" s="30">
        <f>SUM(AD456:AD462)</f>
        <v>0</v>
      </c>
      <c r="AE455" s="30"/>
      <c r="AF455" s="30">
        <f>SUM(AF456:AF462)</f>
        <v>0</v>
      </c>
      <c r="AG455" s="30"/>
      <c r="AH455" s="30">
        <f>SUM(AH456:AH462)</f>
        <v>0</v>
      </c>
      <c r="AI455" s="30"/>
      <c r="AJ455" s="30">
        <f>SUM(AJ456:AJ462)</f>
        <v>0</v>
      </c>
      <c r="AK455" s="30"/>
      <c r="AL455" s="30">
        <f>SUM(AL456:AL462)</f>
        <v>0</v>
      </c>
      <c r="AM455" s="30"/>
      <c r="AN455" s="30">
        <f>SUM(AN456:AN462)</f>
        <v>0</v>
      </c>
      <c r="AO455" s="30"/>
      <c r="AP455" s="30">
        <f>SUM(AP456:AP462)</f>
        <v>0</v>
      </c>
      <c r="AQ455" s="30"/>
      <c r="AR455" s="30">
        <f>SUM(AR456:AR462)</f>
        <v>0</v>
      </c>
      <c r="AS455" s="30"/>
      <c r="AT455" s="30">
        <f>SUM(AT456:AT462)</f>
        <v>0</v>
      </c>
      <c r="AU455" s="30"/>
      <c r="AV455" s="30">
        <f>SUM(AV456:AV462)</f>
        <v>0</v>
      </c>
      <c r="AW455" s="30"/>
      <c r="AX455" s="26">
        <f>SUM(AX456:AX462)</f>
        <v>0</v>
      </c>
      <c r="AY455" s="25"/>
      <c r="AZ455" s="30">
        <f>SUM(AZ456:AZ462)</f>
        <v>0</v>
      </c>
      <c r="BA455" s="30"/>
      <c r="BB455" s="26">
        <f>SUM(BB456:BB462)</f>
        <v>4882.01</v>
      </c>
    </row>
    <row r="456" spans="1:54" ht="39" customHeight="1" x14ac:dyDescent="0.25">
      <c r="A456" s="31" t="s">
        <v>1266</v>
      </c>
      <c r="B456" s="31" t="s">
        <v>680</v>
      </c>
      <c r="C456" s="31" t="s">
        <v>34</v>
      </c>
      <c r="D456" s="31" t="s">
        <v>681</v>
      </c>
      <c r="E456" s="32" t="s">
        <v>36</v>
      </c>
      <c r="F456" s="33">
        <v>33</v>
      </c>
      <c r="G456" s="34">
        <v>22.08</v>
      </c>
      <c r="H456" s="34">
        <f t="shared" si="6464"/>
        <v>20.32</v>
      </c>
      <c r="I456" s="34">
        <f t="shared" si="6236"/>
        <v>670.56</v>
      </c>
      <c r="J456" s="34">
        <f>(TRUNC(H456 * L14,2) + H456)</f>
        <v>24.45</v>
      </c>
      <c r="K456" s="34">
        <f t="shared" ref="K456:K462" si="6516">TRUNC(F456 * J456,2)</f>
        <v>806.85</v>
      </c>
      <c r="L456" s="35">
        <f>K456 / L13</f>
        <v>2.7822413793103447E-4</v>
      </c>
      <c r="M456" s="36">
        <v>21.79</v>
      </c>
      <c r="N456" s="37">
        <f t="shared" si="6238"/>
        <v>719.07</v>
      </c>
      <c r="O456" s="36"/>
      <c r="P456" s="38">
        <f t="shared" si="6239"/>
        <v>0</v>
      </c>
      <c r="Q456" s="38"/>
      <c r="R456" s="38">
        <f t="shared" si="6239"/>
        <v>0</v>
      </c>
      <c r="S456" s="38">
        <f t="shared" si="6240"/>
        <v>33</v>
      </c>
      <c r="T456" s="37">
        <f t="shared" ref="T456:V456" si="6517">TRUNC($M456 * S456,2)</f>
        <v>719.07</v>
      </c>
      <c r="U456" s="36"/>
      <c r="V456" s="38">
        <f t="shared" si="6517"/>
        <v>0</v>
      </c>
      <c r="W456" s="38"/>
      <c r="X456" s="38">
        <f t="shared" ref="X456" si="6518">TRUNC($M456 * W456,2)</f>
        <v>0</v>
      </c>
      <c r="Y456" s="38"/>
      <c r="Z456" s="38">
        <f t="shared" ref="Z456" si="6519">TRUNC($M456 * Y456,2)</f>
        <v>0</v>
      </c>
      <c r="AA456" s="38"/>
      <c r="AB456" s="38">
        <f t="shared" ref="AB456" si="6520">TRUNC($M456 * AA456,2)</f>
        <v>0</v>
      </c>
      <c r="AC456" s="38"/>
      <c r="AD456" s="38">
        <f t="shared" ref="AD456" si="6521">TRUNC($M456 * AC456,2)</f>
        <v>0</v>
      </c>
      <c r="AE456" s="38"/>
      <c r="AF456" s="38">
        <f t="shared" ref="AF456" si="6522">TRUNC($M456 * AE456,2)</f>
        <v>0</v>
      </c>
      <c r="AG456" s="38"/>
      <c r="AH456" s="38">
        <f t="shared" ref="AH456" si="6523">TRUNC($M456 * AG456,2)</f>
        <v>0</v>
      </c>
      <c r="AI456" s="38"/>
      <c r="AJ456" s="38">
        <f t="shared" ref="AJ456" si="6524">TRUNC($M456 * AI456,2)</f>
        <v>0</v>
      </c>
      <c r="AK456" s="38"/>
      <c r="AL456" s="38">
        <f t="shared" ref="AL456" si="6525">TRUNC($M456 * AK456,2)</f>
        <v>0</v>
      </c>
      <c r="AM456" s="38"/>
      <c r="AN456" s="38">
        <f t="shared" ref="AN456" si="6526">TRUNC($M456 * AM456,2)</f>
        <v>0</v>
      </c>
      <c r="AO456" s="38"/>
      <c r="AP456" s="38">
        <f t="shared" ref="AP456" si="6527">TRUNC($M456 * AO456,2)</f>
        <v>0</v>
      </c>
      <c r="AQ456" s="38"/>
      <c r="AR456" s="38">
        <f t="shared" ref="AR456" si="6528">TRUNC($M456 * AQ456,2)</f>
        <v>0</v>
      </c>
      <c r="AS456" s="38"/>
      <c r="AT456" s="38">
        <f t="shared" ref="AT456" si="6529">TRUNC($M456 * AS456,2)</f>
        <v>0</v>
      </c>
      <c r="AU456" s="38"/>
      <c r="AV456" s="38">
        <f t="shared" ref="AV456" si="6530">TRUNC($M456 * AU456,2)</f>
        <v>0</v>
      </c>
      <c r="AW456" s="38"/>
      <c r="AX456" s="37">
        <f t="shared" ref="AX456" si="6531">TRUNC($M456 * AW456,2)</f>
        <v>0</v>
      </c>
      <c r="AY456" s="36">
        <f t="shared" si="6256"/>
        <v>0</v>
      </c>
      <c r="AZ456" s="38">
        <f t="shared" ref="AZ456" si="6532">TRUNC($M456 * AY456,2)</f>
        <v>0</v>
      </c>
      <c r="BA456" s="38">
        <f t="shared" si="6258"/>
        <v>33</v>
      </c>
      <c r="BB456" s="37">
        <f t="shared" ref="BB456" si="6533">TRUNC($M456 * BA456,2)</f>
        <v>719.07</v>
      </c>
    </row>
    <row r="457" spans="1:54" ht="26.1" customHeight="1" x14ac:dyDescent="0.25">
      <c r="A457" s="31" t="s">
        <v>1267</v>
      </c>
      <c r="B457" s="31" t="s">
        <v>727</v>
      </c>
      <c r="C457" s="31" t="s">
        <v>245</v>
      </c>
      <c r="D457" s="31" t="s">
        <v>728</v>
      </c>
      <c r="E457" s="32" t="s">
        <v>36</v>
      </c>
      <c r="F457" s="33">
        <v>4</v>
      </c>
      <c r="G457" s="34">
        <v>230.28</v>
      </c>
      <c r="H457" s="34">
        <f t="shared" si="6464"/>
        <v>212.02</v>
      </c>
      <c r="I457" s="34">
        <f t="shared" si="6236"/>
        <v>848.08</v>
      </c>
      <c r="J457" s="34">
        <f>(TRUNC(H457 * L14,2) + H457)</f>
        <v>255.14000000000001</v>
      </c>
      <c r="K457" s="34">
        <f t="shared" si="6516"/>
        <v>1020.56</v>
      </c>
      <c r="L457" s="35">
        <f>K457 / L13</f>
        <v>3.519172413793103E-4</v>
      </c>
      <c r="M457" s="36">
        <v>48.1</v>
      </c>
      <c r="N457" s="37">
        <f t="shared" si="6238"/>
        <v>192.4</v>
      </c>
      <c r="O457" s="36"/>
      <c r="P457" s="38">
        <f t="shared" si="6239"/>
        <v>0</v>
      </c>
      <c r="Q457" s="38"/>
      <c r="R457" s="38">
        <f t="shared" si="6239"/>
        <v>0</v>
      </c>
      <c r="S457" s="38">
        <f t="shared" si="6240"/>
        <v>4</v>
      </c>
      <c r="T457" s="37">
        <f t="shared" ref="T457:V457" si="6534">TRUNC($M457 * S457,2)</f>
        <v>192.4</v>
      </c>
      <c r="U457" s="36"/>
      <c r="V457" s="38">
        <f t="shared" si="6534"/>
        <v>0</v>
      </c>
      <c r="W457" s="38"/>
      <c r="X457" s="38">
        <f t="shared" ref="X457" si="6535">TRUNC($M457 * W457,2)</f>
        <v>0</v>
      </c>
      <c r="Y457" s="38"/>
      <c r="Z457" s="38">
        <f t="shared" ref="Z457" si="6536">TRUNC($M457 * Y457,2)</f>
        <v>0</v>
      </c>
      <c r="AA457" s="38"/>
      <c r="AB457" s="38">
        <f t="shared" ref="AB457" si="6537">TRUNC($M457 * AA457,2)</f>
        <v>0</v>
      </c>
      <c r="AC457" s="38"/>
      <c r="AD457" s="38">
        <f t="shared" ref="AD457" si="6538">TRUNC($M457 * AC457,2)</f>
        <v>0</v>
      </c>
      <c r="AE457" s="38"/>
      <c r="AF457" s="38">
        <f t="shared" ref="AF457" si="6539">TRUNC($M457 * AE457,2)</f>
        <v>0</v>
      </c>
      <c r="AG457" s="38"/>
      <c r="AH457" s="38">
        <f t="shared" ref="AH457" si="6540">TRUNC($M457 * AG457,2)</f>
        <v>0</v>
      </c>
      <c r="AI457" s="38"/>
      <c r="AJ457" s="38">
        <f t="shared" ref="AJ457" si="6541">TRUNC($M457 * AI457,2)</f>
        <v>0</v>
      </c>
      <c r="AK457" s="38"/>
      <c r="AL457" s="38">
        <f t="shared" ref="AL457" si="6542">TRUNC($M457 * AK457,2)</f>
        <v>0</v>
      </c>
      <c r="AM457" s="38"/>
      <c r="AN457" s="38">
        <f t="shared" ref="AN457" si="6543">TRUNC($M457 * AM457,2)</f>
        <v>0</v>
      </c>
      <c r="AO457" s="38"/>
      <c r="AP457" s="38">
        <f t="shared" ref="AP457" si="6544">TRUNC($M457 * AO457,2)</f>
        <v>0</v>
      </c>
      <c r="AQ457" s="38"/>
      <c r="AR457" s="38">
        <f t="shared" ref="AR457" si="6545">TRUNC($M457 * AQ457,2)</f>
        <v>0</v>
      </c>
      <c r="AS457" s="38"/>
      <c r="AT457" s="38">
        <f t="shared" ref="AT457" si="6546">TRUNC($M457 * AS457,2)</f>
        <v>0</v>
      </c>
      <c r="AU457" s="38"/>
      <c r="AV457" s="38">
        <f t="shared" ref="AV457" si="6547">TRUNC($M457 * AU457,2)</f>
        <v>0</v>
      </c>
      <c r="AW457" s="38"/>
      <c r="AX457" s="37">
        <f t="shared" ref="AX457" si="6548">TRUNC($M457 * AW457,2)</f>
        <v>0</v>
      </c>
      <c r="AY457" s="36">
        <f t="shared" si="6256"/>
        <v>0</v>
      </c>
      <c r="AZ457" s="38">
        <f t="shared" ref="AZ457" si="6549">TRUNC($M457 * AY457,2)</f>
        <v>0</v>
      </c>
      <c r="BA457" s="38">
        <f t="shared" si="6258"/>
        <v>4</v>
      </c>
      <c r="BB457" s="37">
        <f t="shared" ref="BB457" si="6550">TRUNC($M457 * BA457,2)</f>
        <v>192.4</v>
      </c>
    </row>
    <row r="458" spans="1:54" ht="26.1" customHeight="1" x14ac:dyDescent="0.25">
      <c r="A458" s="31" t="s">
        <v>1268</v>
      </c>
      <c r="B458" s="31" t="s">
        <v>913</v>
      </c>
      <c r="C458" s="31" t="s">
        <v>34</v>
      </c>
      <c r="D458" s="31" t="s">
        <v>914</v>
      </c>
      <c r="E458" s="32" t="s">
        <v>36</v>
      </c>
      <c r="F458" s="33">
        <v>18</v>
      </c>
      <c r="G458" s="34">
        <v>51.61</v>
      </c>
      <c r="H458" s="34">
        <f t="shared" si="6464"/>
        <v>47.51</v>
      </c>
      <c r="I458" s="34">
        <f t="shared" si="6236"/>
        <v>855.18</v>
      </c>
      <c r="J458" s="34">
        <f>(TRUNC(H458 * L14,2) + H458)</f>
        <v>57.17</v>
      </c>
      <c r="K458" s="34">
        <f t="shared" si="6516"/>
        <v>1029.06</v>
      </c>
      <c r="L458" s="35">
        <f>K458 / L13</f>
        <v>3.5484827586206887E-4</v>
      </c>
      <c r="M458" s="36">
        <v>41.21</v>
      </c>
      <c r="N458" s="37">
        <f t="shared" si="6238"/>
        <v>741.78</v>
      </c>
      <c r="O458" s="36"/>
      <c r="P458" s="38">
        <f t="shared" si="6239"/>
        <v>0</v>
      </c>
      <c r="Q458" s="38"/>
      <c r="R458" s="38">
        <f t="shared" si="6239"/>
        <v>0</v>
      </c>
      <c r="S458" s="38">
        <f t="shared" si="6240"/>
        <v>18</v>
      </c>
      <c r="T458" s="37">
        <f t="shared" ref="T458:V458" si="6551">TRUNC($M458 * S458,2)</f>
        <v>741.78</v>
      </c>
      <c r="U458" s="36"/>
      <c r="V458" s="38">
        <f t="shared" si="6551"/>
        <v>0</v>
      </c>
      <c r="W458" s="38"/>
      <c r="X458" s="38">
        <f t="shared" ref="X458" si="6552">TRUNC($M458 * W458,2)</f>
        <v>0</v>
      </c>
      <c r="Y458" s="38"/>
      <c r="Z458" s="38">
        <f t="shared" ref="Z458" si="6553">TRUNC($M458 * Y458,2)</f>
        <v>0</v>
      </c>
      <c r="AA458" s="38"/>
      <c r="AB458" s="38">
        <f t="shared" ref="AB458" si="6554">TRUNC($M458 * AA458,2)</f>
        <v>0</v>
      </c>
      <c r="AC458" s="38"/>
      <c r="AD458" s="38">
        <f t="shared" ref="AD458" si="6555">TRUNC($M458 * AC458,2)</f>
        <v>0</v>
      </c>
      <c r="AE458" s="38"/>
      <c r="AF458" s="38">
        <f t="shared" ref="AF458" si="6556">TRUNC($M458 * AE458,2)</f>
        <v>0</v>
      </c>
      <c r="AG458" s="38"/>
      <c r="AH458" s="38">
        <f t="shared" ref="AH458" si="6557">TRUNC($M458 * AG458,2)</f>
        <v>0</v>
      </c>
      <c r="AI458" s="38"/>
      <c r="AJ458" s="38">
        <f t="shared" ref="AJ458" si="6558">TRUNC($M458 * AI458,2)</f>
        <v>0</v>
      </c>
      <c r="AK458" s="38"/>
      <c r="AL458" s="38">
        <f t="shared" ref="AL458" si="6559">TRUNC($M458 * AK458,2)</f>
        <v>0</v>
      </c>
      <c r="AM458" s="38"/>
      <c r="AN458" s="38">
        <f t="shared" ref="AN458" si="6560">TRUNC($M458 * AM458,2)</f>
        <v>0</v>
      </c>
      <c r="AO458" s="38"/>
      <c r="AP458" s="38">
        <f t="shared" ref="AP458" si="6561">TRUNC($M458 * AO458,2)</f>
        <v>0</v>
      </c>
      <c r="AQ458" s="38"/>
      <c r="AR458" s="38">
        <f t="shared" ref="AR458" si="6562">TRUNC($M458 * AQ458,2)</f>
        <v>0</v>
      </c>
      <c r="AS458" s="38"/>
      <c r="AT458" s="38">
        <f t="shared" ref="AT458" si="6563">TRUNC($M458 * AS458,2)</f>
        <v>0</v>
      </c>
      <c r="AU458" s="38"/>
      <c r="AV458" s="38">
        <f t="shared" ref="AV458" si="6564">TRUNC($M458 * AU458,2)</f>
        <v>0</v>
      </c>
      <c r="AW458" s="38"/>
      <c r="AX458" s="37">
        <f t="shared" ref="AX458" si="6565">TRUNC($M458 * AW458,2)</f>
        <v>0</v>
      </c>
      <c r="AY458" s="36">
        <f t="shared" si="6256"/>
        <v>0</v>
      </c>
      <c r="AZ458" s="38">
        <f t="shared" ref="AZ458" si="6566">TRUNC($M458 * AY458,2)</f>
        <v>0</v>
      </c>
      <c r="BA458" s="38">
        <f t="shared" si="6258"/>
        <v>18</v>
      </c>
      <c r="BB458" s="37">
        <f t="shared" ref="BB458" si="6567">TRUNC($M458 * BA458,2)</f>
        <v>741.78</v>
      </c>
    </row>
    <row r="459" spans="1:54" ht="51.9" customHeight="1" x14ac:dyDescent="0.25">
      <c r="A459" s="31" t="s">
        <v>1269</v>
      </c>
      <c r="B459" s="31" t="s">
        <v>817</v>
      </c>
      <c r="C459" s="31" t="s">
        <v>34</v>
      </c>
      <c r="D459" s="31" t="s">
        <v>818</v>
      </c>
      <c r="E459" s="32" t="s">
        <v>218</v>
      </c>
      <c r="F459" s="33">
        <v>82</v>
      </c>
      <c r="G459" s="34">
        <v>25.78</v>
      </c>
      <c r="H459" s="34">
        <f t="shared" si="6464"/>
        <v>23.73</v>
      </c>
      <c r="I459" s="34">
        <f t="shared" si="6236"/>
        <v>1945.86</v>
      </c>
      <c r="J459" s="34">
        <f>(TRUNC(H459 * L14,2) + H459)</f>
        <v>28.55</v>
      </c>
      <c r="K459" s="34">
        <f t="shared" si="6516"/>
        <v>2341.1</v>
      </c>
      <c r="L459" s="35">
        <f>K459 / L13</f>
        <v>8.0727586206896535E-4</v>
      </c>
      <c r="M459" s="36">
        <v>23.24</v>
      </c>
      <c r="N459" s="37">
        <f t="shared" si="6238"/>
        <v>1905.68</v>
      </c>
      <c r="O459" s="36"/>
      <c r="P459" s="38">
        <f t="shared" si="6239"/>
        <v>0</v>
      </c>
      <c r="Q459" s="38"/>
      <c r="R459" s="38">
        <f t="shared" si="6239"/>
        <v>0</v>
      </c>
      <c r="S459" s="38">
        <f t="shared" si="6240"/>
        <v>82</v>
      </c>
      <c r="T459" s="37">
        <f t="shared" ref="T459:V459" si="6568">TRUNC($M459 * S459,2)</f>
        <v>1905.68</v>
      </c>
      <c r="U459" s="36"/>
      <c r="V459" s="38">
        <f t="shared" si="6568"/>
        <v>0</v>
      </c>
      <c r="W459" s="38"/>
      <c r="X459" s="38">
        <f t="shared" ref="X459" si="6569">TRUNC($M459 * W459,2)</f>
        <v>0</v>
      </c>
      <c r="Y459" s="38"/>
      <c r="Z459" s="38">
        <f t="shared" ref="Z459" si="6570">TRUNC($M459 * Y459,2)</f>
        <v>0</v>
      </c>
      <c r="AA459" s="38"/>
      <c r="AB459" s="38">
        <f t="shared" ref="AB459" si="6571">TRUNC($M459 * AA459,2)</f>
        <v>0</v>
      </c>
      <c r="AC459" s="38"/>
      <c r="AD459" s="38">
        <f t="shared" ref="AD459" si="6572">TRUNC($M459 * AC459,2)</f>
        <v>0</v>
      </c>
      <c r="AE459" s="38"/>
      <c r="AF459" s="38">
        <f t="shared" ref="AF459" si="6573">TRUNC($M459 * AE459,2)</f>
        <v>0</v>
      </c>
      <c r="AG459" s="38"/>
      <c r="AH459" s="38">
        <f t="shared" ref="AH459" si="6574">TRUNC($M459 * AG459,2)</f>
        <v>0</v>
      </c>
      <c r="AI459" s="38"/>
      <c r="AJ459" s="38">
        <f t="shared" ref="AJ459" si="6575">TRUNC($M459 * AI459,2)</f>
        <v>0</v>
      </c>
      <c r="AK459" s="38"/>
      <c r="AL459" s="38">
        <f t="shared" ref="AL459" si="6576">TRUNC($M459 * AK459,2)</f>
        <v>0</v>
      </c>
      <c r="AM459" s="38"/>
      <c r="AN459" s="38">
        <f t="shared" ref="AN459" si="6577">TRUNC($M459 * AM459,2)</f>
        <v>0</v>
      </c>
      <c r="AO459" s="38"/>
      <c r="AP459" s="38">
        <f t="shared" ref="AP459" si="6578">TRUNC($M459 * AO459,2)</f>
        <v>0</v>
      </c>
      <c r="AQ459" s="38"/>
      <c r="AR459" s="38">
        <f t="shared" ref="AR459" si="6579">TRUNC($M459 * AQ459,2)</f>
        <v>0</v>
      </c>
      <c r="AS459" s="38"/>
      <c r="AT459" s="38">
        <f t="shared" ref="AT459" si="6580">TRUNC($M459 * AS459,2)</f>
        <v>0</v>
      </c>
      <c r="AU459" s="38"/>
      <c r="AV459" s="38">
        <f t="shared" ref="AV459" si="6581">TRUNC($M459 * AU459,2)</f>
        <v>0</v>
      </c>
      <c r="AW459" s="38"/>
      <c r="AX459" s="37">
        <f t="shared" ref="AX459" si="6582">TRUNC($M459 * AW459,2)</f>
        <v>0</v>
      </c>
      <c r="AY459" s="36">
        <f t="shared" si="6256"/>
        <v>0</v>
      </c>
      <c r="AZ459" s="38">
        <f t="shared" ref="AZ459" si="6583">TRUNC($M459 * AY459,2)</f>
        <v>0</v>
      </c>
      <c r="BA459" s="38">
        <f t="shared" si="6258"/>
        <v>82</v>
      </c>
      <c r="BB459" s="37">
        <f t="shared" ref="BB459" si="6584">TRUNC($M459 * BA459,2)</f>
        <v>1905.68</v>
      </c>
    </row>
    <row r="460" spans="1:54" ht="39" customHeight="1" x14ac:dyDescent="0.25">
      <c r="A460" s="31" t="s">
        <v>1270</v>
      </c>
      <c r="B460" s="31" t="s">
        <v>823</v>
      </c>
      <c r="C460" s="31" t="s">
        <v>34</v>
      </c>
      <c r="D460" s="31" t="s">
        <v>824</v>
      </c>
      <c r="E460" s="32" t="s">
        <v>218</v>
      </c>
      <c r="F460" s="33">
        <v>44.8</v>
      </c>
      <c r="G460" s="34">
        <v>19.93</v>
      </c>
      <c r="H460" s="34">
        <f t="shared" si="6464"/>
        <v>18.350000000000001</v>
      </c>
      <c r="I460" s="34">
        <f t="shared" si="6236"/>
        <v>822.08</v>
      </c>
      <c r="J460" s="34">
        <f>(TRUNC(H460 * L14,2) + H460)</f>
        <v>22.080000000000002</v>
      </c>
      <c r="K460" s="34">
        <f t="shared" si="6516"/>
        <v>989.18</v>
      </c>
      <c r="L460" s="35">
        <f>K460 / L13</f>
        <v>3.4109655172413788E-4</v>
      </c>
      <c r="M460" s="36">
        <v>17.649999999999999</v>
      </c>
      <c r="N460" s="37">
        <f t="shared" si="6238"/>
        <v>790.72</v>
      </c>
      <c r="O460" s="36"/>
      <c r="P460" s="38">
        <f t="shared" si="6239"/>
        <v>0</v>
      </c>
      <c r="Q460" s="38"/>
      <c r="R460" s="38">
        <f t="shared" si="6239"/>
        <v>0</v>
      </c>
      <c r="S460" s="38">
        <f t="shared" si="6240"/>
        <v>44.8</v>
      </c>
      <c r="T460" s="37">
        <f t="shared" ref="T460:V460" si="6585">TRUNC($M460 * S460,2)</f>
        <v>790.72</v>
      </c>
      <c r="U460" s="36"/>
      <c r="V460" s="38">
        <f t="shared" si="6585"/>
        <v>0</v>
      </c>
      <c r="W460" s="38"/>
      <c r="X460" s="38">
        <f t="shared" ref="X460" si="6586">TRUNC($M460 * W460,2)</f>
        <v>0</v>
      </c>
      <c r="Y460" s="38"/>
      <c r="Z460" s="38">
        <f t="shared" ref="Z460" si="6587">TRUNC($M460 * Y460,2)</f>
        <v>0</v>
      </c>
      <c r="AA460" s="38"/>
      <c r="AB460" s="38">
        <f t="shared" ref="AB460" si="6588">TRUNC($M460 * AA460,2)</f>
        <v>0</v>
      </c>
      <c r="AC460" s="38"/>
      <c r="AD460" s="38">
        <f t="shared" ref="AD460" si="6589">TRUNC($M460 * AC460,2)</f>
        <v>0</v>
      </c>
      <c r="AE460" s="38"/>
      <c r="AF460" s="38">
        <f t="shared" ref="AF460" si="6590">TRUNC($M460 * AE460,2)</f>
        <v>0</v>
      </c>
      <c r="AG460" s="38"/>
      <c r="AH460" s="38">
        <f t="shared" ref="AH460" si="6591">TRUNC($M460 * AG460,2)</f>
        <v>0</v>
      </c>
      <c r="AI460" s="38"/>
      <c r="AJ460" s="38">
        <f t="shared" ref="AJ460" si="6592">TRUNC($M460 * AI460,2)</f>
        <v>0</v>
      </c>
      <c r="AK460" s="38"/>
      <c r="AL460" s="38">
        <f t="shared" ref="AL460" si="6593">TRUNC($M460 * AK460,2)</f>
        <v>0</v>
      </c>
      <c r="AM460" s="38"/>
      <c r="AN460" s="38">
        <f t="shared" ref="AN460" si="6594">TRUNC($M460 * AM460,2)</f>
        <v>0</v>
      </c>
      <c r="AO460" s="38"/>
      <c r="AP460" s="38">
        <f t="shared" ref="AP460" si="6595">TRUNC($M460 * AO460,2)</f>
        <v>0</v>
      </c>
      <c r="AQ460" s="38"/>
      <c r="AR460" s="38">
        <f t="shared" ref="AR460" si="6596">TRUNC($M460 * AQ460,2)</f>
        <v>0</v>
      </c>
      <c r="AS460" s="38"/>
      <c r="AT460" s="38">
        <f t="shared" ref="AT460" si="6597">TRUNC($M460 * AS460,2)</f>
        <v>0</v>
      </c>
      <c r="AU460" s="38"/>
      <c r="AV460" s="38">
        <f t="shared" ref="AV460" si="6598">TRUNC($M460 * AU460,2)</f>
        <v>0</v>
      </c>
      <c r="AW460" s="38"/>
      <c r="AX460" s="37">
        <f t="shared" ref="AX460" si="6599">TRUNC($M460 * AW460,2)</f>
        <v>0</v>
      </c>
      <c r="AY460" s="36">
        <f t="shared" si="6256"/>
        <v>0</v>
      </c>
      <c r="AZ460" s="38">
        <f t="shared" ref="AZ460" si="6600">TRUNC($M460 * AY460,2)</f>
        <v>0</v>
      </c>
      <c r="BA460" s="38">
        <f t="shared" si="6258"/>
        <v>44.8</v>
      </c>
      <c r="BB460" s="37">
        <f t="shared" ref="BB460" si="6601">TRUNC($M460 * BA460,2)</f>
        <v>790.72</v>
      </c>
    </row>
    <row r="461" spans="1:54" ht="39" customHeight="1" x14ac:dyDescent="0.25">
      <c r="A461" s="31" t="s">
        <v>1271</v>
      </c>
      <c r="B461" s="31" t="s">
        <v>825</v>
      </c>
      <c r="C461" s="31" t="s">
        <v>34</v>
      </c>
      <c r="D461" s="31" t="s">
        <v>826</v>
      </c>
      <c r="E461" s="32" t="s">
        <v>218</v>
      </c>
      <c r="F461" s="33">
        <v>16</v>
      </c>
      <c r="G461" s="34">
        <v>26.24</v>
      </c>
      <c r="H461" s="34">
        <f t="shared" si="6464"/>
        <v>24.16</v>
      </c>
      <c r="I461" s="34">
        <f t="shared" si="6236"/>
        <v>386.56</v>
      </c>
      <c r="J461" s="34">
        <f>(TRUNC(H461 * L14,2) + H461)</f>
        <v>29.07</v>
      </c>
      <c r="K461" s="34">
        <f t="shared" si="6516"/>
        <v>465.12</v>
      </c>
      <c r="L461" s="35">
        <f>K461 / L13</f>
        <v>1.603862068965517E-4</v>
      </c>
      <c r="M461" s="36">
        <v>21.46</v>
      </c>
      <c r="N461" s="37">
        <f t="shared" si="6238"/>
        <v>343.36</v>
      </c>
      <c r="O461" s="36"/>
      <c r="P461" s="38">
        <f t="shared" si="6239"/>
        <v>0</v>
      </c>
      <c r="Q461" s="38"/>
      <c r="R461" s="38">
        <f t="shared" si="6239"/>
        <v>0</v>
      </c>
      <c r="S461" s="38">
        <f t="shared" si="6240"/>
        <v>16</v>
      </c>
      <c r="T461" s="37">
        <f t="shared" ref="T461:V461" si="6602">TRUNC($M461 * S461,2)</f>
        <v>343.36</v>
      </c>
      <c r="U461" s="36"/>
      <c r="V461" s="38">
        <f t="shared" si="6602"/>
        <v>0</v>
      </c>
      <c r="W461" s="38"/>
      <c r="X461" s="38">
        <f t="shared" ref="X461" si="6603">TRUNC($M461 * W461,2)</f>
        <v>0</v>
      </c>
      <c r="Y461" s="38"/>
      <c r="Z461" s="38">
        <f t="shared" ref="Z461" si="6604">TRUNC($M461 * Y461,2)</f>
        <v>0</v>
      </c>
      <c r="AA461" s="38"/>
      <c r="AB461" s="38">
        <f t="shared" ref="AB461" si="6605">TRUNC($M461 * AA461,2)</f>
        <v>0</v>
      </c>
      <c r="AC461" s="38"/>
      <c r="AD461" s="38">
        <f t="shared" ref="AD461" si="6606">TRUNC($M461 * AC461,2)</f>
        <v>0</v>
      </c>
      <c r="AE461" s="38"/>
      <c r="AF461" s="38">
        <f t="shared" ref="AF461" si="6607">TRUNC($M461 * AE461,2)</f>
        <v>0</v>
      </c>
      <c r="AG461" s="38"/>
      <c r="AH461" s="38">
        <f t="shared" ref="AH461" si="6608">TRUNC($M461 * AG461,2)</f>
        <v>0</v>
      </c>
      <c r="AI461" s="38"/>
      <c r="AJ461" s="38">
        <f t="shared" ref="AJ461" si="6609">TRUNC($M461 * AI461,2)</f>
        <v>0</v>
      </c>
      <c r="AK461" s="38"/>
      <c r="AL461" s="38">
        <f t="shared" ref="AL461" si="6610">TRUNC($M461 * AK461,2)</f>
        <v>0</v>
      </c>
      <c r="AM461" s="38"/>
      <c r="AN461" s="38">
        <f t="shared" ref="AN461" si="6611">TRUNC($M461 * AM461,2)</f>
        <v>0</v>
      </c>
      <c r="AO461" s="38"/>
      <c r="AP461" s="38">
        <f t="shared" ref="AP461" si="6612">TRUNC($M461 * AO461,2)</f>
        <v>0</v>
      </c>
      <c r="AQ461" s="38"/>
      <c r="AR461" s="38">
        <f t="shared" ref="AR461" si="6613">TRUNC($M461 * AQ461,2)</f>
        <v>0</v>
      </c>
      <c r="AS461" s="38"/>
      <c r="AT461" s="38">
        <f t="shared" ref="AT461" si="6614">TRUNC($M461 * AS461,2)</f>
        <v>0</v>
      </c>
      <c r="AU461" s="38"/>
      <c r="AV461" s="38">
        <f t="shared" ref="AV461" si="6615">TRUNC($M461 * AU461,2)</f>
        <v>0</v>
      </c>
      <c r="AW461" s="38"/>
      <c r="AX461" s="37">
        <f t="shared" ref="AX461" si="6616">TRUNC($M461 * AW461,2)</f>
        <v>0</v>
      </c>
      <c r="AY461" s="36">
        <f t="shared" si="6256"/>
        <v>0</v>
      </c>
      <c r="AZ461" s="38">
        <f t="shared" ref="AZ461" si="6617">TRUNC($M461 * AY461,2)</f>
        <v>0</v>
      </c>
      <c r="BA461" s="38">
        <f t="shared" si="6258"/>
        <v>16</v>
      </c>
      <c r="BB461" s="37">
        <f t="shared" ref="BB461" si="6618">TRUNC($M461 * BA461,2)</f>
        <v>343.36</v>
      </c>
    </row>
    <row r="462" spans="1:54" ht="24" customHeight="1" x14ac:dyDescent="0.25">
      <c r="A462" s="31" t="s">
        <v>1272</v>
      </c>
      <c r="B462" s="31" t="s">
        <v>915</v>
      </c>
      <c r="C462" s="31" t="s">
        <v>19</v>
      </c>
      <c r="D462" s="31" t="s">
        <v>916</v>
      </c>
      <c r="E462" s="32" t="s">
        <v>500</v>
      </c>
      <c r="F462" s="33">
        <v>10</v>
      </c>
      <c r="G462" s="34">
        <v>21.14</v>
      </c>
      <c r="H462" s="34">
        <f t="shared" si="6464"/>
        <v>19.46</v>
      </c>
      <c r="I462" s="34">
        <f t="shared" si="6236"/>
        <v>194.6</v>
      </c>
      <c r="J462" s="34">
        <f>(TRUNC(H462 * L14,2) + H462)</f>
        <v>23.41</v>
      </c>
      <c r="K462" s="34">
        <f t="shared" si="6516"/>
        <v>234.1</v>
      </c>
      <c r="L462" s="35">
        <f>K462 / L13</f>
        <v>8.0724137931034468E-5</v>
      </c>
      <c r="M462" s="36">
        <v>18.899999999999999</v>
      </c>
      <c r="N462" s="37">
        <f t="shared" si="6238"/>
        <v>189</v>
      </c>
      <c r="O462" s="36"/>
      <c r="P462" s="38">
        <f t="shared" si="6239"/>
        <v>0</v>
      </c>
      <c r="Q462" s="38"/>
      <c r="R462" s="38">
        <f t="shared" si="6239"/>
        <v>0</v>
      </c>
      <c r="S462" s="38">
        <f t="shared" si="6240"/>
        <v>10</v>
      </c>
      <c r="T462" s="37">
        <f t="shared" ref="T462:V462" si="6619">TRUNC($M462 * S462,2)</f>
        <v>189</v>
      </c>
      <c r="U462" s="36"/>
      <c r="V462" s="38">
        <f t="shared" si="6619"/>
        <v>0</v>
      </c>
      <c r="W462" s="38"/>
      <c r="X462" s="38">
        <f t="shared" ref="X462" si="6620">TRUNC($M462 * W462,2)</f>
        <v>0</v>
      </c>
      <c r="Y462" s="38"/>
      <c r="Z462" s="38">
        <f t="shared" ref="Z462" si="6621">TRUNC($M462 * Y462,2)</f>
        <v>0</v>
      </c>
      <c r="AA462" s="38"/>
      <c r="AB462" s="38">
        <f t="shared" ref="AB462" si="6622">TRUNC($M462 * AA462,2)</f>
        <v>0</v>
      </c>
      <c r="AC462" s="38"/>
      <c r="AD462" s="38">
        <f t="shared" ref="AD462" si="6623">TRUNC($M462 * AC462,2)</f>
        <v>0</v>
      </c>
      <c r="AE462" s="38"/>
      <c r="AF462" s="38">
        <f t="shared" ref="AF462" si="6624">TRUNC($M462 * AE462,2)</f>
        <v>0</v>
      </c>
      <c r="AG462" s="38"/>
      <c r="AH462" s="38">
        <f t="shared" ref="AH462" si="6625">TRUNC($M462 * AG462,2)</f>
        <v>0</v>
      </c>
      <c r="AI462" s="38"/>
      <c r="AJ462" s="38">
        <f t="shared" ref="AJ462" si="6626">TRUNC($M462 * AI462,2)</f>
        <v>0</v>
      </c>
      <c r="AK462" s="38"/>
      <c r="AL462" s="38">
        <f t="shared" ref="AL462" si="6627">TRUNC($M462 * AK462,2)</f>
        <v>0</v>
      </c>
      <c r="AM462" s="38"/>
      <c r="AN462" s="38">
        <f t="shared" ref="AN462" si="6628">TRUNC($M462 * AM462,2)</f>
        <v>0</v>
      </c>
      <c r="AO462" s="38"/>
      <c r="AP462" s="38">
        <f t="shared" ref="AP462" si="6629">TRUNC($M462 * AO462,2)</f>
        <v>0</v>
      </c>
      <c r="AQ462" s="38"/>
      <c r="AR462" s="38">
        <f t="shared" ref="AR462" si="6630">TRUNC($M462 * AQ462,2)</f>
        <v>0</v>
      </c>
      <c r="AS462" s="38"/>
      <c r="AT462" s="38">
        <f t="shared" ref="AT462" si="6631">TRUNC($M462 * AS462,2)</f>
        <v>0</v>
      </c>
      <c r="AU462" s="38"/>
      <c r="AV462" s="38">
        <f t="shared" ref="AV462" si="6632">TRUNC($M462 * AU462,2)</f>
        <v>0</v>
      </c>
      <c r="AW462" s="38"/>
      <c r="AX462" s="37">
        <f t="shared" ref="AX462" si="6633">TRUNC($M462 * AW462,2)</f>
        <v>0</v>
      </c>
      <c r="AY462" s="36">
        <f t="shared" si="6256"/>
        <v>0</v>
      </c>
      <c r="AZ462" s="38">
        <f t="shared" ref="AZ462" si="6634">TRUNC($M462 * AY462,2)</f>
        <v>0</v>
      </c>
      <c r="BA462" s="38">
        <f t="shared" si="6258"/>
        <v>10</v>
      </c>
      <c r="BB462" s="37">
        <f t="shared" ref="BB462" si="6635">TRUNC($M462 * BA462,2)</f>
        <v>189</v>
      </c>
    </row>
    <row r="463" spans="1:54" ht="24" customHeight="1" x14ac:dyDescent="0.25">
      <c r="A463" s="4">
        <v>19</v>
      </c>
      <c r="B463" s="4" t="s">
        <v>12</v>
      </c>
      <c r="C463" s="4"/>
      <c r="D463" s="4" t="s">
        <v>917</v>
      </c>
      <c r="E463" s="5"/>
      <c r="F463" s="14"/>
      <c r="G463" s="6"/>
      <c r="H463" s="6"/>
      <c r="I463" s="7">
        <f>SUM(I464:I471)</f>
        <v>9232.5399999999991</v>
      </c>
      <c r="J463" s="7"/>
      <c r="K463" s="7">
        <f>SUM(K464:K471)</f>
        <v>11109.43</v>
      </c>
      <c r="L463" s="22">
        <f>K463 / L13</f>
        <v>3.8308379310344823E-3</v>
      </c>
      <c r="M463" s="25"/>
      <c r="N463" s="26">
        <f>SUM(N464:N471)</f>
        <v>7857.0800000000008</v>
      </c>
      <c r="O463" s="25"/>
      <c r="P463" s="30">
        <f>SUM(P464:P471)</f>
        <v>0</v>
      </c>
      <c r="Q463" s="30"/>
      <c r="R463" s="30">
        <f>SUM(R464:R471)</f>
        <v>0</v>
      </c>
      <c r="S463" s="30"/>
      <c r="T463" s="26">
        <f>SUM(T464:T471)</f>
        <v>7857.0800000000008</v>
      </c>
      <c r="U463" s="25"/>
      <c r="V463" s="30">
        <f>SUM(V464:V471)</f>
        <v>0</v>
      </c>
      <c r="W463" s="30"/>
      <c r="X463" s="30">
        <f>SUM(X464:X471)</f>
        <v>0</v>
      </c>
      <c r="Y463" s="30"/>
      <c r="Z463" s="30">
        <f>SUM(Z464:Z471)</f>
        <v>0</v>
      </c>
      <c r="AA463" s="30"/>
      <c r="AB463" s="30">
        <f>SUM(AB464:AB471)</f>
        <v>0</v>
      </c>
      <c r="AC463" s="30"/>
      <c r="AD463" s="30">
        <f>SUM(AD464:AD471)</f>
        <v>0</v>
      </c>
      <c r="AE463" s="30"/>
      <c r="AF463" s="30">
        <f>SUM(AF464:AF471)</f>
        <v>0</v>
      </c>
      <c r="AG463" s="30"/>
      <c r="AH463" s="30">
        <f>SUM(AH464:AH471)</f>
        <v>0</v>
      </c>
      <c r="AI463" s="30"/>
      <c r="AJ463" s="30">
        <f>SUM(AJ464:AJ471)</f>
        <v>0</v>
      </c>
      <c r="AK463" s="30"/>
      <c r="AL463" s="30">
        <f>SUM(AL464:AL471)</f>
        <v>0</v>
      </c>
      <c r="AM463" s="30"/>
      <c r="AN463" s="30">
        <f>SUM(AN464:AN471)</f>
        <v>0</v>
      </c>
      <c r="AO463" s="30"/>
      <c r="AP463" s="30">
        <f>SUM(AP464:AP471)</f>
        <v>0</v>
      </c>
      <c r="AQ463" s="30"/>
      <c r="AR463" s="30">
        <f>SUM(AR464:AR471)</f>
        <v>0</v>
      </c>
      <c r="AS463" s="30"/>
      <c r="AT463" s="30">
        <f>SUM(AT464:AT471)</f>
        <v>0</v>
      </c>
      <c r="AU463" s="30"/>
      <c r="AV463" s="30">
        <f>SUM(AV464:AV471)</f>
        <v>0</v>
      </c>
      <c r="AW463" s="30"/>
      <c r="AX463" s="26">
        <f>SUM(AX464:AX471)</f>
        <v>0</v>
      </c>
      <c r="AY463" s="25"/>
      <c r="AZ463" s="30">
        <f>SUM(AZ464:AZ471)</f>
        <v>0</v>
      </c>
      <c r="BA463" s="30"/>
      <c r="BB463" s="26">
        <f>SUM(BB464:BB471)</f>
        <v>7857.0800000000008</v>
      </c>
    </row>
    <row r="464" spans="1:54" ht="39" customHeight="1" x14ac:dyDescent="0.25">
      <c r="A464" s="31" t="s">
        <v>1273</v>
      </c>
      <c r="B464" s="31" t="s">
        <v>918</v>
      </c>
      <c r="C464" s="31" t="s">
        <v>34</v>
      </c>
      <c r="D464" s="31" t="s">
        <v>919</v>
      </c>
      <c r="E464" s="32" t="s">
        <v>218</v>
      </c>
      <c r="F464" s="33">
        <v>80</v>
      </c>
      <c r="G464" s="34">
        <v>66.72</v>
      </c>
      <c r="H464" s="34">
        <f t="shared" si="6464"/>
        <v>61.43</v>
      </c>
      <c r="I464" s="34">
        <f t="shared" si="6236"/>
        <v>4914.3999999999996</v>
      </c>
      <c r="J464" s="34">
        <f>(TRUNC(H464 * L14,2) + H464)</f>
        <v>73.92</v>
      </c>
      <c r="K464" s="34">
        <f t="shared" ref="K464:K471" si="6636">TRUNC(F464 * J464,2)</f>
        <v>5913.6</v>
      </c>
      <c r="L464" s="35">
        <f>K464 / L13</f>
        <v>2.0391724137931032E-3</v>
      </c>
      <c r="M464" s="36">
        <v>53.21</v>
      </c>
      <c r="N464" s="37">
        <f t="shared" si="6238"/>
        <v>4256.8</v>
      </c>
      <c r="O464" s="36"/>
      <c r="P464" s="38">
        <f t="shared" si="6239"/>
        <v>0</v>
      </c>
      <c r="Q464" s="38"/>
      <c r="R464" s="38">
        <f t="shared" si="6239"/>
        <v>0</v>
      </c>
      <c r="S464" s="38">
        <f t="shared" si="6240"/>
        <v>80</v>
      </c>
      <c r="T464" s="37">
        <f t="shared" ref="T464:V464" si="6637">TRUNC($M464 * S464,2)</f>
        <v>4256.8</v>
      </c>
      <c r="U464" s="36"/>
      <c r="V464" s="38">
        <f t="shared" si="6637"/>
        <v>0</v>
      </c>
      <c r="W464" s="38"/>
      <c r="X464" s="38">
        <f t="shared" ref="X464" si="6638">TRUNC($M464 * W464,2)</f>
        <v>0</v>
      </c>
      <c r="Y464" s="38"/>
      <c r="Z464" s="38">
        <f t="shared" ref="Z464" si="6639">TRUNC($M464 * Y464,2)</f>
        <v>0</v>
      </c>
      <c r="AA464" s="38"/>
      <c r="AB464" s="38">
        <f t="shared" ref="AB464" si="6640">TRUNC($M464 * AA464,2)</f>
        <v>0</v>
      </c>
      <c r="AC464" s="38"/>
      <c r="AD464" s="38">
        <f t="shared" ref="AD464" si="6641">TRUNC($M464 * AC464,2)</f>
        <v>0</v>
      </c>
      <c r="AE464" s="38"/>
      <c r="AF464" s="38">
        <f t="shared" ref="AF464" si="6642">TRUNC($M464 * AE464,2)</f>
        <v>0</v>
      </c>
      <c r="AG464" s="38"/>
      <c r="AH464" s="38">
        <f t="shared" ref="AH464" si="6643">TRUNC($M464 * AG464,2)</f>
        <v>0</v>
      </c>
      <c r="AI464" s="38"/>
      <c r="AJ464" s="38">
        <f t="shared" ref="AJ464" si="6644">TRUNC($M464 * AI464,2)</f>
        <v>0</v>
      </c>
      <c r="AK464" s="38"/>
      <c r="AL464" s="38">
        <f t="shared" ref="AL464" si="6645">TRUNC($M464 * AK464,2)</f>
        <v>0</v>
      </c>
      <c r="AM464" s="38"/>
      <c r="AN464" s="38">
        <f t="shared" ref="AN464" si="6646">TRUNC($M464 * AM464,2)</f>
        <v>0</v>
      </c>
      <c r="AO464" s="38"/>
      <c r="AP464" s="38">
        <f t="shared" ref="AP464" si="6647">TRUNC($M464 * AO464,2)</f>
        <v>0</v>
      </c>
      <c r="AQ464" s="38"/>
      <c r="AR464" s="38">
        <f t="shared" ref="AR464" si="6648">TRUNC($M464 * AQ464,2)</f>
        <v>0</v>
      </c>
      <c r="AS464" s="38"/>
      <c r="AT464" s="38">
        <f t="shared" ref="AT464" si="6649">TRUNC($M464 * AS464,2)</f>
        <v>0</v>
      </c>
      <c r="AU464" s="38"/>
      <c r="AV464" s="38">
        <f t="shared" ref="AV464" si="6650">TRUNC($M464 * AU464,2)</f>
        <v>0</v>
      </c>
      <c r="AW464" s="38"/>
      <c r="AX464" s="37">
        <f t="shared" ref="AX464" si="6651">TRUNC($M464 * AW464,2)</f>
        <v>0</v>
      </c>
      <c r="AY464" s="36">
        <f t="shared" si="6256"/>
        <v>0</v>
      </c>
      <c r="AZ464" s="38">
        <f t="shared" ref="AZ464" si="6652">TRUNC($M464 * AY464,2)</f>
        <v>0</v>
      </c>
      <c r="BA464" s="38">
        <f t="shared" si="6258"/>
        <v>80</v>
      </c>
      <c r="BB464" s="37">
        <f t="shared" ref="BB464" si="6653">TRUNC($M464 * BA464,2)</f>
        <v>4256.8</v>
      </c>
    </row>
    <row r="465" spans="1:54" ht="39" customHeight="1" x14ac:dyDescent="0.25">
      <c r="A465" s="31" t="s">
        <v>1274</v>
      </c>
      <c r="B465" s="31" t="s">
        <v>920</v>
      </c>
      <c r="C465" s="31" t="s">
        <v>34</v>
      </c>
      <c r="D465" s="31" t="s">
        <v>921</v>
      </c>
      <c r="E465" s="32" t="s">
        <v>36</v>
      </c>
      <c r="F465" s="33">
        <v>10</v>
      </c>
      <c r="G465" s="34">
        <v>27.24</v>
      </c>
      <c r="H465" s="34">
        <f t="shared" si="6464"/>
        <v>25.08</v>
      </c>
      <c r="I465" s="34">
        <f t="shared" si="6236"/>
        <v>250.8</v>
      </c>
      <c r="J465" s="34">
        <f>(TRUNC(H465 * L14,2) + H465)</f>
        <v>30.18</v>
      </c>
      <c r="K465" s="34">
        <f t="shared" si="6636"/>
        <v>301.8</v>
      </c>
      <c r="L465" s="35">
        <f>K465 / L13</f>
        <v>1.0406896551724136E-4</v>
      </c>
      <c r="M465" s="36">
        <v>25.98</v>
      </c>
      <c r="N465" s="37">
        <f t="shared" si="6238"/>
        <v>259.8</v>
      </c>
      <c r="O465" s="36"/>
      <c r="P465" s="38">
        <f t="shared" si="6239"/>
        <v>0</v>
      </c>
      <c r="Q465" s="38"/>
      <c r="R465" s="38">
        <f t="shared" si="6239"/>
        <v>0</v>
      </c>
      <c r="S465" s="38">
        <f t="shared" si="6240"/>
        <v>10</v>
      </c>
      <c r="T465" s="37">
        <f t="shared" ref="T465:V465" si="6654">TRUNC($M465 * S465,2)</f>
        <v>259.8</v>
      </c>
      <c r="U465" s="36"/>
      <c r="V465" s="38">
        <f t="shared" si="6654"/>
        <v>0</v>
      </c>
      <c r="W465" s="38"/>
      <c r="X465" s="38">
        <f t="shared" ref="X465" si="6655">TRUNC($M465 * W465,2)</f>
        <v>0</v>
      </c>
      <c r="Y465" s="38"/>
      <c r="Z465" s="38">
        <f t="shared" ref="Z465" si="6656">TRUNC($M465 * Y465,2)</f>
        <v>0</v>
      </c>
      <c r="AA465" s="38"/>
      <c r="AB465" s="38">
        <f t="shared" ref="AB465" si="6657">TRUNC($M465 * AA465,2)</f>
        <v>0</v>
      </c>
      <c r="AC465" s="38"/>
      <c r="AD465" s="38">
        <f t="shared" ref="AD465" si="6658">TRUNC($M465 * AC465,2)</f>
        <v>0</v>
      </c>
      <c r="AE465" s="38"/>
      <c r="AF465" s="38">
        <f t="shared" ref="AF465" si="6659">TRUNC($M465 * AE465,2)</f>
        <v>0</v>
      </c>
      <c r="AG465" s="38"/>
      <c r="AH465" s="38">
        <f t="shared" ref="AH465" si="6660">TRUNC($M465 * AG465,2)</f>
        <v>0</v>
      </c>
      <c r="AI465" s="38"/>
      <c r="AJ465" s="38">
        <f t="shared" ref="AJ465" si="6661">TRUNC($M465 * AI465,2)</f>
        <v>0</v>
      </c>
      <c r="AK465" s="38"/>
      <c r="AL465" s="38">
        <f t="shared" ref="AL465" si="6662">TRUNC($M465 * AK465,2)</f>
        <v>0</v>
      </c>
      <c r="AM465" s="38"/>
      <c r="AN465" s="38">
        <f t="shared" ref="AN465" si="6663">TRUNC($M465 * AM465,2)</f>
        <v>0</v>
      </c>
      <c r="AO465" s="38"/>
      <c r="AP465" s="38">
        <f t="shared" ref="AP465" si="6664">TRUNC($M465 * AO465,2)</f>
        <v>0</v>
      </c>
      <c r="AQ465" s="38"/>
      <c r="AR465" s="38">
        <f t="shared" ref="AR465" si="6665">TRUNC($M465 * AQ465,2)</f>
        <v>0</v>
      </c>
      <c r="AS465" s="38"/>
      <c r="AT465" s="38">
        <f t="shared" ref="AT465" si="6666">TRUNC($M465 * AS465,2)</f>
        <v>0</v>
      </c>
      <c r="AU465" s="38"/>
      <c r="AV465" s="38">
        <f t="shared" ref="AV465" si="6667">TRUNC($M465 * AU465,2)</f>
        <v>0</v>
      </c>
      <c r="AW465" s="38"/>
      <c r="AX465" s="37">
        <f t="shared" ref="AX465" si="6668">TRUNC($M465 * AW465,2)</f>
        <v>0</v>
      </c>
      <c r="AY465" s="36">
        <f t="shared" si="6256"/>
        <v>0</v>
      </c>
      <c r="AZ465" s="38">
        <f t="shared" ref="AZ465" si="6669">TRUNC($M465 * AY465,2)</f>
        <v>0</v>
      </c>
      <c r="BA465" s="38">
        <f t="shared" si="6258"/>
        <v>10</v>
      </c>
      <c r="BB465" s="37">
        <f t="shared" ref="BB465" si="6670">TRUNC($M465 * BA465,2)</f>
        <v>259.8</v>
      </c>
    </row>
    <row r="466" spans="1:54" ht="39" customHeight="1" x14ac:dyDescent="0.25">
      <c r="A466" s="31" t="s">
        <v>1275</v>
      </c>
      <c r="B466" s="31" t="s">
        <v>922</v>
      </c>
      <c r="C466" s="31" t="s">
        <v>34</v>
      </c>
      <c r="D466" s="31" t="s">
        <v>923</v>
      </c>
      <c r="E466" s="32" t="s">
        <v>36</v>
      </c>
      <c r="F466" s="33">
        <v>50</v>
      </c>
      <c r="G466" s="34">
        <v>20.190000000000001</v>
      </c>
      <c r="H466" s="34">
        <f t="shared" si="6464"/>
        <v>18.579999999999998</v>
      </c>
      <c r="I466" s="34">
        <f t="shared" si="6236"/>
        <v>929</v>
      </c>
      <c r="J466" s="34">
        <f>(TRUNC(H466 * L14,2) + H466)</f>
        <v>22.349999999999998</v>
      </c>
      <c r="K466" s="34">
        <f t="shared" si="6636"/>
        <v>1117.5</v>
      </c>
      <c r="L466" s="35">
        <f>K466 / L13</f>
        <v>3.8534482758620684E-4</v>
      </c>
      <c r="M466" s="36">
        <v>18.73</v>
      </c>
      <c r="N466" s="37">
        <f t="shared" si="6238"/>
        <v>936.5</v>
      </c>
      <c r="O466" s="36"/>
      <c r="P466" s="38">
        <f t="shared" si="6239"/>
        <v>0</v>
      </c>
      <c r="Q466" s="38"/>
      <c r="R466" s="38">
        <f t="shared" si="6239"/>
        <v>0</v>
      </c>
      <c r="S466" s="38">
        <f t="shared" si="6240"/>
        <v>50</v>
      </c>
      <c r="T466" s="37">
        <f t="shared" ref="T466:V466" si="6671">TRUNC($M466 * S466,2)</f>
        <v>936.5</v>
      </c>
      <c r="U466" s="36"/>
      <c r="V466" s="38">
        <f t="shared" si="6671"/>
        <v>0</v>
      </c>
      <c r="W466" s="38"/>
      <c r="X466" s="38">
        <f t="shared" ref="X466" si="6672">TRUNC($M466 * W466,2)</f>
        <v>0</v>
      </c>
      <c r="Y466" s="38"/>
      <c r="Z466" s="38">
        <f t="shared" ref="Z466" si="6673">TRUNC($M466 * Y466,2)</f>
        <v>0</v>
      </c>
      <c r="AA466" s="38"/>
      <c r="AB466" s="38">
        <f t="shared" ref="AB466" si="6674">TRUNC($M466 * AA466,2)</f>
        <v>0</v>
      </c>
      <c r="AC466" s="38"/>
      <c r="AD466" s="38">
        <f t="shared" ref="AD466" si="6675">TRUNC($M466 * AC466,2)</f>
        <v>0</v>
      </c>
      <c r="AE466" s="38"/>
      <c r="AF466" s="38">
        <f t="shared" ref="AF466" si="6676">TRUNC($M466 * AE466,2)</f>
        <v>0</v>
      </c>
      <c r="AG466" s="38"/>
      <c r="AH466" s="38">
        <f t="shared" ref="AH466" si="6677">TRUNC($M466 * AG466,2)</f>
        <v>0</v>
      </c>
      <c r="AI466" s="38"/>
      <c r="AJ466" s="38">
        <f t="shared" ref="AJ466" si="6678">TRUNC($M466 * AI466,2)</f>
        <v>0</v>
      </c>
      <c r="AK466" s="38"/>
      <c r="AL466" s="38">
        <f t="shared" ref="AL466" si="6679">TRUNC($M466 * AK466,2)</f>
        <v>0</v>
      </c>
      <c r="AM466" s="38"/>
      <c r="AN466" s="38">
        <f t="shared" ref="AN466" si="6680">TRUNC($M466 * AM466,2)</f>
        <v>0</v>
      </c>
      <c r="AO466" s="38"/>
      <c r="AP466" s="38">
        <f t="shared" ref="AP466" si="6681">TRUNC($M466 * AO466,2)</f>
        <v>0</v>
      </c>
      <c r="AQ466" s="38"/>
      <c r="AR466" s="38">
        <f t="shared" ref="AR466" si="6682">TRUNC($M466 * AQ466,2)</f>
        <v>0</v>
      </c>
      <c r="AS466" s="38"/>
      <c r="AT466" s="38">
        <f t="shared" ref="AT466" si="6683">TRUNC($M466 * AS466,2)</f>
        <v>0</v>
      </c>
      <c r="AU466" s="38"/>
      <c r="AV466" s="38">
        <f t="shared" ref="AV466" si="6684">TRUNC($M466 * AU466,2)</f>
        <v>0</v>
      </c>
      <c r="AW466" s="38"/>
      <c r="AX466" s="37">
        <f t="shared" ref="AX466" si="6685">TRUNC($M466 * AW466,2)</f>
        <v>0</v>
      </c>
      <c r="AY466" s="36">
        <f t="shared" si="6256"/>
        <v>0</v>
      </c>
      <c r="AZ466" s="38">
        <f t="shared" ref="AZ466" si="6686">TRUNC($M466 * AY466,2)</f>
        <v>0</v>
      </c>
      <c r="BA466" s="38">
        <f t="shared" si="6258"/>
        <v>50</v>
      </c>
      <c r="BB466" s="37">
        <f t="shared" ref="BB466" si="6687">TRUNC($M466 * BA466,2)</f>
        <v>936.5</v>
      </c>
    </row>
    <row r="467" spans="1:54" ht="39" customHeight="1" x14ac:dyDescent="0.25">
      <c r="A467" s="31" t="s">
        <v>1276</v>
      </c>
      <c r="B467" s="31" t="s">
        <v>924</v>
      </c>
      <c r="C467" s="31" t="s">
        <v>34</v>
      </c>
      <c r="D467" s="31" t="s">
        <v>925</v>
      </c>
      <c r="E467" s="32" t="s">
        <v>36</v>
      </c>
      <c r="F467" s="33">
        <v>10</v>
      </c>
      <c r="G467" s="34">
        <v>13.23</v>
      </c>
      <c r="H467" s="34">
        <f t="shared" si="6464"/>
        <v>12.18</v>
      </c>
      <c r="I467" s="34">
        <f t="shared" si="6236"/>
        <v>121.8</v>
      </c>
      <c r="J467" s="34">
        <f>(TRUNC(H467 * L14,2) + H467)</f>
        <v>14.65</v>
      </c>
      <c r="K467" s="34">
        <f t="shared" si="6636"/>
        <v>146.5</v>
      </c>
      <c r="L467" s="35">
        <f>K467 / L13</f>
        <v>5.0517241379310336E-5</v>
      </c>
      <c r="M467" s="36">
        <v>12.29</v>
      </c>
      <c r="N467" s="37">
        <f t="shared" si="6238"/>
        <v>122.9</v>
      </c>
      <c r="O467" s="36"/>
      <c r="P467" s="38">
        <f t="shared" si="6239"/>
        <v>0</v>
      </c>
      <c r="Q467" s="38"/>
      <c r="R467" s="38">
        <f t="shared" si="6239"/>
        <v>0</v>
      </c>
      <c r="S467" s="38">
        <f t="shared" si="6240"/>
        <v>10</v>
      </c>
      <c r="T467" s="37">
        <f t="shared" ref="T467:V467" si="6688">TRUNC($M467 * S467,2)</f>
        <v>122.9</v>
      </c>
      <c r="U467" s="36"/>
      <c r="V467" s="38">
        <f t="shared" si="6688"/>
        <v>0</v>
      </c>
      <c r="W467" s="38"/>
      <c r="X467" s="38">
        <f t="shared" ref="X467" si="6689">TRUNC($M467 * W467,2)</f>
        <v>0</v>
      </c>
      <c r="Y467" s="38"/>
      <c r="Z467" s="38">
        <f t="shared" ref="Z467" si="6690">TRUNC($M467 * Y467,2)</f>
        <v>0</v>
      </c>
      <c r="AA467" s="38"/>
      <c r="AB467" s="38">
        <f t="shared" ref="AB467" si="6691">TRUNC($M467 * AA467,2)</f>
        <v>0</v>
      </c>
      <c r="AC467" s="38"/>
      <c r="AD467" s="38">
        <f t="shared" ref="AD467" si="6692">TRUNC($M467 * AC467,2)</f>
        <v>0</v>
      </c>
      <c r="AE467" s="38"/>
      <c r="AF467" s="38">
        <f t="shared" ref="AF467" si="6693">TRUNC($M467 * AE467,2)</f>
        <v>0</v>
      </c>
      <c r="AG467" s="38"/>
      <c r="AH467" s="38">
        <f t="shared" ref="AH467" si="6694">TRUNC($M467 * AG467,2)</f>
        <v>0</v>
      </c>
      <c r="AI467" s="38"/>
      <c r="AJ467" s="38">
        <f t="shared" ref="AJ467" si="6695">TRUNC($M467 * AI467,2)</f>
        <v>0</v>
      </c>
      <c r="AK467" s="38"/>
      <c r="AL467" s="38">
        <f t="shared" ref="AL467" si="6696">TRUNC($M467 * AK467,2)</f>
        <v>0</v>
      </c>
      <c r="AM467" s="38"/>
      <c r="AN467" s="38">
        <f t="shared" ref="AN467" si="6697">TRUNC($M467 * AM467,2)</f>
        <v>0</v>
      </c>
      <c r="AO467" s="38"/>
      <c r="AP467" s="38">
        <f t="shared" ref="AP467" si="6698">TRUNC($M467 * AO467,2)</f>
        <v>0</v>
      </c>
      <c r="AQ467" s="38"/>
      <c r="AR467" s="38">
        <f t="shared" ref="AR467" si="6699">TRUNC($M467 * AQ467,2)</f>
        <v>0</v>
      </c>
      <c r="AS467" s="38"/>
      <c r="AT467" s="38">
        <f t="shared" ref="AT467" si="6700">TRUNC($M467 * AS467,2)</f>
        <v>0</v>
      </c>
      <c r="AU467" s="38"/>
      <c r="AV467" s="38">
        <f t="shared" ref="AV467" si="6701">TRUNC($M467 * AU467,2)</f>
        <v>0</v>
      </c>
      <c r="AW467" s="38"/>
      <c r="AX467" s="37">
        <f t="shared" ref="AX467" si="6702">TRUNC($M467 * AW467,2)</f>
        <v>0</v>
      </c>
      <c r="AY467" s="36">
        <f t="shared" si="6256"/>
        <v>0</v>
      </c>
      <c r="AZ467" s="38">
        <f t="shared" ref="AZ467" si="6703">TRUNC($M467 * AY467,2)</f>
        <v>0</v>
      </c>
      <c r="BA467" s="38">
        <f t="shared" si="6258"/>
        <v>10</v>
      </c>
      <c r="BB467" s="37">
        <f t="shared" ref="BB467" si="6704">TRUNC($M467 * BA467,2)</f>
        <v>122.9</v>
      </c>
    </row>
    <row r="468" spans="1:54" ht="24" customHeight="1" x14ac:dyDescent="0.25">
      <c r="A468" s="31" t="s">
        <v>1277</v>
      </c>
      <c r="B468" s="31" t="s">
        <v>926</v>
      </c>
      <c r="C468" s="31" t="s">
        <v>42</v>
      </c>
      <c r="D468" s="31" t="s">
        <v>927</v>
      </c>
      <c r="E468" s="32" t="s">
        <v>171</v>
      </c>
      <c r="F468" s="33">
        <v>2</v>
      </c>
      <c r="G468" s="34">
        <v>182.33</v>
      </c>
      <c r="H468" s="34">
        <f t="shared" si="6464"/>
        <v>167.87</v>
      </c>
      <c r="I468" s="34">
        <f t="shared" si="6236"/>
        <v>335.74</v>
      </c>
      <c r="J468" s="34">
        <f>(TRUNC(H468 * L14,2) + H468)</f>
        <v>202.01</v>
      </c>
      <c r="K468" s="34">
        <f t="shared" si="6636"/>
        <v>404.02</v>
      </c>
      <c r="L468" s="35">
        <f>K468 / L13</f>
        <v>1.3931724137931031E-4</v>
      </c>
      <c r="M468" s="36">
        <v>38.08</v>
      </c>
      <c r="N468" s="37">
        <f t="shared" si="6238"/>
        <v>76.16</v>
      </c>
      <c r="O468" s="36"/>
      <c r="P468" s="38">
        <f t="shared" si="6239"/>
        <v>0</v>
      </c>
      <c r="Q468" s="38"/>
      <c r="R468" s="38">
        <f t="shared" si="6239"/>
        <v>0</v>
      </c>
      <c r="S468" s="38">
        <f t="shared" si="6240"/>
        <v>2</v>
      </c>
      <c r="T468" s="37">
        <f t="shared" ref="T468:V468" si="6705">TRUNC($M468 * S468,2)</f>
        <v>76.16</v>
      </c>
      <c r="U468" s="36"/>
      <c r="V468" s="38">
        <f t="shared" si="6705"/>
        <v>0</v>
      </c>
      <c r="W468" s="38"/>
      <c r="X468" s="38">
        <f t="shared" ref="X468" si="6706">TRUNC($M468 * W468,2)</f>
        <v>0</v>
      </c>
      <c r="Y468" s="38"/>
      <c r="Z468" s="38">
        <f t="shared" ref="Z468" si="6707">TRUNC($M468 * Y468,2)</f>
        <v>0</v>
      </c>
      <c r="AA468" s="38"/>
      <c r="AB468" s="38">
        <f t="shared" ref="AB468" si="6708">TRUNC($M468 * AA468,2)</f>
        <v>0</v>
      </c>
      <c r="AC468" s="38"/>
      <c r="AD468" s="38">
        <f t="shared" ref="AD468" si="6709">TRUNC($M468 * AC468,2)</f>
        <v>0</v>
      </c>
      <c r="AE468" s="38"/>
      <c r="AF468" s="38">
        <f t="shared" ref="AF468" si="6710">TRUNC($M468 * AE468,2)</f>
        <v>0</v>
      </c>
      <c r="AG468" s="38"/>
      <c r="AH468" s="38">
        <f t="shared" ref="AH468" si="6711">TRUNC($M468 * AG468,2)</f>
        <v>0</v>
      </c>
      <c r="AI468" s="38"/>
      <c r="AJ468" s="38">
        <f t="shared" ref="AJ468" si="6712">TRUNC($M468 * AI468,2)</f>
        <v>0</v>
      </c>
      <c r="AK468" s="38"/>
      <c r="AL468" s="38">
        <f t="shared" ref="AL468" si="6713">TRUNC($M468 * AK468,2)</f>
        <v>0</v>
      </c>
      <c r="AM468" s="38"/>
      <c r="AN468" s="38">
        <f t="shared" ref="AN468" si="6714">TRUNC($M468 * AM468,2)</f>
        <v>0</v>
      </c>
      <c r="AO468" s="38"/>
      <c r="AP468" s="38">
        <f t="shared" ref="AP468" si="6715">TRUNC($M468 * AO468,2)</f>
        <v>0</v>
      </c>
      <c r="AQ468" s="38"/>
      <c r="AR468" s="38">
        <f t="shared" ref="AR468" si="6716">TRUNC($M468 * AQ468,2)</f>
        <v>0</v>
      </c>
      <c r="AS468" s="38"/>
      <c r="AT468" s="38">
        <f t="shared" ref="AT468" si="6717">TRUNC($M468 * AS468,2)</f>
        <v>0</v>
      </c>
      <c r="AU468" s="38"/>
      <c r="AV468" s="38">
        <f t="shared" ref="AV468" si="6718">TRUNC($M468 * AU468,2)</f>
        <v>0</v>
      </c>
      <c r="AW468" s="38"/>
      <c r="AX468" s="37">
        <f t="shared" ref="AX468" si="6719">TRUNC($M468 * AW468,2)</f>
        <v>0</v>
      </c>
      <c r="AY468" s="36">
        <f t="shared" si="6256"/>
        <v>0</v>
      </c>
      <c r="AZ468" s="38">
        <f t="shared" ref="AZ468" si="6720">TRUNC($M468 * AY468,2)</f>
        <v>0</v>
      </c>
      <c r="BA468" s="38">
        <f t="shared" si="6258"/>
        <v>2</v>
      </c>
      <c r="BB468" s="37">
        <f t="shared" ref="BB468" si="6721">TRUNC($M468 * BA468,2)</f>
        <v>76.16</v>
      </c>
    </row>
    <row r="469" spans="1:54" ht="39" customHeight="1" x14ac:dyDescent="0.25">
      <c r="A469" s="31" t="s">
        <v>1278</v>
      </c>
      <c r="B469" s="31" t="s">
        <v>928</v>
      </c>
      <c r="C469" s="31" t="s">
        <v>24</v>
      </c>
      <c r="D469" s="31" t="s">
        <v>929</v>
      </c>
      <c r="E469" s="32" t="s">
        <v>171</v>
      </c>
      <c r="F469" s="33">
        <v>1</v>
      </c>
      <c r="G469" s="34">
        <v>1309.51</v>
      </c>
      <c r="H469" s="34">
        <f t="shared" si="6464"/>
        <v>1205.71</v>
      </c>
      <c r="I469" s="34">
        <f t="shared" si="6236"/>
        <v>1205.71</v>
      </c>
      <c r="J469" s="34">
        <f>(TRUNC(H469 * L14,2) + H469)</f>
        <v>1450.95</v>
      </c>
      <c r="K469" s="34">
        <f t="shared" si="6636"/>
        <v>1450.95</v>
      </c>
      <c r="L469" s="35">
        <f>K469 / L13</f>
        <v>5.0032758620689646E-4</v>
      </c>
      <c r="M469" s="36">
        <v>920.64</v>
      </c>
      <c r="N469" s="37">
        <f t="shared" si="6238"/>
        <v>920.64</v>
      </c>
      <c r="O469" s="36"/>
      <c r="P469" s="38">
        <f t="shared" si="6239"/>
        <v>0</v>
      </c>
      <c r="Q469" s="38"/>
      <c r="R469" s="38">
        <f t="shared" si="6239"/>
        <v>0</v>
      </c>
      <c r="S469" s="38">
        <f t="shared" si="6240"/>
        <v>1</v>
      </c>
      <c r="T469" s="37">
        <f t="shared" ref="T469:V469" si="6722">TRUNC($M469 * S469,2)</f>
        <v>920.64</v>
      </c>
      <c r="U469" s="36"/>
      <c r="V469" s="38">
        <f t="shared" si="6722"/>
        <v>0</v>
      </c>
      <c r="W469" s="38"/>
      <c r="X469" s="38">
        <f t="shared" ref="X469" si="6723">TRUNC($M469 * W469,2)</f>
        <v>0</v>
      </c>
      <c r="Y469" s="38"/>
      <c r="Z469" s="38">
        <f t="shared" ref="Z469" si="6724">TRUNC($M469 * Y469,2)</f>
        <v>0</v>
      </c>
      <c r="AA469" s="38"/>
      <c r="AB469" s="38">
        <f t="shared" ref="AB469" si="6725">TRUNC($M469 * AA469,2)</f>
        <v>0</v>
      </c>
      <c r="AC469" s="38"/>
      <c r="AD469" s="38">
        <f t="shared" ref="AD469" si="6726">TRUNC($M469 * AC469,2)</f>
        <v>0</v>
      </c>
      <c r="AE469" s="38"/>
      <c r="AF469" s="38">
        <f t="shared" ref="AF469" si="6727">TRUNC($M469 * AE469,2)</f>
        <v>0</v>
      </c>
      <c r="AG469" s="38"/>
      <c r="AH469" s="38">
        <f t="shared" ref="AH469" si="6728">TRUNC($M469 * AG469,2)</f>
        <v>0</v>
      </c>
      <c r="AI469" s="38"/>
      <c r="AJ469" s="38">
        <f t="shared" ref="AJ469" si="6729">TRUNC($M469 * AI469,2)</f>
        <v>0</v>
      </c>
      <c r="AK469" s="38"/>
      <c r="AL469" s="38">
        <f t="shared" ref="AL469" si="6730">TRUNC($M469 * AK469,2)</f>
        <v>0</v>
      </c>
      <c r="AM469" s="38"/>
      <c r="AN469" s="38">
        <f t="shared" ref="AN469" si="6731">TRUNC($M469 * AM469,2)</f>
        <v>0</v>
      </c>
      <c r="AO469" s="38"/>
      <c r="AP469" s="38">
        <f t="shared" ref="AP469" si="6732">TRUNC($M469 * AO469,2)</f>
        <v>0</v>
      </c>
      <c r="AQ469" s="38"/>
      <c r="AR469" s="38">
        <f t="shared" ref="AR469" si="6733">TRUNC($M469 * AQ469,2)</f>
        <v>0</v>
      </c>
      <c r="AS469" s="38"/>
      <c r="AT469" s="38">
        <f t="shared" ref="AT469" si="6734">TRUNC($M469 * AS469,2)</f>
        <v>0</v>
      </c>
      <c r="AU469" s="38"/>
      <c r="AV469" s="38">
        <f t="shared" ref="AV469" si="6735">TRUNC($M469 * AU469,2)</f>
        <v>0</v>
      </c>
      <c r="AW469" s="38"/>
      <c r="AX469" s="37">
        <f t="shared" ref="AX469" si="6736">TRUNC($M469 * AW469,2)</f>
        <v>0</v>
      </c>
      <c r="AY469" s="36">
        <f t="shared" si="6256"/>
        <v>0</v>
      </c>
      <c r="AZ469" s="38">
        <f t="shared" ref="AZ469" si="6737">TRUNC($M469 * AY469,2)</f>
        <v>0</v>
      </c>
      <c r="BA469" s="38">
        <f t="shared" si="6258"/>
        <v>1</v>
      </c>
      <c r="BB469" s="37">
        <f t="shared" ref="BB469" si="6738">TRUNC($M469 * BA469,2)</f>
        <v>920.64</v>
      </c>
    </row>
    <row r="470" spans="1:54" ht="39" customHeight="1" x14ac:dyDescent="0.25">
      <c r="A470" s="31" t="s">
        <v>1279</v>
      </c>
      <c r="B470" s="31" t="s">
        <v>930</v>
      </c>
      <c r="C470" s="31" t="s">
        <v>24</v>
      </c>
      <c r="D470" s="31" t="s">
        <v>931</v>
      </c>
      <c r="E470" s="32" t="s">
        <v>171</v>
      </c>
      <c r="F470" s="33">
        <v>1</v>
      </c>
      <c r="G470" s="34">
        <v>867.01</v>
      </c>
      <c r="H470" s="34">
        <f t="shared" si="6464"/>
        <v>798.29</v>
      </c>
      <c r="I470" s="34">
        <f t="shared" si="6236"/>
        <v>798.29</v>
      </c>
      <c r="J470" s="34">
        <f>(TRUNC(H470 * L14,2) + H470)</f>
        <v>960.66</v>
      </c>
      <c r="K470" s="34">
        <f t="shared" si="6636"/>
        <v>960.66</v>
      </c>
      <c r="L470" s="35">
        <f>K470 / L13</f>
        <v>3.3126206896551719E-4</v>
      </c>
      <c r="M470" s="36">
        <v>620.67999999999995</v>
      </c>
      <c r="N470" s="37">
        <f t="shared" si="6238"/>
        <v>620.67999999999995</v>
      </c>
      <c r="O470" s="36"/>
      <c r="P470" s="38">
        <f t="shared" si="6239"/>
        <v>0</v>
      </c>
      <c r="Q470" s="38"/>
      <c r="R470" s="38">
        <f t="shared" si="6239"/>
        <v>0</v>
      </c>
      <c r="S470" s="38">
        <f t="shared" si="6240"/>
        <v>1</v>
      </c>
      <c r="T470" s="37">
        <f t="shared" ref="T470:V470" si="6739">TRUNC($M470 * S470,2)</f>
        <v>620.67999999999995</v>
      </c>
      <c r="U470" s="36"/>
      <c r="V470" s="38">
        <f t="shared" si="6739"/>
        <v>0</v>
      </c>
      <c r="W470" s="38"/>
      <c r="X470" s="38">
        <f t="shared" ref="X470" si="6740">TRUNC($M470 * W470,2)</f>
        <v>0</v>
      </c>
      <c r="Y470" s="38"/>
      <c r="Z470" s="38">
        <f t="shared" ref="Z470" si="6741">TRUNC($M470 * Y470,2)</f>
        <v>0</v>
      </c>
      <c r="AA470" s="38"/>
      <c r="AB470" s="38">
        <f t="shared" ref="AB470" si="6742">TRUNC($M470 * AA470,2)</f>
        <v>0</v>
      </c>
      <c r="AC470" s="38"/>
      <c r="AD470" s="38">
        <f t="shared" ref="AD470" si="6743">TRUNC($M470 * AC470,2)</f>
        <v>0</v>
      </c>
      <c r="AE470" s="38"/>
      <c r="AF470" s="38">
        <f t="shared" ref="AF470" si="6744">TRUNC($M470 * AE470,2)</f>
        <v>0</v>
      </c>
      <c r="AG470" s="38"/>
      <c r="AH470" s="38">
        <f t="shared" ref="AH470" si="6745">TRUNC($M470 * AG470,2)</f>
        <v>0</v>
      </c>
      <c r="AI470" s="38"/>
      <c r="AJ470" s="38">
        <f t="shared" ref="AJ470" si="6746">TRUNC($M470 * AI470,2)</f>
        <v>0</v>
      </c>
      <c r="AK470" s="38"/>
      <c r="AL470" s="38">
        <f t="shared" ref="AL470" si="6747">TRUNC($M470 * AK470,2)</f>
        <v>0</v>
      </c>
      <c r="AM470" s="38"/>
      <c r="AN470" s="38">
        <f t="shared" ref="AN470" si="6748">TRUNC($M470 * AM470,2)</f>
        <v>0</v>
      </c>
      <c r="AO470" s="38"/>
      <c r="AP470" s="38">
        <f t="shared" ref="AP470" si="6749">TRUNC($M470 * AO470,2)</f>
        <v>0</v>
      </c>
      <c r="AQ470" s="38"/>
      <c r="AR470" s="38">
        <f t="shared" ref="AR470" si="6750">TRUNC($M470 * AQ470,2)</f>
        <v>0</v>
      </c>
      <c r="AS470" s="38"/>
      <c r="AT470" s="38">
        <f t="shared" ref="AT470" si="6751">TRUNC($M470 * AS470,2)</f>
        <v>0</v>
      </c>
      <c r="AU470" s="38"/>
      <c r="AV470" s="38">
        <f t="shared" ref="AV470" si="6752">TRUNC($M470 * AU470,2)</f>
        <v>0</v>
      </c>
      <c r="AW470" s="38"/>
      <c r="AX470" s="37">
        <f t="shared" ref="AX470" si="6753">TRUNC($M470 * AW470,2)</f>
        <v>0</v>
      </c>
      <c r="AY470" s="36">
        <f t="shared" si="6256"/>
        <v>0</v>
      </c>
      <c r="AZ470" s="38">
        <f t="shared" ref="AZ470" si="6754">TRUNC($M470 * AY470,2)</f>
        <v>0</v>
      </c>
      <c r="BA470" s="38">
        <f t="shared" si="6258"/>
        <v>1</v>
      </c>
      <c r="BB470" s="37">
        <f t="shared" ref="BB470" si="6755">TRUNC($M470 * BA470,2)</f>
        <v>620.67999999999995</v>
      </c>
    </row>
    <row r="471" spans="1:54" ht="78" customHeight="1" x14ac:dyDescent="0.25">
      <c r="A471" s="31" t="s">
        <v>1280</v>
      </c>
      <c r="B471" s="31" t="s">
        <v>932</v>
      </c>
      <c r="C471" s="31" t="s">
        <v>34</v>
      </c>
      <c r="D471" s="31" t="s">
        <v>933</v>
      </c>
      <c r="E471" s="32" t="s">
        <v>218</v>
      </c>
      <c r="F471" s="33">
        <v>40</v>
      </c>
      <c r="G471" s="34">
        <v>18.38</v>
      </c>
      <c r="H471" s="34">
        <f t="shared" si="6464"/>
        <v>16.920000000000002</v>
      </c>
      <c r="I471" s="34">
        <f t="shared" si="6236"/>
        <v>676.8</v>
      </c>
      <c r="J471" s="34">
        <f>(TRUNC(H471 * L14,2) + H471)</f>
        <v>20.360000000000003</v>
      </c>
      <c r="K471" s="34">
        <f t="shared" si="6636"/>
        <v>814.4</v>
      </c>
      <c r="L471" s="35">
        <f>K471 / L13</f>
        <v>2.8082758620689649E-4</v>
      </c>
      <c r="M471" s="49">
        <v>16.59</v>
      </c>
      <c r="N471" s="37">
        <f t="shared" si="6238"/>
        <v>663.6</v>
      </c>
      <c r="O471" s="36"/>
      <c r="P471" s="38">
        <f t="shared" si="6239"/>
        <v>0</v>
      </c>
      <c r="Q471" s="38"/>
      <c r="R471" s="38">
        <f t="shared" si="6239"/>
        <v>0</v>
      </c>
      <c r="S471" s="38">
        <f t="shared" si="6240"/>
        <v>40</v>
      </c>
      <c r="T471" s="37">
        <f t="shared" ref="T471:V471" si="6756">TRUNC($M471 * S471,2)</f>
        <v>663.6</v>
      </c>
      <c r="U471" s="36"/>
      <c r="V471" s="38">
        <f t="shared" si="6756"/>
        <v>0</v>
      </c>
      <c r="W471" s="38"/>
      <c r="X471" s="38">
        <f t="shared" ref="X471" si="6757">TRUNC($M471 * W471,2)</f>
        <v>0</v>
      </c>
      <c r="Y471" s="38"/>
      <c r="Z471" s="38">
        <f t="shared" ref="Z471" si="6758">TRUNC($M471 * Y471,2)</f>
        <v>0</v>
      </c>
      <c r="AA471" s="38"/>
      <c r="AB471" s="38">
        <f t="shared" ref="AB471" si="6759">TRUNC($M471 * AA471,2)</f>
        <v>0</v>
      </c>
      <c r="AC471" s="38"/>
      <c r="AD471" s="38">
        <f t="shared" ref="AD471" si="6760">TRUNC($M471 * AC471,2)</f>
        <v>0</v>
      </c>
      <c r="AE471" s="38"/>
      <c r="AF471" s="38">
        <f t="shared" ref="AF471" si="6761">TRUNC($M471 * AE471,2)</f>
        <v>0</v>
      </c>
      <c r="AG471" s="38"/>
      <c r="AH471" s="38">
        <f t="shared" ref="AH471" si="6762">TRUNC($M471 * AG471,2)</f>
        <v>0</v>
      </c>
      <c r="AI471" s="38"/>
      <c r="AJ471" s="38">
        <f t="shared" ref="AJ471" si="6763">TRUNC($M471 * AI471,2)</f>
        <v>0</v>
      </c>
      <c r="AK471" s="38"/>
      <c r="AL471" s="38">
        <f t="shared" ref="AL471" si="6764">TRUNC($M471 * AK471,2)</f>
        <v>0</v>
      </c>
      <c r="AM471" s="38"/>
      <c r="AN471" s="38">
        <f t="shared" ref="AN471" si="6765">TRUNC($M471 * AM471,2)</f>
        <v>0</v>
      </c>
      <c r="AO471" s="38"/>
      <c r="AP471" s="38">
        <f t="shared" ref="AP471" si="6766">TRUNC($M471 * AO471,2)</f>
        <v>0</v>
      </c>
      <c r="AQ471" s="38"/>
      <c r="AR471" s="38">
        <f t="shared" ref="AR471" si="6767">TRUNC($M471 * AQ471,2)</f>
        <v>0</v>
      </c>
      <c r="AS471" s="38"/>
      <c r="AT471" s="38">
        <f t="shared" ref="AT471" si="6768">TRUNC($M471 * AS471,2)</f>
        <v>0</v>
      </c>
      <c r="AU471" s="38"/>
      <c r="AV471" s="38">
        <f t="shared" ref="AV471" si="6769">TRUNC($M471 * AU471,2)</f>
        <v>0</v>
      </c>
      <c r="AW471" s="38"/>
      <c r="AX471" s="37">
        <f t="shared" ref="AX471" si="6770">TRUNC($M471 * AW471,2)</f>
        <v>0</v>
      </c>
      <c r="AY471" s="36">
        <f t="shared" si="6256"/>
        <v>0</v>
      </c>
      <c r="AZ471" s="38">
        <f t="shared" ref="AZ471" si="6771">TRUNC($M471 * AY471,2)</f>
        <v>0</v>
      </c>
      <c r="BA471" s="38">
        <f t="shared" si="6258"/>
        <v>40</v>
      </c>
      <c r="BB471" s="37">
        <f t="shared" ref="BB471" si="6772">TRUNC($M471 * BA471,2)</f>
        <v>663.6</v>
      </c>
    </row>
    <row r="472" spans="1:54" ht="24" customHeight="1" x14ac:dyDescent="0.25">
      <c r="A472" s="4">
        <v>20</v>
      </c>
      <c r="B472" s="4" t="s">
        <v>12</v>
      </c>
      <c r="C472" s="4"/>
      <c r="D472" s="4" t="s">
        <v>934</v>
      </c>
      <c r="E472" s="5"/>
      <c r="F472" s="14"/>
      <c r="G472" s="6"/>
      <c r="H472" s="6"/>
      <c r="I472" s="7">
        <f>SUM(I473,I476,I478)</f>
        <v>7417.18</v>
      </c>
      <c r="J472" s="7"/>
      <c r="K472" s="7">
        <f>SUM(K473,K476,K478)</f>
        <v>8925.2199999999993</v>
      </c>
      <c r="L472" s="22">
        <f>K472 / L13</f>
        <v>3.0776620689655166E-3</v>
      </c>
      <c r="M472" s="25"/>
      <c r="N472" s="26">
        <f>SUM(N473,N476,N478)</f>
        <v>6350.170000000001</v>
      </c>
      <c r="O472" s="25"/>
      <c r="P472" s="30">
        <f>SUM(P473,P476,P478)</f>
        <v>0</v>
      </c>
      <c r="Q472" s="30"/>
      <c r="R472" s="30">
        <f>SUM(R473,R476,R478)</f>
        <v>0</v>
      </c>
      <c r="S472" s="30"/>
      <c r="T472" s="26">
        <f>SUM(T473,T476,T478)</f>
        <v>6350.170000000001</v>
      </c>
      <c r="U472" s="25"/>
      <c r="V472" s="30">
        <f>SUM(V473,V476,V478)</f>
        <v>0</v>
      </c>
      <c r="W472" s="30"/>
      <c r="X472" s="30">
        <f>SUM(X473,X476,X478)</f>
        <v>0</v>
      </c>
      <c r="Y472" s="30"/>
      <c r="Z472" s="30">
        <f>SUM(Z473,Z476,Z478)</f>
        <v>0</v>
      </c>
      <c r="AA472" s="30"/>
      <c r="AB472" s="30">
        <f>SUM(AB473,AB476,AB478)</f>
        <v>0</v>
      </c>
      <c r="AC472" s="30"/>
      <c r="AD472" s="30">
        <f>SUM(AD473,AD476,AD478)</f>
        <v>0</v>
      </c>
      <c r="AE472" s="30"/>
      <c r="AF472" s="30">
        <f>SUM(AF473,AF476,AF478)</f>
        <v>0</v>
      </c>
      <c r="AG472" s="30"/>
      <c r="AH472" s="30">
        <f>SUM(AH473,AH476,AH478)</f>
        <v>0</v>
      </c>
      <c r="AI472" s="30"/>
      <c r="AJ472" s="30">
        <f>SUM(AJ473,AJ476,AJ478)</f>
        <v>0</v>
      </c>
      <c r="AK472" s="30"/>
      <c r="AL472" s="30">
        <f>SUM(AL473,AL476,AL478)</f>
        <v>0</v>
      </c>
      <c r="AM472" s="30"/>
      <c r="AN472" s="30">
        <f>SUM(AN473,AN476,AN478)</f>
        <v>0</v>
      </c>
      <c r="AO472" s="30"/>
      <c r="AP472" s="30">
        <f>SUM(AP473,AP476,AP478)</f>
        <v>0</v>
      </c>
      <c r="AQ472" s="30"/>
      <c r="AR472" s="30">
        <f>SUM(AR473,AR476,AR478)</f>
        <v>0</v>
      </c>
      <c r="AS472" s="30"/>
      <c r="AT472" s="30">
        <f>SUM(AT473,AT476,AT478)</f>
        <v>0</v>
      </c>
      <c r="AU472" s="30"/>
      <c r="AV472" s="30">
        <f>SUM(AV473,AV476,AV478)</f>
        <v>0</v>
      </c>
      <c r="AW472" s="30"/>
      <c r="AX472" s="26">
        <f>SUM(AX473,AX476,AX478)</f>
        <v>0</v>
      </c>
      <c r="AY472" s="25"/>
      <c r="AZ472" s="30">
        <f>SUM(AZ473,AZ476,AZ478)</f>
        <v>0</v>
      </c>
      <c r="BA472" s="30"/>
      <c r="BB472" s="26">
        <f>SUM(BB473,BB476,BB478)</f>
        <v>6350.170000000001</v>
      </c>
    </row>
    <row r="473" spans="1:54" ht="24" customHeight="1" x14ac:dyDescent="0.25">
      <c r="A473" s="4" t="s">
        <v>1281</v>
      </c>
      <c r="B473" s="4" t="s">
        <v>12</v>
      </c>
      <c r="C473" s="4"/>
      <c r="D473" s="4" t="s">
        <v>935</v>
      </c>
      <c r="E473" s="5"/>
      <c r="F473" s="14"/>
      <c r="G473" s="6"/>
      <c r="H473" s="6"/>
      <c r="I473" s="7">
        <f>SUM(I474:I475)</f>
        <v>4277.5200000000004</v>
      </c>
      <c r="J473" s="7"/>
      <c r="K473" s="7">
        <f>SUM(K474:K475)</f>
        <v>5147.25</v>
      </c>
      <c r="L473" s="22">
        <f>K473 / L13</f>
        <v>1.7749137931034481E-3</v>
      </c>
      <c r="M473" s="25"/>
      <c r="N473" s="26">
        <f>SUM(N474:N475)</f>
        <v>3761.1800000000003</v>
      </c>
      <c r="O473" s="25"/>
      <c r="P473" s="30">
        <f>SUM(P474:P475)</f>
        <v>0</v>
      </c>
      <c r="Q473" s="30"/>
      <c r="R473" s="30">
        <f>SUM(R474:R475)</f>
        <v>0</v>
      </c>
      <c r="S473" s="30"/>
      <c r="T473" s="26">
        <f>SUM(T474:T475)</f>
        <v>3761.1800000000003</v>
      </c>
      <c r="U473" s="25"/>
      <c r="V473" s="30">
        <f>SUM(V474:V475)</f>
        <v>0</v>
      </c>
      <c r="W473" s="30"/>
      <c r="X473" s="30">
        <f>SUM(X474:X475)</f>
        <v>0</v>
      </c>
      <c r="Y473" s="30"/>
      <c r="Z473" s="30">
        <f>SUM(Z474:Z475)</f>
        <v>0</v>
      </c>
      <c r="AA473" s="30"/>
      <c r="AB473" s="30">
        <f>SUM(AB474:AB475)</f>
        <v>0</v>
      </c>
      <c r="AC473" s="30"/>
      <c r="AD473" s="30">
        <f>SUM(AD474:AD475)</f>
        <v>0</v>
      </c>
      <c r="AE473" s="30"/>
      <c r="AF473" s="30">
        <f>SUM(AF474:AF475)</f>
        <v>0</v>
      </c>
      <c r="AG473" s="30"/>
      <c r="AH473" s="30">
        <f>SUM(AH474:AH475)</f>
        <v>0</v>
      </c>
      <c r="AI473" s="30"/>
      <c r="AJ473" s="30">
        <f>SUM(AJ474:AJ475)</f>
        <v>0</v>
      </c>
      <c r="AK473" s="30"/>
      <c r="AL473" s="30">
        <f>SUM(AL474:AL475)</f>
        <v>0</v>
      </c>
      <c r="AM473" s="30"/>
      <c r="AN473" s="30">
        <f>SUM(AN474:AN475)</f>
        <v>0</v>
      </c>
      <c r="AO473" s="30"/>
      <c r="AP473" s="30">
        <f>SUM(AP474:AP475)</f>
        <v>0</v>
      </c>
      <c r="AQ473" s="30"/>
      <c r="AR473" s="30">
        <f>SUM(AR474:AR475)</f>
        <v>0</v>
      </c>
      <c r="AS473" s="30"/>
      <c r="AT473" s="30">
        <f>SUM(AT474:AT475)</f>
        <v>0</v>
      </c>
      <c r="AU473" s="30"/>
      <c r="AV473" s="30">
        <f>SUM(AV474:AV475)</f>
        <v>0</v>
      </c>
      <c r="AW473" s="30"/>
      <c r="AX473" s="26">
        <f>SUM(AX474:AX475)</f>
        <v>0</v>
      </c>
      <c r="AY473" s="25"/>
      <c r="AZ473" s="30">
        <f>SUM(AZ474:AZ475)</f>
        <v>0</v>
      </c>
      <c r="BA473" s="30"/>
      <c r="BB473" s="26">
        <f>SUM(BB474:BB475)</f>
        <v>3761.1800000000003</v>
      </c>
    </row>
    <row r="474" spans="1:54" ht="26.1" customHeight="1" x14ac:dyDescent="0.25">
      <c r="A474" s="31" t="s">
        <v>1282</v>
      </c>
      <c r="B474" s="31" t="s">
        <v>936</v>
      </c>
      <c r="C474" s="31" t="s">
        <v>34</v>
      </c>
      <c r="D474" s="31" t="s">
        <v>937</v>
      </c>
      <c r="E474" s="32" t="s">
        <v>26</v>
      </c>
      <c r="F474" s="33">
        <v>15.06</v>
      </c>
      <c r="G474" s="34">
        <v>179.37</v>
      </c>
      <c r="H474" s="34">
        <f t="shared" ref="H474:H481" si="6773">TRUNC(G474*$L$1,2)</f>
        <v>165.15</v>
      </c>
      <c r="I474" s="34">
        <f t="shared" ref="I474:I481" si="6774">TRUNC(F474 * H474,2)</f>
        <v>2487.15</v>
      </c>
      <c r="J474" s="34">
        <f>(TRUNC(H474 * L14,2) + H474)</f>
        <v>198.74</v>
      </c>
      <c r="K474" s="34">
        <f>TRUNC(F474 * J474,2)</f>
        <v>2993.02</v>
      </c>
      <c r="L474" s="35">
        <f>K474 / L13</f>
        <v>1.0320758620689654E-3</v>
      </c>
      <c r="M474" s="36">
        <v>143.68</v>
      </c>
      <c r="N474" s="37">
        <f t="shared" ref="N474:N481" si="6775">TRUNC(F474 * M474,2)</f>
        <v>2163.8200000000002</v>
      </c>
      <c r="O474" s="36"/>
      <c r="P474" s="38">
        <f t="shared" ref="P474:R481" si="6776">TRUNC($M474 * O474,2)</f>
        <v>0</v>
      </c>
      <c r="Q474" s="38"/>
      <c r="R474" s="38">
        <f t="shared" si="6776"/>
        <v>0</v>
      </c>
      <c r="S474" s="38">
        <f t="shared" ref="S474:S481" si="6777">F474+O474-Q474</f>
        <v>15.06</v>
      </c>
      <c r="T474" s="37">
        <f t="shared" ref="T474:V474" si="6778">TRUNC($M474 * S474,2)</f>
        <v>2163.8200000000002</v>
      </c>
      <c r="U474" s="36"/>
      <c r="V474" s="38">
        <f t="shared" si="6778"/>
        <v>0</v>
      </c>
      <c r="W474" s="38"/>
      <c r="X474" s="38">
        <f t="shared" ref="X474" si="6779">TRUNC($M474 * W474,2)</f>
        <v>0</v>
      </c>
      <c r="Y474" s="38"/>
      <c r="Z474" s="38">
        <f t="shared" ref="Z474" si="6780">TRUNC($M474 * Y474,2)</f>
        <v>0</v>
      </c>
      <c r="AA474" s="38"/>
      <c r="AB474" s="38">
        <f t="shared" ref="AB474" si="6781">TRUNC($M474 * AA474,2)</f>
        <v>0</v>
      </c>
      <c r="AC474" s="38"/>
      <c r="AD474" s="38">
        <f t="shared" ref="AD474" si="6782">TRUNC($M474 * AC474,2)</f>
        <v>0</v>
      </c>
      <c r="AE474" s="38"/>
      <c r="AF474" s="38">
        <f t="shared" ref="AF474" si="6783">TRUNC($M474 * AE474,2)</f>
        <v>0</v>
      </c>
      <c r="AG474" s="38"/>
      <c r="AH474" s="38">
        <f t="shared" ref="AH474" si="6784">TRUNC($M474 * AG474,2)</f>
        <v>0</v>
      </c>
      <c r="AI474" s="38"/>
      <c r="AJ474" s="38">
        <f t="shared" ref="AJ474" si="6785">TRUNC($M474 * AI474,2)</f>
        <v>0</v>
      </c>
      <c r="AK474" s="38"/>
      <c r="AL474" s="38">
        <f t="shared" ref="AL474" si="6786">TRUNC($M474 * AK474,2)</f>
        <v>0</v>
      </c>
      <c r="AM474" s="38"/>
      <c r="AN474" s="38">
        <f t="shared" ref="AN474" si="6787">TRUNC($M474 * AM474,2)</f>
        <v>0</v>
      </c>
      <c r="AO474" s="38"/>
      <c r="AP474" s="38">
        <f t="shared" ref="AP474" si="6788">TRUNC($M474 * AO474,2)</f>
        <v>0</v>
      </c>
      <c r="AQ474" s="38"/>
      <c r="AR474" s="38">
        <f t="shared" ref="AR474" si="6789">TRUNC($M474 * AQ474,2)</f>
        <v>0</v>
      </c>
      <c r="AS474" s="38"/>
      <c r="AT474" s="38">
        <f t="shared" ref="AT474" si="6790">TRUNC($M474 * AS474,2)</f>
        <v>0</v>
      </c>
      <c r="AU474" s="38"/>
      <c r="AV474" s="38">
        <f t="shared" ref="AV474" si="6791">TRUNC($M474 * AU474,2)</f>
        <v>0</v>
      </c>
      <c r="AW474" s="38"/>
      <c r="AX474" s="37">
        <f t="shared" ref="AX474" si="6792">TRUNC($M474 * AW474,2)</f>
        <v>0</v>
      </c>
      <c r="AY474" s="36">
        <f t="shared" ref="AY474:AY481" si="6793">SUM(U474,W474,Y474,AA474,AC474,AE474,AG474,AI474,AK474,AM474,AO474,AQ474,AS474,AU474,AW474)</f>
        <v>0</v>
      </c>
      <c r="AZ474" s="38">
        <f t="shared" ref="AZ474" si="6794">TRUNC($M474 * AY474,2)</f>
        <v>0</v>
      </c>
      <c r="BA474" s="38">
        <f t="shared" ref="BA474:BA481" si="6795">S474-AY474</f>
        <v>15.06</v>
      </c>
      <c r="BB474" s="37">
        <f t="shared" ref="BB474" si="6796">TRUNC($M474 * BA474,2)</f>
        <v>2163.8200000000002</v>
      </c>
    </row>
    <row r="475" spans="1:54" ht="51.9" customHeight="1" x14ac:dyDescent="0.25">
      <c r="A475" s="31" t="s">
        <v>1283</v>
      </c>
      <c r="B475" s="31" t="s">
        <v>938</v>
      </c>
      <c r="C475" s="31" t="s">
        <v>34</v>
      </c>
      <c r="D475" s="31" t="s">
        <v>939</v>
      </c>
      <c r="E475" s="32" t="s">
        <v>218</v>
      </c>
      <c r="F475" s="33">
        <v>45.2</v>
      </c>
      <c r="G475" s="34">
        <v>43.03</v>
      </c>
      <c r="H475" s="34">
        <f t="shared" si="6773"/>
        <v>39.61</v>
      </c>
      <c r="I475" s="34">
        <f t="shared" si="6774"/>
        <v>1790.37</v>
      </c>
      <c r="J475" s="34">
        <f>(TRUNC(H475 * L14,2) + H475)</f>
        <v>47.66</v>
      </c>
      <c r="K475" s="34">
        <f>TRUNC(F475 * J475,2)</f>
        <v>2154.23</v>
      </c>
      <c r="L475" s="35">
        <f>K475 / L13</f>
        <v>7.4283793103448268E-4</v>
      </c>
      <c r="M475" s="36">
        <v>35.340000000000003</v>
      </c>
      <c r="N475" s="37">
        <f t="shared" si="6775"/>
        <v>1597.36</v>
      </c>
      <c r="O475" s="36"/>
      <c r="P475" s="38">
        <f t="shared" si="6776"/>
        <v>0</v>
      </c>
      <c r="Q475" s="38"/>
      <c r="R475" s="38">
        <f t="shared" si="6776"/>
        <v>0</v>
      </c>
      <c r="S475" s="38">
        <f t="shared" si="6777"/>
        <v>45.2</v>
      </c>
      <c r="T475" s="37">
        <f t="shared" ref="T475:V475" si="6797">TRUNC($M475 * S475,2)</f>
        <v>1597.36</v>
      </c>
      <c r="U475" s="36"/>
      <c r="V475" s="38">
        <f t="shared" si="6797"/>
        <v>0</v>
      </c>
      <c r="W475" s="38"/>
      <c r="X475" s="38">
        <f t="shared" ref="X475" si="6798">TRUNC($M475 * W475,2)</f>
        <v>0</v>
      </c>
      <c r="Y475" s="38"/>
      <c r="Z475" s="38">
        <f t="shared" ref="Z475" si="6799">TRUNC($M475 * Y475,2)</f>
        <v>0</v>
      </c>
      <c r="AA475" s="38"/>
      <c r="AB475" s="38">
        <f t="shared" ref="AB475" si="6800">TRUNC($M475 * AA475,2)</f>
        <v>0</v>
      </c>
      <c r="AC475" s="38"/>
      <c r="AD475" s="38">
        <f t="shared" ref="AD475" si="6801">TRUNC($M475 * AC475,2)</f>
        <v>0</v>
      </c>
      <c r="AE475" s="38"/>
      <c r="AF475" s="38">
        <f t="shared" ref="AF475" si="6802">TRUNC($M475 * AE475,2)</f>
        <v>0</v>
      </c>
      <c r="AG475" s="38"/>
      <c r="AH475" s="38">
        <f t="shared" ref="AH475" si="6803">TRUNC($M475 * AG475,2)</f>
        <v>0</v>
      </c>
      <c r="AI475" s="38"/>
      <c r="AJ475" s="38">
        <f t="shared" ref="AJ475" si="6804">TRUNC($M475 * AI475,2)</f>
        <v>0</v>
      </c>
      <c r="AK475" s="38"/>
      <c r="AL475" s="38">
        <f t="shared" ref="AL475" si="6805">TRUNC($M475 * AK475,2)</f>
        <v>0</v>
      </c>
      <c r="AM475" s="38"/>
      <c r="AN475" s="38">
        <f t="shared" ref="AN475" si="6806">TRUNC($M475 * AM475,2)</f>
        <v>0</v>
      </c>
      <c r="AO475" s="38"/>
      <c r="AP475" s="38">
        <f t="shared" ref="AP475" si="6807">TRUNC($M475 * AO475,2)</f>
        <v>0</v>
      </c>
      <c r="AQ475" s="38"/>
      <c r="AR475" s="38">
        <f t="shared" ref="AR475" si="6808">TRUNC($M475 * AQ475,2)</f>
        <v>0</v>
      </c>
      <c r="AS475" s="38"/>
      <c r="AT475" s="38">
        <f t="shared" ref="AT475" si="6809">TRUNC($M475 * AS475,2)</f>
        <v>0</v>
      </c>
      <c r="AU475" s="38"/>
      <c r="AV475" s="38">
        <f t="shared" ref="AV475" si="6810">TRUNC($M475 * AU475,2)</f>
        <v>0</v>
      </c>
      <c r="AW475" s="38"/>
      <c r="AX475" s="37">
        <f t="shared" ref="AX475" si="6811">TRUNC($M475 * AW475,2)</f>
        <v>0</v>
      </c>
      <c r="AY475" s="36">
        <f t="shared" si="6793"/>
        <v>0</v>
      </c>
      <c r="AZ475" s="38">
        <f t="shared" ref="AZ475" si="6812">TRUNC($M475 * AY475,2)</f>
        <v>0</v>
      </c>
      <c r="BA475" s="38">
        <f t="shared" si="6795"/>
        <v>45.2</v>
      </c>
      <c r="BB475" s="37">
        <f t="shared" ref="BB475" si="6813">TRUNC($M475 * BA475,2)</f>
        <v>1597.36</v>
      </c>
    </row>
    <row r="476" spans="1:54" ht="24" customHeight="1" x14ac:dyDescent="0.25">
      <c r="A476" s="4" t="s">
        <v>1284</v>
      </c>
      <c r="B476" s="4" t="s">
        <v>12</v>
      </c>
      <c r="C476" s="4"/>
      <c r="D476" s="4" t="s">
        <v>940</v>
      </c>
      <c r="E476" s="5"/>
      <c r="F476" s="14"/>
      <c r="G476" s="6"/>
      <c r="H476" s="6"/>
      <c r="I476" s="7">
        <f>SUM(I477)</f>
        <v>2150.46</v>
      </c>
      <c r="J476" s="7"/>
      <c r="K476" s="7">
        <f>SUM(K477)</f>
        <v>2587.5700000000002</v>
      </c>
      <c r="L476" s="22">
        <f>K476 / L13</f>
        <v>8.9226551724137923E-4</v>
      </c>
      <c r="M476" s="25"/>
      <c r="N476" s="26">
        <f>SUM(N477)</f>
        <v>1803.19</v>
      </c>
      <c r="O476" s="25"/>
      <c r="P476" s="30">
        <f>SUM(P477)</f>
        <v>0</v>
      </c>
      <c r="Q476" s="30"/>
      <c r="R476" s="30">
        <f>SUM(R477)</f>
        <v>0</v>
      </c>
      <c r="S476" s="30"/>
      <c r="T476" s="26">
        <f>SUM(T477)</f>
        <v>1803.19</v>
      </c>
      <c r="U476" s="25"/>
      <c r="V476" s="30">
        <f>SUM(V477)</f>
        <v>0</v>
      </c>
      <c r="W476" s="30"/>
      <c r="X476" s="30">
        <f>SUM(X477)</f>
        <v>0</v>
      </c>
      <c r="Y476" s="30"/>
      <c r="Z476" s="30">
        <f>SUM(Z477)</f>
        <v>0</v>
      </c>
      <c r="AA476" s="30"/>
      <c r="AB476" s="30">
        <f>SUM(AB477)</f>
        <v>0</v>
      </c>
      <c r="AC476" s="30"/>
      <c r="AD476" s="30">
        <f>SUM(AD477)</f>
        <v>0</v>
      </c>
      <c r="AE476" s="30"/>
      <c r="AF476" s="30">
        <f>SUM(AF477)</f>
        <v>0</v>
      </c>
      <c r="AG476" s="30"/>
      <c r="AH476" s="30">
        <f>SUM(AH477)</f>
        <v>0</v>
      </c>
      <c r="AI476" s="30"/>
      <c r="AJ476" s="30">
        <f>SUM(AJ477)</f>
        <v>0</v>
      </c>
      <c r="AK476" s="30"/>
      <c r="AL476" s="30">
        <f>SUM(AL477)</f>
        <v>0</v>
      </c>
      <c r="AM476" s="30"/>
      <c r="AN476" s="30">
        <f>SUM(AN477)</f>
        <v>0</v>
      </c>
      <c r="AO476" s="30"/>
      <c r="AP476" s="30">
        <f>SUM(AP477)</f>
        <v>0</v>
      </c>
      <c r="AQ476" s="30"/>
      <c r="AR476" s="30">
        <f>SUM(AR477)</f>
        <v>0</v>
      </c>
      <c r="AS476" s="30"/>
      <c r="AT476" s="30">
        <f>SUM(AT477)</f>
        <v>0</v>
      </c>
      <c r="AU476" s="30"/>
      <c r="AV476" s="30">
        <f>SUM(AV477)</f>
        <v>0</v>
      </c>
      <c r="AW476" s="30"/>
      <c r="AX476" s="26">
        <f>SUM(AX477)</f>
        <v>0</v>
      </c>
      <c r="AY476" s="25"/>
      <c r="AZ476" s="30">
        <f>SUM(AZ477)</f>
        <v>0</v>
      </c>
      <c r="BA476" s="30"/>
      <c r="BB476" s="26">
        <f>SUM(BB477)</f>
        <v>1803.19</v>
      </c>
    </row>
    <row r="477" spans="1:54" ht="26.1" customHeight="1" x14ac:dyDescent="0.25">
      <c r="A477" s="31" t="s">
        <v>1285</v>
      </c>
      <c r="B477" s="31" t="s">
        <v>941</v>
      </c>
      <c r="C477" s="31" t="s">
        <v>34</v>
      </c>
      <c r="D477" s="31" t="s">
        <v>942</v>
      </c>
      <c r="E477" s="32" t="s">
        <v>26</v>
      </c>
      <c r="F477" s="33">
        <v>109.55</v>
      </c>
      <c r="G477" s="34">
        <v>21.32</v>
      </c>
      <c r="H477" s="34">
        <f t="shared" si="6773"/>
        <v>19.63</v>
      </c>
      <c r="I477" s="34">
        <f t="shared" si="6774"/>
        <v>2150.46</v>
      </c>
      <c r="J477" s="34">
        <f>(TRUNC(H477 * L14,2) + H477)</f>
        <v>23.619999999999997</v>
      </c>
      <c r="K477" s="34">
        <f>TRUNC(F477 * J477,2)</f>
        <v>2587.5700000000002</v>
      </c>
      <c r="L477" s="35">
        <f>K477 / L13</f>
        <v>8.9226551724137923E-4</v>
      </c>
      <c r="M477" s="36">
        <v>16.46</v>
      </c>
      <c r="N477" s="37">
        <f t="shared" si="6775"/>
        <v>1803.19</v>
      </c>
      <c r="O477" s="36"/>
      <c r="P477" s="38">
        <f t="shared" si="6776"/>
        <v>0</v>
      </c>
      <c r="Q477" s="38"/>
      <c r="R477" s="38">
        <f t="shared" si="6776"/>
        <v>0</v>
      </c>
      <c r="S477" s="38">
        <f t="shared" si="6777"/>
        <v>109.55</v>
      </c>
      <c r="T477" s="37">
        <f t="shared" ref="T477:V477" si="6814">TRUNC($M477 * S477,2)</f>
        <v>1803.19</v>
      </c>
      <c r="U477" s="36"/>
      <c r="V477" s="38">
        <f t="shared" si="6814"/>
        <v>0</v>
      </c>
      <c r="W477" s="38"/>
      <c r="X477" s="38">
        <f t="shared" ref="X477" si="6815">TRUNC($M477 * W477,2)</f>
        <v>0</v>
      </c>
      <c r="Y477" s="38"/>
      <c r="Z477" s="38">
        <f t="shared" ref="Z477" si="6816">TRUNC($M477 * Y477,2)</f>
        <v>0</v>
      </c>
      <c r="AA477" s="38"/>
      <c r="AB477" s="38">
        <f t="shared" ref="AB477" si="6817">TRUNC($M477 * AA477,2)</f>
        <v>0</v>
      </c>
      <c r="AC477" s="38"/>
      <c r="AD477" s="38">
        <f t="shared" ref="AD477" si="6818">TRUNC($M477 * AC477,2)</f>
        <v>0</v>
      </c>
      <c r="AE477" s="38"/>
      <c r="AF477" s="38">
        <f t="shared" ref="AF477" si="6819">TRUNC($M477 * AE477,2)</f>
        <v>0</v>
      </c>
      <c r="AG477" s="38"/>
      <c r="AH477" s="38">
        <f t="shared" ref="AH477" si="6820">TRUNC($M477 * AG477,2)</f>
        <v>0</v>
      </c>
      <c r="AI477" s="38"/>
      <c r="AJ477" s="38">
        <f t="shared" ref="AJ477" si="6821">TRUNC($M477 * AI477,2)</f>
        <v>0</v>
      </c>
      <c r="AK477" s="38"/>
      <c r="AL477" s="38">
        <f t="shared" ref="AL477" si="6822">TRUNC($M477 * AK477,2)</f>
        <v>0</v>
      </c>
      <c r="AM477" s="38"/>
      <c r="AN477" s="38">
        <f t="shared" ref="AN477" si="6823">TRUNC($M477 * AM477,2)</f>
        <v>0</v>
      </c>
      <c r="AO477" s="38"/>
      <c r="AP477" s="38">
        <f t="shared" ref="AP477" si="6824">TRUNC($M477 * AO477,2)</f>
        <v>0</v>
      </c>
      <c r="AQ477" s="38"/>
      <c r="AR477" s="38">
        <f t="shared" ref="AR477" si="6825">TRUNC($M477 * AQ477,2)</f>
        <v>0</v>
      </c>
      <c r="AS477" s="38"/>
      <c r="AT477" s="38">
        <f t="shared" ref="AT477" si="6826">TRUNC($M477 * AS477,2)</f>
        <v>0</v>
      </c>
      <c r="AU477" s="38"/>
      <c r="AV477" s="38">
        <f t="shared" ref="AV477" si="6827">TRUNC($M477 * AU477,2)</f>
        <v>0</v>
      </c>
      <c r="AW477" s="38"/>
      <c r="AX477" s="37">
        <f t="shared" ref="AX477" si="6828">TRUNC($M477 * AW477,2)</f>
        <v>0</v>
      </c>
      <c r="AY477" s="36">
        <f t="shared" si="6793"/>
        <v>0</v>
      </c>
      <c r="AZ477" s="38">
        <f t="shared" ref="AZ477" si="6829">TRUNC($M477 * AY477,2)</f>
        <v>0</v>
      </c>
      <c r="BA477" s="38">
        <f t="shared" si="6795"/>
        <v>109.55</v>
      </c>
      <c r="BB477" s="37">
        <f t="shared" ref="BB477" si="6830">TRUNC($M477 * BA477,2)</f>
        <v>1803.19</v>
      </c>
    </row>
    <row r="478" spans="1:54" ht="24" customHeight="1" x14ac:dyDescent="0.25">
      <c r="A478" s="4" t="s">
        <v>1286</v>
      </c>
      <c r="B478" s="4" t="s">
        <v>12</v>
      </c>
      <c r="C478" s="4"/>
      <c r="D478" s="4" t="s">
        <v>943</v>
      </c>
      <c r="E478" s="5"/>
      <c r="F478" s="14"/>
      <c r="G478" s="6"/>
      <c r="H478" s="6"/>
      <c r="I478" s="7">
        <f>SUM(I479)</f>
        <v>989.2</v>
      </c>
      <c r="J478" s="7"/>
      <c r="K478" s="7">
        <f>SUM(K479)</f>
        <v>1190.4000000000001</v>
      </c>
      <c r="L478" s="22">
        <f>K478 / L13</f>
        <v>4.1048275862068964E-4</v>
      </c>
      <c r="M478" s="25"/>
      <c r="N478" s="26">
        <f>SUM(N479)</f>
        <v>785.8</v>
      </c>
      <c r="O478" s="25"/>
      <c r="P478" s="30">
        <f>SUM(P479)</f>
        <v>0</v>
      </c>
      <c r="Q478" s="30"/>
      <c r="R478" s="30">
        <f>SUM(R479)</f>
        <v>0</v>
      </c>
      <c r="S478" s="30"/>
      <c r="T478" s="26">
        <f>SUM(T479)</f>
        <v>785.8</v>
      </c>
      <c r="U478" s="25"/>
      <c r="V478" s="30">
        <f>SUM(V479)</f>
        <v>0</v>
      </c>
      <c r="W478" s="30"/>
      <c r="X478" s="30">
        <f>SUM(X479)</f>
        <v>0</v>
      </c>
      <c r="Y478" s="30"/>
      <c r="Z478" s="30">
        <f>SUM(Z479)</f>
        <v>0</v>
      </c>
      <c r="AA478" s="30"/>
      <c r="AB478" s="30">
        <f>SUM(AB479)</f>
        <v>0</v>
      </c>
      <c r="AC478" s="30"/>
      <c r="AD478" s="30">
        <f>SUM(AD479)</f>
        <v>0</v>
      </c>
      <c r="AE478" s="30"/>
      <c r="AF478" s="30">
        <f>SUM(AF479)</f>
        <v>0</v>
      </c>
      <c r="AG478" s="30"/>
      <c r="AH478" s="30">
        <f>SUM(AH479)</f>
        <v>0</v>
      </c>
      <c r="AI478" s="30"/>
      <c r="AJ478" s="30">
        <f>SUM(AJ479)</f>
        <v>0</v>
      </c>
      <c r="AK478" s="30"/>
      <c r="AL478" s="30">
        <f>SUM(AL479)</f>
        <v>0</v>
      </c>
      <c r="AM478" s="30"/>
      <c r="AN478" s="30">
        <f>SUM(AN479)</f>
        <v>0</v>
      </c>
      <c r="AO478" s="30"/>
      <c r="AP478" s="30">
        <f>SUM(AP479)</f>
        <v>0</v>
      </c>
      <c r="AQ478" s="30"/>
      <c r="AR478" s="30">
        <f>SUM(AR479)</f>
        <v>0</v>
      </c>
      <c r="AS478" s="30"/>
      <c r="AT478" s="30">
        <f>SUM(AT479)</f>
        <v>0</v>
      </c>
      <c r="AU478" s="30"/>
      <c r="AV478" s="30">
        <f>SUM(AV479)</f>
        <v>0</v>
      </c>
      <c r="AW478" s="30"/>
      <c r="AX478" s="26">
        <f>SUM(AX479)</f>
        <v>0</v>
      </c>
      <c r="AY478" s="25"/>
      <c r="AZ478" s="30">
        <f>SUM(AZ479)</f>
        <v>0</v>
      </c>
      <c r="BA478" s="30"/>
      <c r="BB478" s="26">
        <f>SUM(BB479)</f>
        <v>785.8</v>
      </c>
    </row>
    <row r="479" spans="1:54" ht="26.1" customHeight="1" x14ac:dyDescent="0.25">
      <c r="A479" s="31" t="s">
        <v>1287</v>
      </c>
      <c r="B479" s="31" t="s">
        <v>944</v>
      </c>
      <c r="C479" s="31" t="s">
        <v>24</v>
      </c>
      <c r="D479" s="31" t="s">
        <v>945</v>
      </c>
      <c r="E479" s="32" t="s">
        <v>171</v>
      </c>
      <c r="F479" s="33">
        <v>10</v>
      </c>
      <c r="G479" s="34">
        <v>107.44</v>
      </c>
      <c r="H479" s="34">
        <f t="shared" si="6773"/>
        <v>98.92</v>
      </c>
      <c r="I479" s="34">
        <f t="shared" si="6774"/>
        <v>989.2</v>
      </c>
      <c r="J479" s="34">
        <f>(TRUNC(H479 * L14,2) + H479)</f>
        <v>119.04</v>
      </c>
      <c r="K479" s="34">
        <f>TRUNC(F479 * J479,2)</f>
        <v>1190.4000000000001</v>
      </c>
      <c r="L479" s="35">
        <f>K479 / L13</f>
        <v>4.1048275862068964E-4</v>
      </c>
      <c r="M479" s="36">
        <v>78.58</v>
      </c>
      <c r="N479" s="37">
        <f t="shared" si="6775"/>
        <v>785.8</v>
      </c>
      <c r="O479" s="36"/>
      <c r="P479" s="38">
        <f t="shared" si="6776"/>
        <v>0</v>
      </c>
      <c r="Q479" s="38"/>
      <c r="R479" s="38">
        <f t="shared" si="6776"/>
        <v>0</v>
      </c>
      <c r="S479" s="38">
        <f t="shared" si="6777"/>
        <v>10</v>
      </c>
      <c r="T479" s="37">
        <f t="shared" ref="T479:V479" si="6831">TRUNC($M479 * S479,2)</f>
        <v>785.8</v>
      </c>
      <c r="U479" s="36"/>
      <c r="V479" s="38">
        <f t="shared" si="6831"/>
        <v>0</v>
      </c>
      <c r="W479" s="38"/>
      <c r="X479" s="38">
        <f t="shared" ref="X479" si="6832">TRUNC($M479 * W479,2)</f>
        <v>0</v>
      </c>
      <c r="Y479" s="38"/>
      <c r="Z479" s="38">
        <f t="shared" ref="Z479" si="6833">TRUNC($M479 * Y479,2)</f>
        <v>0</v>
      </c>
      <c r="AA479" s="38"/>
      <c r="AB479" s="38">
        <f t="shared" ref="AB479" si="6834">TRUNC($M479 * AA479,2)</f>
        <v>0</v>
      </c>
      <c r="AC479" s="38"/>
      <c r="AD479" s="38">
        <f t="shared" ref="AD479" si="6835">TRUNC($M479 * AC479,2)</f>
        <v>0</v>
      </c>
      <c r="AE479" s="38"/>
      <c r="AF479" s="38">
        <f t="shared" ref="AF479" si="6836">TRUNC($M479 * AE479,2)</f>
        <v>0</v>
      </c>
      <c r="AG479" s="38"/>
      <c r="AH479" s="38">
        <f t="shared" ref="AH479" si="6837">TRUNC($M479 * AG479,2)</f>
        <v>0</v>
      </c>
      <c r="AI479" s="38"/>
      <c r="AJ479" s="38">
        <f t="shared" ref="AJ479" si="6838">TRUNC($M479 * AI479,2)</f>
        <v>0</v>
      </c>
      <c r="AK479" s="38"/>
      <c r="AL479" s="38">
        <f t="shared" ref="AL479" si="6839">TRUNC($M479 * AK479,2)</f>
        <v>0</v>
      </c>
      <c r="AM479" s="38"/>
      <c r="AN479" s="38">
        <f t="shared" ref="AN479" si="6840">TRUNC($M479 * AM479,2)</f>
        <v>0</v>
      </c>
      <c r="AO479" s="38"/>
      <c r="AP479" s="38">
        <f t="shared" ref="AP479" si="6841">TRUNC($M479 * AO479,2)</f>
        <v>0</v>
      </c>
      <c r="AQ479" s="38"/>
      <c r="AR479" s="38">
        <f t="shared" ref="AR479" si="6842">TRUNC($M479 * AQ479,2)</f>
        <v>0</v>
      </c>
      <c r="AS479" s="38"/>
      <c r="AT479" s="38">
        <f t="shared" ref="AT479" si="6843">TRUNC($M479 * AS479,2)</f>
        <v>0</v>
      </c>
      <c r="AU479" s="38"/>
      <c r="AV479" s="38">
        <f t="shared" ref="AV479" si="6844">TRUNC($M479 * AU479,2)</f>
        <v>0</v>
      </c>
      <c r="AW479" s="38"/>
      <c r="AX479" s="37">
        <f t="shared" ref="AX479" si="6845">TRUNC($M479 * AW479,2)</f>
        <v>0</v>
      </c>
      <c r="AY479" s="36">
        <f t="shared" si="6793"/>
        <v>0</v>
      </c>
      <c r="AZ479" s="38">
        <f t="shared" ref="AZ479" si="6846">TRUNC($M479 * AY479,2)</f>
        <v>0</v>
      </c>
      <c r="BA479" s="38">
        <f t="shared" si="6795"/>
        <v>10</v>
      </c>
      <c r="BB479" s="37">
        <f t="shared" ref="BB479" si="6847">TRUNC($M479 * BA479,2)</f>
        <v>785.8</v>
      </c>
    </row>
    <row r="480" spans="1:54" ht="24" customHeight="1" x14ac:dyDescent="0.25">
      <c r="A480" s="4">
        <v>21</v>
      </c>
      <c r="B480" s="4" t="s">
        <v>12</v>
      </c>
      <c r="C480" s="4"/>
      <c r="D480" s="4" t="s">
        <v>946</v>
      </c>
      <c r="E480" s="5"/>
      <c r="F480" s="14"/>
      <c r="G480" s="6"/>
      <c r="H480" s="6"/>
      <c r="I480" s="7">
        <f>I481</f>
        <v>1075.3599999999999</v>
      </c>
      <c r="J480" s="7"/>
      <c r="K480" s="7">
        <f>K481</f>
        <v>1290.43</v>
      </c>
      <c r="L480" s="22">
        <f>K480 / L13</f>
        <v>4.4497586206896549E-4</v>
      </c>
      <c r="M480" s="25"/>
      <c r="N480" s="26">
        <f>N481</f>
        <v>1125.3800000000001</v>
      </c>
      <c r="O480" s="25"/>
      <c r="P480" s="30">
        <f>P481</f>
        <v>0</v>
      </c>
      <c r="Q480" s="30"/>
      <c r="R480" s="30">
        <f>R481</f>
        <v>0</v>
      </c>
      <c r="S480" s="30"/>
      <c r="T480" s="26">
        <f>T481</f>
        <v>1125.3800000000001</v>
      </c>
      <c r="U480" s="25"/>
      <c r="V480" s="30">
        <f>V481</f>
        <v>0</v>
      </c>
      <c r="W480" s="30"/>
      <c r="X480" s="30">
        <f>X481</f>
        <v>0</v>
      </c>
      <c r="Y480" s="30"/>
      <c r="Z480" s="30">
        <f>Z481</f>
        <v>0</v>
      </c>
      <c r="AA480" s="30"/>
      <c r="AB480" s="30">
        <f>AB481</f>
        <v>0</v>
      </c>
      <c r="AC480" s="30"/>
      <c r="AD480" s="30">
        <f>AD481</f>
        <v>0</v>
      </c>
      <c r="AE480" s="30"/>
      <c r="AF480" s="30">
        <f>AF481</f>
        <v>0</v>
      </c>
      <c r="AG480" s="30"/>
      <c r="AH480" s="30">
        <f>AH481</f>
        <v>0</v>
      </c>
      <c r="AI480" s="30"/>
      <c r="AJ480" s="30">
        <f>AJ481</f>
        <v>0</v>
      </c>
      <c r="AK480" s="30"/>
      <c r="AL480" s="30">
        <f>AL481</f>
        <v>0</v>
      </c>
      <c r="AM480" s="30"/>
      <c r="AN480" s="30">
        <f>AN481</f>
        <v>0</v>
      </c>
      <c r="AO480" s="30"/>
      <c r="AP480" s="30">
        <f>AP481</f>
        <v>0</v>
      </c>
      <c r="AQ480" s="30"/>
      <c r="AR480" s="30">
        <f>AR481</f>
        <v>0</v>
      </c>
      <c r="AS480" s="30"/>
      <c r="AT480" s="30">
        <f>AT481</f>
        <v>0</v>
      </c>
      <c r="AU480" s="30"/>
      <c r="AV480" s="30">
        <f>AV481</f>
        <v>0</v>
      </c>
      <c r="AW480" s="30"/>
      <c r="AX480" s="26">
        <f>AX481</f>
        <v>0</v>
      </c>
      <c r="AY480" s="25"/>
      <c r="AZ480" s="30">
        <f>AZ481</f>
        <v>0</v>
      </c>
      <c r="BA480" s="30"/>
      <c r="BB480" s="26">
        <f>BB481</f>
        <v>1125.3800000000001</v>
      </c>
    </row>
    <row r="481" spans="1:54" ht="24" customHeight="1" x14ac:dyDescent="0.25">
      <c r="A481" s="31" t="s">
        <v>1288</v>
      </c>
      <c r="B481" s="31" t="s">
        <v>947</v>
      </c>
      <c r="C481" s="31" t="s">
        <v>24</v>
      </c>
      <c r="D481" s="31" t="s">
        <v>948</v>
      </c>
      <c r="E481" s="32" t="s">
        <v>26</v>
      </c>
      <c r="F481" s="33">
        <v>500.17</v>
      </c>
      <c r="G481" s="34">
        <v>2.34</v>
      </c>
      <c r="H481" s="34">
        <f t="shared" si="6773"/>
        <v>2.15</v>
      </c>
      <c r="I481" s="34">
        <f t="shared" si="6774"/>
        <v>1075.3599999999999</v>
      </c>
      <c r="J481" s="34">
        <f>(TRUNC(H481 * L14,2) + H481)</f>
        <v>2.58</v>
      </c>
      <c r="K481" s="34">
        <f>TRUNC(F481 * J481,2)</f>
        <v>1290.43</v>
      </c>
      <c r="L481" s="35">
        <f>K481 / L13</f>
        <v>4.4497586206896549E-4</v>
      </c>
      <c r="M481" s="36">
        <v>2.25</v>
      </c>
      <c r="N481" s="37">
        <f t="shared" si="6775"/>
        <v>1125.3800000000001</v>
      </c>
      <c r="O481" s="36"/>
      <c r="P481" s="38">
        <f t="shared" si="6776"/>
        <v>0</v>
      </c>
      <c r="Q481" s="38"/>
      <c r="R481" s="38">
        <f t="shared" si="6776"/>
        <v>0</v>
      </c>
      <c r="S481" s="38">
        <f t="shared" si="6777"/>
        <v>500.17</v>
      </c>
      <c r="T481" s="37">
        <f t="shared" ref="T481:V481" si="6848">TRUNC($M481 * S481,2)</f>
        <v>1125.3800000000001</v>
      </c>
      <c r="U481" s="36"/>
      <c r="V481" s="38">
        <f t="shared" si="6848"/>
        <v>0</v>
      </c>
      <c r="W481" s="38"/>
      <c r="X481" s="38">
        <f t="shared" ref="X481" si="6849">TRUNC($M481 * W481,2)</f>
        <v>0</v>
      </c>
      <c r="Y481" s="38"/>
      <c r="Z481" s="38">
        <f t="shared" ref="Z481" si="6850">TRUNC($M481 * Y481,2)</f>
        <v>0</v>
      </c>
      <c r="AA481" s="38"/>
      <c r="AB481" s="38">
        <f t="shared" ref="AB481" si="6851">TRUNC($M481 * AA481,2)</f>
        <v>0</v>
      </c>
      <c r="AC481" s="38"/>
      <c r="AD481" s="38">
        <f t="shared" ref="AD481" si="6852">TRUNC($M481 * AC481,2)</f>
        <v>0</v>
      </c>
      <c r="AE481" s="38"/>
      <c r="AF481" s="38">
        <f t="shared" ref="AF481" si="6853">TRUNC($M481 * AE481,2)</f>
        <v>0</v>
      </c>
      <c r="AG481" s="38"/>
      <c r="AH481" s="38">
        <f t="shared" ref="AH481" si="6854">TRUNC($M481 * AG481,2)</f>
        <v>0</v>
      </c>
      <c r="AI481" s="38"/>
      <c r="AJ481" s="38">
        <f t="shared" ref="AJ481" si="6855">TRUNC($M481 * AI481,2)</f>
        <v>0</v>
      </c>
      <c r="AK481" s="38"/>
      <c r="AL481" s="38">
        <f t="shared" ref="AL481" si="6856">TRUNC($M481 * AK481,2)</f>
        <v>0</v>
      </c>
      <c r="AM481" s="38"/>
      <c r="AN481" s="38">
        <f t="shared" ref="AN481" si="6857">TRUNC($M481 * AM481,2)</f>
        <v>0</v>
      </c>
      <c r="AO481" s="38"/>
      <c r="AP481" s="38">
        <f t="shared" ref="AP481" si="6858">TRUNC($M481 * AO481,2)</f>
        <v>0</v>
      </c>
      <c r="AQ481" s="38"/>
      <c r="AR481" s="38">
        <f t="shared" ref="AR481" si="6859">TRUNC($M481 * AQ481,2)</f>
        <v>0</v>
      </c>
      <c r="AS481" s="38"/>
      <c r="AT481" s="38">
        <f t="shared" ref="AT481" si="6860">TRUNC($M481 * AS481,2)</f>
        <v>0</v>
      </c>
      <c r="AU481" s="38"/>
      <c r="AV481" s="38">
        <f t="shared" ref="AV481" si="6861">TRUNC($M481 * AU481,2)</f>
        <v>0</v>
      </c>
      <c r="AW481" s="38"/>
      <c r="AX481" s="37">
        <f t="shared" ref="AX481" si="6862">TRUNC($M481 * AW481,2)</f>
        <v>0</v>
      </c>
      <c r="AY481" s="36">
        <f t="shared" si="6793"/>
        <v>0</v>
      </c>
      <c r="AZ481" s="38">
        <f t="shared" ref="AZ481" si="6863">TRUNC($M481 * AY481,2)</f>
        <v>0</v>
      </c>
      <c r="BA481" s="38">
        <f t="shared" si="6795"/>
        <v>500.17</v>
      </c>
      <c r="BB481" s="37">
        <f t="shared" ref="BB481" si="6864">TRUNC($M481 * BA481,2)</f>
        <v>1125.3800000000001</v>
      </c>
    </row>
    <row r="482" spans="1:54" ht="24" customHeight="1" x14ac:dyDescent="0.25">
      <c r="A482" s="4">
        <v>22</v>
      </c>
      <c r="B482" s="4" t="s">
        <v>12</v>
      </c>
      <c r="C482" s="4"/>
      <c r="D482" s="4" t="s">
        <v>949</v>
      </c>
      <c r="E482" s="5"/>
      <c r="F482" s="14"/>
      <c r="G482" s="6"/>
      <c r="H482" s="6"/>
      <c r="I482" s="7">
        <f>SUM(I483,I491)</f>
        <v>238772.02999999997</v>
      </c>
      <c r="J482" s="7"/>
      <c r="K482" s="7">
        <f>SUM(K483,K491)</f>
        <v>287287.3</v>
      </c>
      <c r="L482" s="22">
        <f>K482 / L13</f>
        <v>9.9064586206896538E-2</v>
      </c>
      <c r="M482" s="25"/>
      <c r="N482" s="26">
        <f>SUM(N483,N491)</f>
        <v>213897.55</v>
      </c>
      <c r="O482" s="25"/>
      <c r="P482" s="30">
        <f>SUM(P483,P491)</f>
        <v>29321</v>
      </c>
      <c r="Q482" s="30"/>
      <c r="R482" s="30">
        <f>SUM(R483,R491)</f>
        <v>0</v>
      </c>
      <c r="S482" s="30"/>
      <c r="T482" s="26">
        <f>SUM(T483,T491)</f>
        <v>243218.55</v>
      </c>
      <c r="U482" s="25"/>
      <c r="V482" s="30">
        <f>SUM(V483,V491)</f>
        <v>54963.229999999996</v>
      </c>
      <c r="W482" s="30"/>
      <c r="X482" s="30">
        <f>SUM(X483,X491)</f>
        <v>94553.62</v>
      </c>
      <c r="Y482" s="30"/>
      <c r="Z482" s="30">
        <f>SUM(Z483,Z491)</f>
        <v>60471.93</v>
      </c>
      <c r="AA482" s="30"/>
      <c r="AB482" s="30">
        <f>SUM(AB483,AB491)</f>
        <v>3908.75</v>
      </c>
      <c r="AC482" s="30"/>
      <c r="AD482" s="30">
        <f>SUM(AD483,AD491)</f>
        <v>0</v>
      </c>
      <c r="AE482" s="30"/>
      <c r="AF482" s="30">
        <f>SUM(AF483,AF491)</f>
        <v>0</v>
      </c>
      <c r="AG482" s="30"/>
      <c r="AH482" s="30">
        <f>SUM(AH483,AH491)</f>
        <v>0</v>
      </c>
      <c r="AI482" s="30"/>
      <c r="AJ482" s="30">
        <f>SUM(AJ483,AJ491)</f>
        <v>0</v>
      </c>
      <c r="AK482" s="30"/>
      <c r="AL482" s="30">
        <f>SUM(AL483,AL491)</f>
        <v>0</v>
      </c>
      <c r="AM482" s="30"/>
      <c r="AN482" s="30">
        <f>SUM(AN483,AN491)</f>
        <v>0</v>
      </c>
      <c r="AO482" s="30"/>
      <c r="AP482" s="30">
        <f>SUM(AP483,AP491)</f>
        <v>0</v>
      </c>
      <c r="AQ482" s="30"/>
      <c r="AR482" s="30">
        <f>SUM(AR483,AR491)</f>
        <v>0</v>
      </c>
      <c r="AS482" s="30"/>
      <c r="AT482" s="30">
        <f>SUM(AT483,AT491)</f>
        <v>0</v>
      </c>
      <c r="AU482" s="30"/>
      <c r="AV482" s="30">
        <f>SUM(AV483,AV491)</f>
        <v>0</v>
      </c>
      <c r="AW482" s="30"/>
      <c r="AX482" s="26">
        <f>SUM(AX483,AX491)</f>
        <v>0</v>
      </c>
      <c r="AY482" s="25"/>
      <c r="AZ482" s="30">
        <f>SUM(AZ483,AZ491)</f>
        <v>213897.55</v>
      </c>
      <c r="BA482" s="30"/>
      <c r="BB482" s="26">
        <f>SUM(BB483,BB491)</f>
        <v>29321</v>
      </c>
    </row>
    <row r="483" spans="1:54" ht="24" customHeight="1" x14ac:dyDescent="0.25">
      <c r="A483" s="4" t="s">
        <v>1289</v>
      </c>
      <c r="B483" s="4" t="s">
        <v>12</v>
      </c>
      <c r="C483" s="4"/>
      <c r="D483" s="4" t="s">
        <v>56</v>
      </c>
      <c r="E483" s="5"/>
      <c r="F483" s="14"/>
      <c r="G483" s="6"/>
      <c r="H483" s="6"/>
      <c r="I483" s="7">
        <f>SUM(I484:I490)</f>
        <v>73387.319999999992</v>
      </c>
      <c r="J483" s="7"/>
      <c r="K483" s="7">
        <f>SUM(K484:K490)</f>
        <v>88293.91</v>
      </c>
      <c r="L483" s="22">
        <f>K483 / L13</f>
        <v>3.044617586206896E-2</v>
      </c>
      <c r="M483" s="25"/>
      <c r="N483" s="26">
        <f>SUM(N484:N490)</f>
        <v>64707.8</v>
      </c>
      <c r="O483" s="25"/>
      <c r="P483" s="30">
        <f>SUM(P484:P490)</f>
        <v>0</v>
      </c>
      <c r="Q483" s="30"/>
      <c r="R483" s="30">
        <f>SUM(R484:R490)</f>
        <v>0</v>
      </c>
      <c r="S483" s="30"/>
      <c r="T483" s="26">
        <f>SUM(T484:T490)</f>
        <v>64707.8</v>
      </c>
      <c r="U483" s="25"/>
      <c r="V483" s="30">
        <f>SUM(V484:V490)</f>
        <v>54963.229999999996</v>
      </c>
      <c r="W483" s="30"/>
      <c r="X483" s="30">
        <f>SUM(X484:X490)</f>
        <v>8697.09</v>
      </c>
      <c r="Y483" s="30"/>
      <c r="Z483" s="30">
        <f>SUM(Z484:Z490)</f>
        <v>1047.48</v>
      </c>
      <c r="AA483" s="30"/>
      <c r="AB483" s="30">
        <f>SUM(AB484:AB490)</f>
        <v>0</v>
      </c>
      <c r="AC483" s="30"/>
      <c r="AD483" s="30">
        <f>SUM(AD484:AD490)</f>
        <v>0</v>
      </c>
      <c r="AE483" s="30"/>
      <c r="AF483" s="30">
        <f>SUM(AF484:AF490)</f>
        <v>0</v>
      </c>
      <c r="AG483" s="30"/>
      <c r="AH483" s="30">
        <f>SUM(AH484:AH490)</f>
        <v>0</v>
      </c>
      <c r="AI483" s="30"/>
      <c r="AJ483" s="30">
        <f>SUM(AJ484:AJ490)</f>
        <v>0</v>
      </c>
      <c r="AK483" s="30"/>
      <c r="AL483" s="30">
        <f>SUM(AL484:AL490)</f>
        <v>0</v>
      </c>
      <c r="AM483" s="30"/>
      <c r="AN483" s="30">
        <f>SUM(AN484:AN490)</f>
        <v>0</v>
      </c>
      <c r="AO483" s="30"/>
      <c r="AP483" s="30">
        <f>SUM(AP484:AP490)</f>
        <v>0</v>
      </c>
      <c r="AQ483" s="30"/>
      <c r="AR483" s="30">
        <f>SUM(AR484:AR490)</f>
        <v>0</v>
      </c>
      <c r="AS483" s="30"/>
      <c r="AT483" s="30">
        <f>SUM(AT484:AT490)</f>
        <v>0</v>
      </c>
      <c r="AU483" s="30"/>
      <c r="AV483" s="30">
        <f>SUM(AV484:AV490)</f>
        <v>0</v>
      </c>
      <c r="AW483" s="30"/>
      <c r="AX483" s="26">
        <f>SUM(AX484:AX490)</f>
        <v>0</v>
      </c>
      <c r="AY483" s="25"/>
      <c r="AZ483" s="30">
        <f>SUM(AZ484:AZ490)</f>
        <v>64707.8</v>
      </c>
      <c r="BA483" s="30"/>
      <c r="BB483" s="26">
        <f>SUM(BB484:BB490)</f>
        <v>0</v>
      </c>
    </row>
    <row r="484" spans="1:54" ht="65.099999999999994" customHeight="1" x14ac:dyDescent="0.25">
      <c r="A484" s="31" t="s">
        <v>1290</v>
      </c>
      <c r="B484" s="31" t="s">
        <v>950</v>
      </c>
      <c r="C484" s="31" t="s">
        <v>34</v>
      </c>
      <c r="D484" s="31" t="s">
        <v>951</v>
      </c>
      <c r="E484" s="32" t="s">
        <v>51</v>
      </c>
      <c r="F484" s="33">
        <v>255.76</v>
      </c>
      <c r="G484" s="34">
        <v>6.99</v>
      </c>
      <c r="H484" s="34">
        <f t="shared" ref="H484:H507" si="6865">TRUNC(G484*$L$1,2)</f>
        <v>6.43</v>
      </c>
      <c r="I484" s="34">
        <f t="shared" ref="I484:I507" si="6866">TRUNC(F484 * H484,2)</f>
        <v>1644.53</v>
      </c>
      <c r="J484" s="34">
        <f>(TRUNC(H484 * L14,2) + H484)</f>
        <v>7.7299999999999995</v>
      </c>
      <c r="K484" s="34">
        <f t="shared" ref="K484:K490" si="6867">TRUNC(F484 * J484,2)</f>
        <v>1977.02</v>
      </c>
      <c r="L484" s="35">
        <f>K484 / L13</f>
        <v>6.8173103448275854E-4</v>
      </c>
      <c r="M484" s="36">
        <v>5.68</v>
      </c>
      <c r="N484" s="37">
        <f t="shared" ref="N484:N507" si="6868">TRUNC(F484 * M484,2)</f>
        <v>1452.71</v>
      </c>
      <c r="O484" s="36"/>
      <c r="P484" s="38">
        <f t="shared" ref="P484:R507" si="6869">TRUNC($M484 * O484,2)</f>
        <v>0</v>
      </c>
      <c r="Q484" s="38"/>
      <c r="R484" s="38">
        <f t="shared" si="6869"/>
        <v>0</v>
      </c>
      <c r="S484" s="38">
        <f t="shared" ref="S484:S507" si="6870">F484+O484-Q484</f>
        <v>255.76</v>
      </c>
      <c r="T484" s="37">
        <f t="shared" ref="T484:V484" si="6871">TRUNC($M484 * S484,2)</f>
        <v>1452.71</v>
      </c>
      <c r="U484" s="54">
        <v>255.76</v>
      </c>
      <c r="V484" s="55">
        <f t="shared" si="6871"/>
        <v>1452.71</v>
      </c>
      <c r="W484" s="38"/>
      <c r="X484" s="38">
        <f t="shared" ref="X484" si="6872">TRUNC($M484 * W484,2)</f>
        <v>0</v>
      </c>
      <c r="Y484" s="38"/>
      <c r="Z484" s="38">
        <f t="shared" ref="Z484" si="6873">TRUNC($M484 * Y484,2)</f>
        <v>0</v>
      </c>
      <c r="AA484" s="38"/>
      <c r="AB484" s="38">
        <f t="shared" ref="AB484" si="6874">TRUNC($M484 * AA484,2)</f>
        <v>0</v>
      </c>
      <c r="AC484" s="38"/>
      <c r="AD484" s="38">
        <f t="shared" ref="AD484" si="6875">TRUNC($M484 * AC484,2)</f>
        <v>0</v>
      </c>
      <c r="AE484" s="38"/>
      <c r="AF484" s="38">
        <f t="shared" ref="AF484" si="6876">TRUNC($M484 * AE484,2)</f>
        <v>0</v>
      </c>
      <c r="AG484" s="38"/>
      <c r="AH484" s="38">
        <f t="shared" ref="AH484" si="6877">TRUNC($M484 * AG484,2)</f>
        <v>0</v>
      </c>
      <c r="AI484" s="38"/>
      <c r="AJ484" s="38">
        <f t="shared" ref="AJ484" si="6878">TRUNC($M484 * AI484,2)</f>
        <v>0</v>
      </c>
      <c r="AK484" s="38"/>
      <c r="AL484" s="38">
        <f t="shared" ref="AL484" si="6879">TRUNC($M484 * AK484,2)</f>
        <v>0</v>
      </c>
      <c r="AM484" s="38"/>
      <c r="AN484" s="38">
        <f t="shared" ref="AN484" si="6880">TRUNC($M484 * AM484,2)</f>
        <v>0</v>
      </c>
      <c r="AO484" s="38"/>
      <c r="AP484" s="38">
        <f t="shared" ref="AP484" si="6881">TRUNC($M484 * AO484,2)</f>
        <v>0</v>
      </c>
      <c r="AQ484" s="38"/>
      <c r="AR484" s="38">
        <f t="shared" ref="AR484" si="6882">TRUNC($M484 * AQ484,2)</f>
        <v>0</v>
      </c>
      <c r="AS484" s="38"/>
      <c r="AT484" s="38">
        <f t="shared" ref="AT484" si="6883">TRUNC($M484 * AS484,2)</f>
        <v>0</v>
      </c>
      <c r="AU484" s="38"/>
      <c r="AV484" s="38">
        <f t="shared" ref="AV484" si="6884">TRUNC($M484 * AU484,2)</f>
        <v>0</v>
      </c>
      <c r="AW484" s="38"/>
      <c r="AX484" s="37">
        <f t="shared" ref="AX484" si="6885">TRUNC($M484 * AW484,2)</f>
        <v>0</v>
      </c>
      <c r="AY484" s="36">
        <f t="shared" ref="AY484:AY507" si="6886">SUM(U484,W484,Y484,AA484,AC484,AE484,AG484,AI484,AK484,AM484,AO484,AQ484,AS484,AU484,AW484)</f>
        <v>255.76</v>
      </c>
      <c r="AZ484" s="38">
        <f t="shared" ref="AZ484" si="6887">TRUNC($M484 * AY484,2)</f>
        <v>1452.71</v>
      </c>
      <c r="BA484" s="38">
        <f t="shared" ref="BA484:BA507" si="6888">S484-AY484</f>
        <v>0</v>
      </c>
      <c r="BB484" s="37">
        <f t="shared" ref="BB484" si="6889">TRUNC($M484 * BA484,2)</f>
        <v>0</v>
      </c>
    </row>
    <row r="485" spans="1:54" ht="26.1" customHeight="1" x14ac:dyDescent="0.25">
      <c r="A485" s="31" t="s">
        <v>1291</v>
      </c>
      <c r="B485" s="31" t="s">
        <v>67</v>
      </c>
      <c r="C485" s="31" t="s">
        <v>19</v>
      </c>
      <c r="D485" s="31" t="s">
        <v>68</v>
      </c>
      <c r="E485" s="32" t="s">
        <v>69</v>
      </c>
      <c r="F485" s="33">
        <v>396</v>
      </c>
      <c r="G485" s="34">
        <v>47.62</v>
      </c>
      <c r="H485" s="34">
        <f t="shared" si="6865"/>
        <v>43.84</v>
      </c>
      <c r="I485" s="34">
        <f t="shared" si="6866"/>
        <v>17360.64</v>
      </c>
      <c r="J485" s="34">
        <f>(TRUNC(H485 * L14,2) + H485)</f>
        <v>52.75</v>
      </c>
      <c r="K485" s="34">
        <f t="shared" si="6867"/>
        <v>20889</v>
      </c>
      <c r="L485" s="35">
        <f>K485 / L13</f>
        <v>7.2031034482758606E-3</v>
      </c>
      <c r="M485" s="36">
        <v>36.229999999999997</v>
      </c>
      <c r="N485" s="37">
        <f t="shared" si="6868"/>
        <v>14347.08</v>
      </c>
      <c r="O485" s="36"/>
      <c r="P485" s="38">
        <f t="shared" si="6869"/>
        <v>0</v>
      </c>
      <c r="Q485" s="38"/>
      <c r="R485" s="38">
        <f t="shared" si="6869"/>
        <v>0</v>
      </c>
      <c r="S485" s="38">
        <f t="shared" si="6870"/>
        <v>396</v>
      </c>
      <c r="T485" s="37">
        <f t="shared" ref="T485:V485" si="6890">TRUNC($M485 * S485,2)</f>
        <v>14347.08</v>
      </c>
      <c r="U485" s="54">
        <v>359</v>
      </c>
      <c r="V485" s="55">
        <f t="shared" si="6890"/>
        <v>13006.57</v>
      </c>
      <c r="W485" s="55">
        <v>12</v>
      </c>
      <c r="X485" s="55">
        <f t="shared" ref="X485" si="6891">TRUNC($M485 * W485,2)</f>
        <v>434.76</v>
      </c>
      <c r="Y485" s="55">
        <v>25</v>
      </c>
      <c r="Z485" s="55">
        <f t="shared" ref="Z485" si="6892">TRUNC($M485 * Y485,2)</f>
        <v>905.75</v>
      </c>
      <c r="AA485" s="38"/>
      <c r="AB485" s="38">
        <f t="shared" ref="AB485" si="6893">TRUNC($M485 * AA485,2)</f>
        <v>0</v>
      </c>
      <c r="AC485" s="38"/>
      <c r="AD485" s="38">
        <f t="shared" ref="AD485" si="6894">TRUNC($M485 * AC485,2)</f>
        <v>0</v>
      </c>
      <c r="AE485" s="38"/>
      <c r="AF485" s="38">
        <f t="shared" ref="AF485" si="6895">TRUNC($M485 * AE485,2)</f>
        <v>0</v>
      </c>
      <c r="AG485" s="38"/>
      <c r="AH485" s="38">
        <f t="shared" ref="AH485" si="6896">TRUNC($M485 * AG485,2)</f>
        <v>0</v>
      </c>
      <c r="AI485" s="38"/>
      <c r="AJ485" s="38">
        <f t="shared" ref="AJ485" si="6897">TRUNC($M485 * AI485,2)</f>
        <v>0</v>
      </c>
      <c r="AK485" s="38"/>
      <c r="AL485" s="38">
        <f t="shared" ref="AL485" si="6898">TRUNC($M485 * AK485,2)</f>
        <v>0</v>
      </c>
      <c r="AM485" s="38"/>
      <c r="AN485" s="38">
        <f t="shared" ref="AN485" si="6899">TRUNC($M485 * AM485,2)</f>
        <v>0</v>
      </c>
      <c r="AO485" s="38"/>
      <c r="AP485" s="38">
        <f t="shared" ref="AP485" si="6900">TRUNC($M485 * AO485,2)</f>
        <v>0</v>
      </c>
      <c r="AQ485" s="38"/>
      <c r="AR485" s="38">
        <f t="shared" ref="AR485" si="6901">TRUNC($M485 * AQ485,2)</f>
        <v>0</v>
      </c>
      <c r="AS485" s="38"/>
      <c r="AT485" s="38">
        <f t="shared" ref="AT485" si="6902">TRUNC($M485 * AS485,2)</f>
        <v>0</v>
      </c>
      <c r="AU485" s="38"/>
      <c r="AV485" s="38">
        <f t="shared" ref="AV485" si="6903">TRUNC($M485 * AU485,2)</f>
        <v>0</v>
      </c>
      <c r="AW485" s="38"/>
      <c r="AX485" s="37">
        <f t="shared" ref="AX485" si="6904">TRUNC($M485 * AW485,2)</f>
        <v>0</v>
      </c>
      <c r="AY485" s="36">
        <f t="shared" si="6886"/>
        <v>396</v>
      </c>
      <c r="AZ485" s="38">
        <f t="shared" ref="AZ485" si="6905">TRUNC($M485 * AY485,2)</f>
        <v>14347.08</v>
      </c>
      <c r="BA485" s="38">
        <f t="shared" si="6888"/>
        <v>0</v>
      </c>
      <c r="BB485" s="37">
        <f t="shared" ref="BB485" si="6906">TRUNC($M485 * BA485,2)</f>
        <v>0</v>
      </c>
    </row>
    <row r="486" spans="1:54" ht="26.1" customHeight="1" x14ac:dyDescent="0.25">
      <c r="A486" s="31" t="s">
        <v>1292</v>
      </c>
      <c r="B486" s="31" t="s">
        <v>952</v>
      </c>
      <c r="C486" s="31" t="s">
        <v>19</v>
      </c>
      <c r="D486" s="31" t="s">
        <v>953</v>
      </c>
      <c r="E486" s="32" t="s">
        <v>26</v>
      </c>
      <c r="F486" s="33">
        <v>136.28</v>
      </c>
      <c r="G486" s="34">
        <v>1.31</v>
      </c>
      <c r="H486" s="34">
        <f t="shared" si="6865"/>
        <v>1.2</v>
      </c>
      <c r="I486" s="34">
        <f t="shared" si="6866"/>
        <v>163.53</v>
      </c>
      <c r="J486" s="34">
        <f>(TRUNC(H486 * L14,2) + H486)</f>
        <v>1.44</v>
      </c>
      <c r="K486" s="34">
        <f t="shared" si="6867"/>
        <v>196.24</v>
      </c>
      <c r="L486" s="35">
        <f>K486 / L13</f>
        <v>6.766896551724137E-5</v>
      </c>
      <c r="M486" s="36">
        <v>1.04</v>
      </c>
      <c r="N486" s="37">
        <f t="shared" si="6868"/>
        <v>141.72999999999999</v>
      </c>
      <c r="O486" s="36"/>
      <c r="P486" s="38">
        <f t="shared" si="6869"/>
        <v>0</v>
      </c>
      <c r="Q486" s="38"/>
      <c r="R486" s="38">
        <f t="shared" si="6869"/>
        <v>0</v>
      </c>
      <c r="S486" s="38">
        <f t="shared" si="6870"/>
        <v>136.28</v>
      </c>
      <c r="T486" s="37">
        <f t="shared" ref="T486:V486" si="6907">TRUNC($M486 * S486,2)</f>
        <v>141.72999999999999</v>
      </c>
      <c r="U486" s="36"/>
      <c r="V486" s="38">
        <f t="shared" si="6907"/>
        <v>0</v>
      </c>
      <c r="W486" s="38"/>
      <c r="X486" s="38">
        <f t="shared" ref="X486" si="6908">TRUNC($M486 * W486,2)</f>
        <v>0</v>
      </c>
      <c r="Y486" s="55">
        <v>136.28</v>
      </c>
      <c r="Z486" s="55">
        <f t="shared" ref="Z486" si="6909">TRUNC($M486 * Y486,2)</f>
        <v>141.72999999999999</v>
      </c>
      <c r="AA486" s="38"/>
      <c r="AB486" s="38">
        <f t="shared" ref="AB486" si="6910">TRUNC($M486 * AA486,2)</f>
        <v>0</v>
      </c>
      <c r="AC486" s="38"/>
      <c r="AD486" s="38">
        <f t="shared" ref="AD486" si="6911">TRUNC($M486 * AC486,2)</f>
        <v>0</v>
      </c>
      <c r="AE486" s="38"/>
      <c r="AF486" s="38">
        <f t="shared" ref="AF486" si="6912">TRUNC($M486 * AE486,2)</f>
        <v>0</v>
      </c>
      <c r="AG486" s="38"/>
      <c r="AH486" s="38">
        <f t="shared" ref="AH486" si="6913">TRUNC($M486 * AG486,2)</f>
        <v>0</v>
      </c>
      <c r="AI486" s="38"/>
      <c r="AJ486" s="38">
        <f t="shared" ref="AJ486" si="6914">TRUNC($M486 * AI486,2)</f>
        <v>0</v>
      </c>
      <c r="AK486" s="38"/>
      <c r="AL486" s="38">
        <f t="shared" ref="AL486" si="6915">TRUNC($M486 * AK486,2)</f>
        <v>0</v>
      </c>
      <c r="AM486" s="38"/>
      <c r="AN486" s="38">
        <f t="shared" ref="AN486" si="6916">TRUNC($M486 * AM486,2)</f>
        <v>0</v>
      </c>
      <c r="AO486" s="38"/>
      <c r="AP486" s="38">
        <f t="shared" ref="AP486" si="6917">TRUNC($M486 * AO486,2)</f>
        <v>0</v>
      </c>
      <c r="AQ486" s="38"/>
      <c r="AR486" s="38">
        <f t="shared" ref="AR486" si="6918">TRUNC($M486 * AQ486,2)</f>
        <v>0</v>
      </c>
      <c r="AS486" s="38"/>
      <c r="AT486" s="38">
        <f t="shared" ref="AT486" si="6919">TRUNC($M486 * AS486,2)</f>
        <v>0</v>
      </c>
      <c r="AU486" s="38"/>
      <c r="AV486" s="38">
        <f t="shared" ref="AV486" si="6920">TRUNC($M486 * AU486,2)</f>
        <v>0</v>
      </c>
      <c r="AW486" s="38"/>
      <c r="AX486" s="37">
        <f t="shared" ref="AX486" si="6921">TRUNC($M486 * AW486,2)</f>
        <v>0</v>
      </c>
      <c r="AY486" s="36">
        <f t="shared" si="6886"/>
        <v>136.28</v>
      </c>
      <c r="AZ486" s="38">
        <f t="shared" ref="AZ486" si="6922">TRUNC($M486 * AY486,2)</f>
        <v>141.72999999999999</v>
      </c>
      <c r="BA486" s="38">
        <f t="shared" si="6888"/>
        <v>0</v>
      </c>
      <c r="BB486" s="37">
        <f t="shared" ref="BB486" si="6923">TRUNC($M486 * BA486,2)</f>
        <v>0</v>
      </c>
    </row>
    <row r="487" spans="1:54" ht="24" customHeight="1" x14ac:dyDescent="0.25">
      <c r="A487" s="31" t="s">
        <v>1293</v>
      </c>
      <c r="B487" s="31" t="s">
        <v>954</v>
      </c>
      <c r="C487" s="31" t="s">
        <v>19</v>
      </c>
      <c r="D487" s="31" t="s">
        <v>955</v>
      </c>
      <c r="E487" s="32" t="s">
        <v>51</v>
      </c>
      <c r="F487" s="33">
        <v>37.53</v>
      </c>
      <c r="G487" s="34">
        <v>557.16</v>
      </c>
      <c r="H487" s="34">
        <f t="shared" si="6865"/>
        <v>513</v>
      </c>
      <c r="I487" s="34">
        <f t="shared" si="6866"/>
        <v>19252.89</v>
      </c>
      <c r="J487" s="34">
        <f>(TRUNC(H487 * L14,2) + H487)</f>
        <v>617.34</v>
      </c>
      <c r="K487" s="34">
        <f t="shared" si="6867"/>
        <v>23168.77</v>
      </c>
      <c r="L487" s="35">
        <f>K487 / L13</f>
        <v>7.9892310344827581E-3</v>
      </c>
      <c r="M487" s="36">
        <v>395.1</v>
      </c>
      <c r="N487" s="37">
        <f t="shared" si="6868"/>
        <v>14828.1</v>
      </c>
      <c r="O487" s="36"/>
      <c r="P487" s="38">
        <f t="shared" si="6869"/>
        <v>0</v>
      </c>
      <c r="Q487" s="38"/>
      <c r="R487" s="38">
        <f t="shared" si="6869"/>
        <v>0</v>
      </c>
      <c r="S487" s="38">
        <f t="shared" si="6870"/>
        <v>37.53</v>
      </c>
      <c r="T487" s="37">
        <f t="shared" ref="T487:V487" si="6924">TRUNC($M487 * S487,2)</f>
        <v>14828.1</v>
      </c>
      <c r="U487" s="54">
        <v>23</v>
      </c>
      <c r="V487" s="55">
        <f t="shared" si="6924"/>
        <v>9087.2999999999993</v>
      </c>
      <c r="W487" s="55">
        <v>14.53</v>
      </c>
      <c r="X487" s="55">
        <f t="shared" ref="X487" si="6925">TRUNC($M487 * W487,2)</f>
        <v>5740.8</v>
      </c>
      <c r="Y487" s="38"/>
      <c r="Z487" s="38">
        <f t="shared" ref="Z487" si="6926">TRUNC($M487 * Y487,2)</f>
        <v>0</v>
      </c>
      <c r="AA487" s="38"/>
      <c r="AB487" s="38">
        <f t="shared" ref="AB487" si="6927">TRUNC($M487 * AA487,2)</f>
        <v>0</v>
      </c>
      <c r="AC487" s="38"/>
      <c r="AD487" s="38">
        <f t="shared" ref="AD487" si="6928">TRUNC($M487 * AC487,2)</f>
        <v>0</v>
      </c>
      <c r="AE487" s="38"/>
      <c r="AF487" s="38">
        <f t="shared" ref="AF487" si="6929">TRUNC($M487 * AE487,2)</f>
        <v>0</v>
      </c>
      <c r="AG487" s="38"/>
      <c r="AH487" s="38">
        <f t="shared" ref="AH487" si="6930">TRUNC($M487 * AG487,2)</f>
        <v>0</v>
      </c>
      <c r="AI487" s="38"/>
      <c r="AJ487" s="38">
        <f t="shared" ref="AJ487" si="6931">TRUNC($M487 * AI487,2)</f>
        <v>0</v>
      </c>
      <c r="AK487" s="38"/>
      <c r="AL487" s="38">
        <f t="shared" ref="AL487" si="6932">TRUNC($M487 * AK487,2)</f>
        <v>0</v>
      </c>
      <c r="AM487" s="38"/>
      <c r="AN487" s="38">
        <f t="shared" ref="AN487" si="6933">TRUNC($M487 * AM487,2)</f>
        <v>0</v>
      </c>
      <c r="AO487" s="38"/>
      <c r="AP487" s="38">
        <f t="shared" ref="AP487" si="6934">TRUNC($M487 * AO487,2)</f>
        <v>0</v>
      </c>
      <c r="AQ487" s="38"/>
      <c r="AR487" s="38">
        <f t="shared" ref="AR487" si="6935">TRUNC($M487 * AQ487,2)</f>
        <v>0</v>
      </c>
      <c r="AS487" s="38"/>
      <c r="AT487" s="38">
        <f t="shared" ref="AT487" si="6936">TRUNC($M487 * AS487,2)</f>
        <v>0</v>
      </c>
      <c r="AU487" s="38"/>
      <c r="AV487" s="38">
        <f t="shared" ref="AV487" si="6937">TRUNC($M487 * AU487,2)</f>
        <v>0</v>
      </c>
      <c r="AW487" s="38"/>
      <c r="AX487" s="37">
        <f t="shared" ref="AX487" si="6938">TRUNC($M487 * AW487,2)</f>
        <v>0</v>
      </c>
      <c r="AY487" s="36">
        <f t="shared" si="6886"/>
        <v>37.53</v>
      </c>
      <c r="AZ487" s="38">
        <f t="shared" ref="AZ487" si="6939">TRUNC($M487 * AY487,2)</f>
        <v>14828.1</v>
      </c>
      <c r="BA487" s="38">
        <f t="shared" si="6888"/>
        <v>0</v>
      </c>
      <c r="BB487" s="37">
        <f t="shared" ref="BB487" si="6940">TRUNC($M487 * BA487,2)</f>
        <v>0</v>
      </c>
    </row>
    <row r="488" spans="1:54" ht="26.1" customHeight="1" x14ac:dyDescent="0.25">
      <c r="A488" s="31" t="s">
        <v>1294</v>
      </c>
      <c r="B488" s="31" t="s">
        <v>956</v>
      </c>
      <c r="C488" s="31" t="s">
        <v>19</v>
      </c>
      <c r="D488" s="31" t="s">
        <v>957</v>
      </c>
      <c r="E488" s="32" t="s">
        <v>51</v>
      </c>
      <c r="F488" s="33">
        <v>37.53</v>
      </c>
      <c r="G488" s="34">
        <v>156.63999999999999</v>
      </c>
      <c r="H488" s="34">
        <f t="shared" si="6865"/>
        <v>144.22</v>
      </c>
      <c r="I488" s="34">
        <f t="shared" si="6866"/>
        <v>5412.57</v>
      </c>
      <c r="J488" s="34">
        <f>(TRUNC(H488 * L14,2) + H488)</f>
        <v>173.55</v>
      </c>
      <c r="K488" s="34">
        <f t="shared" si="6867"/>
        <v>6513.33</v>
      </c>
      <c r="L488" s="35">
        <f>K488 / L13</f>
        <v>2.2459758620689651E-3</v>
      </c>
      <c r="M488" s="36">
        <v>173.54</v>
      </c>
      <c r="N488" s="37">
        <f t="shared" si="6868"/>
        <v>6512.95</v>
      </c>
      <c r="O488" s="36"/>
      <c r="P488" s="38">
        <f t="shared" si="6869"/>
        <v>0</v>
      </c>
      <c r="Q488" s="38"/>
      <c r="R488" s="38">
        <f t="shared" si="6869"/>
        <v>0</v>
      </c>
      <c r="S488" s="38">
        <f t="shared" si="6870"/>
        <v>37.53</v>
      </c>
      <c r="T488" s="37">
        <f t="shared" ref="T488:V488" si="6941">TRUNC($M488 * S488,2)</f>
        <v>6512.95</v>
      </c>
      <c r="U488" s="54">
        <v>23</v>
      </c>
      <c r="V488" s="55">
        <f t="shared" si="6941"/>
        <v>3991.42</v>
      </c>
      <c r="W488" s="55">
        <v>14.53</v>
      </c>
      <c r="X488" s="55">
        <f t="shared" ref="X488" si="6942">TRUNC($M488 * W488,2)</f>
        <v>2521.5300000000002</v>
      </c>
      <c r="Y488" s="38"/>
      <c r="Z488" s="38">
        <f t="shared" ref="Z488" si="6943">TRUNC($M488 * Y488,2)</f>
        <v>0</v>
      </c>
      <c r="AA488" s="38"/>
      <c r="AB488" s="38">
        <f t="shared" ref="AB488" si="6944">TRUNC($M488 * AA488,2)</f>
        <v>0</v>
      </c>
      <c r="AC488" s="38"/>
      <c r="AD488" s="38">
        <f t="shared" ref="AD488" si="6945">TRUNC($M488 * AC488,2)</f>
        <v>0</v>
      </c>
      <c r="AE488" s="38"/>
      <c r="AF488" s="38">
        <f t="shared" ref="AF488" si="6946">TRUNC($M488 * AE488,2)</f>
        <v>0</v>
      </c>
      <c r="AG488" s="38"/>
      <c r="AH488" s="38">
        <f t="shared" ref="AH488" si="6947">TRUNC($M488 * AG488,2)</f>
        <v>0</v>
      </c>
      <c r="AI488" s="38"/>
      <c r="AJ488" s="38">
        <f t="shared" ref="AJ488" si="6948">TRUNC($M488 * AI488,2)</f>
        <v>0</v>
      </c>
      <c r="AK488" s="38"/>
      <c r="AL488" s="38">
        <f t="shared" ref="AL488" si="6949">TRUNC($M488 * AK488,2)</f>
        <v>0</v>
      </c>
      <c r="AM488" s="38"/>
      <c r="AN488" s="38">
        <f t="shared" ref="AN488" si="6950">TRUNC($M488 * AM488,2)</f>
        <v>0</v>
      </c>
      <c r="AO488" s="38"/>
      <c r="AP488" s="38">
        <f t="shared" ref="AP488" si="6951">TRUNC($M488 * AO488,2)</f>
        <v>0</v>
      </c>
      <c r="AQ488" s="38"/>
      <c r="AR488" s="38">
        <f t="shared" ref="AR488" si="6952">TRUNC($M488 * AQ488,2)</f>
        <v>0</v>
      </c>
      <c r="AS488" s="38"/>
      <c r="AT488" s="38">
        <f t="shared" ref="AT488" si="6953">TRUNC($M488 * AS488,2)</f>
        <v>0</v>
      </c>
      <c r="AU488" s="38"/>
      <c r="AV488" s="38">
        <f t="shared" ref="AV488" si="6954">TRUNC($M488 * AU488,2)</f>
        <v>0</v>
      </c>
      <c r="AW488" s="38"/>
      <c r="AX488" s="37">
        <f t="shared" ref="AX488" si="6955">TRUNC($M488 * AW488,2)</f>
        <v>0</v>
      </c>
      <c r="AY488" s="36">
        <f t="shared" si="6886"/>
        <v>37.53</v>
      </c>
      <c r="AZ488" s="38">
        <f t="shared" ref="AZ488" si="6956">TRUNC($M488 * AY488,2)</f>
        <v>6512.95</v>
      </c>
      <c r="BA488" s="38">
        <f t="shared" si="6888"/>
        <v>0</v>
      </c>
      <c r="BB488" s="37">
        <f t="shared" ref="BB488" si="6957">TRUNC($M488 * BA488,2)</f>
        <v>0</v>
      </c>
    </row>
    <row r="489" spans="1:54" ht="26.1" customHeight="1" x14ac:dyDescent="0.25">
      <c r="A489" s="31" t="s">
        <v>1295</v>
      </c>
      <c r="B489" s="31" t="s">
        <v>78</v>
      </c>
      <c r="C489" s="31" t="s">
        <v>34</v>
      </c>
      <c r="D489" s="31" t="s">
        <v>79</v>
      </c>
      <c r="E489" s="32" t="s">
        <v>76</v>
      </c>
      <c r="F489" s="33">
        <v>1602.6</v>
      </c>
      <c r="G489" s="34">
        <v>14.15</v>
      </c>
      <c r="H489" s="34">
        <f t="shared" si="6865"/>
        <v>13.02</v>
      </c>
      <c r="I489" s="34">
        <f t="shared" si="6866"/>
        <v>20865.849999999999</v>
      </c>
      <c r="J489" s="34">
        <f>(TRUNC(H489 * L14,2) + H489)</f>
        <v>15.66</v>
      </c>
      <c r="K489" s="34">
        <f t="shared" si="6867"/>
        <v>25096.71</v>
      </c>
      <c r="L489" s="35">
        <f>K489 / L13</f>
        <v>8.6540379310344803E-3</v>
      </c>
      <c r="M489" s="36">
        <v>11.76</v>
      </c>
      <c r="N489" s="37">
        <f t="shared" si="6868"/>
        <v>18846.57</v>
      </c>
      <c r="O489" s="36"/>
      <c r="P489" s="38">
        <f t="shared" si="6869"/>
        <v>0</v>
      </c>
      <c r="Q489" s="38"/>
      <c r="R489" s="38">
        <f t="shared" si="6869"/>
        <v>0</v>
      </c>
      <c r="S489" s="38">
        <f t="shared" si="6870"/>
        <v>1602.6</v>
      </c>
      <c r="T489" s="37">
        <f t="shared" ref="T489:V489" si="6958">TRUNC($M489 * S489,2)</f>
        <v>18846.57</v>
      </c>
      <c r="U489" s="54">
        <v>1602.6</v>
      </c>
      <c r="V489" s="55">
        <f t="shared" si="6958"/>
        <v>18846.57</v>
      </c>
      <c r="W489" s="38"/>
      <c r="X489" s="38">
        <f t="shared" ref="X489" si="6959">TRUNC($M489 * W489,2)</f>
        <v>0</v>
      </c>
      <c r="Y489" s="38"/>
      <c r="Z489" s="38">
        <f t="shared" ref="Z489" si="6960">TRUNC($M489 * Y489,2)</f>
        <v>0</v>
      </c>
      <c r="AA489" s="38"/>
      <c r="AB489" s="38">
        <f t="shared" ref="AB489" si="6961">TRUNC($M489 * AA489,2)</f>
        <v>0</v>
      </c>
      <c r="AC489" s="38"/>
      <c r="AD489" s="38">
        <f t="shared" ref="AD489" si="6962">TRUNC($M489 * AC489,2)</f>
        <v>0</v>
      </c>
      <c r="AE489" s="38"/>
      <c r="AF489" s="38">
        <f t="shared" ref="AF489" si="6963">TRUNC($M489 * AE489,2)</f>
        <v>0</v>
      </c>
      <c r="AG489" s="38"/>
      <c r="AH489" s="38">
        <f t="shared" ref="AH489" si="6964">TRUNC($M489 * AG489,2)</f>
        <v>0</v>
      </c>
      <c r="AI489" s="38"/>
      <c r="AJ489" s="38">
        <f t="shared" ref="AJ489" si="6965">TRUNC($M489 * AI489,2)</f>
        <v>0</v>
      </c>
      <c r="AK489" s="38"/>
      <c r="AL489" s="38">
        <f t="shared" ref="AL489" si="6966">TRUNC($M489 * AK489,2)</f>
        <v>0</v>
      </c>
      <c r="AM489" s="38"/>
      <c r="AN489" s="38">
        <f t="shared" ref="AN489" si="6967">TRUNC($M489 * AM489,2)</f>
        <v>0</v>
      </c>
      <c r="AO489" s="38"/>
      <c r="AP489" s="38">
        <f t="shared" ref="AP489" si="6968">TRUNC($M489 * AO489,2)</f>
        <v>0</v>
      </c>
      <c r="AQ489" s="38"/>
      <c r="AR489" s="38">
        <f t="shared" ref="AR489" si="6969">TRUNC($M489 * AQ489,2)</f>
        <v>0</v>
      </c>
      <c r="AS489" s="38"/>
      <c r="AT489" s="38">
        <f t="shared" ref="AT489" si="6970">TRUNC($M489 * AS489,2)</f>
        <v>0</v>
      </c>
      <c r="AU489" s="38"/>
      <c r="AV489" s="38">
        <f t="shared" ref="AV489" si="6971">TRUNC($M489 * AU489,2)</f>
        <v>0</v>
      </c>
      <c r="AW489" s="38"/>
      <c r="AX489" s="37">
        <f t="shared" ref="AX489" si="6972">TRUNC($M489 * AW489,2)</f>
        <v>0</v>
      </c>
      <c r="AY489" s="36">
        <f t="shared" si="6886"/>
        <v>1602.6</v>
      </c>
      <c r="AZ489" s="38">
        <f t="shared" ref="AZ489" si="6973">TRUNC($M489 * AY489,2)</f>
        <v>18846.57</v>
      </c>
      <c r="BA489" s="38">
        <f t="shared" si="6888"/>
        <v>0</v>
      </c>
      <c r="BB489" s="37">
        <f t="shared" ref="BB489" si="6974">TRUNC($M489 * BA489,2)</f>
        <v>0</v>
      </c>
    </row>
    <row r="490" spans="1:54" ht="26.1" customHeight="1" x14ac:dyDescent="0.25">
      <c r="A490" s="31" t="s">
        <v>1296</v>
      </c>
      <c r="B490" s="31" t="s">
        <v>74</v>
      </c>
      <c r="C490" s="31" t="s">
        <v>34</v>
      </c>
      <c r="D490" s="31" t="s">
        <v>75</v>
      </c>
      <c r="E490" s="32" t="s">
        <v>76</v>
      </c>
      <c r="F490" s="33">
        <v>452.7</v>
      </c>
      <c r="G490" s="34">
        <v>20.85</v>
      </c>
      <c r="H490" s="34">
        <f t="shared" si="6865"/>
        <v>19.190000000000001</v>
      </c>
      <c r="I490" s="34">
        <f t="shared" si="6866"/>
        <v>8687.31</v>
      </c>
      <c r="J490" s="34">
        <f>(TRUNC(H490 * L14,2) + H490)</f>
        <v>23.09</v>
      </c>
      <c r="K490" s="34">
        <f t="shared" si="6867"/>
        <v>10452.84</v>
      </c>
      <c r="L490" s="35">
        <f>K490 / L13</f>
        <v>3.6044275862068959E-3</v>
      </c>
      <c r="M490" s="36">
        <v>18.95</v>
      </c>
      <c r="N490" s="37">
        <f t="shared" si="6868"/>
        <v>8578.66</v>
      </c>
      <c r="O490" s="36"/>
      <c r="P490" s="38">
        <f t="shared" si="6869"/>
        <v>0</v>
      </c>
      <c r="Q490" s="38"/>
      <c r="R490" s="38">
        <f t="shared" si="6869"/>
        <v>0</v>
      </c>
      <c r="S490" s="38">
        <f t="shared" si="6870"/>
        <v>452.7</v>
      </c>
      <c r="T490" s="37">
        <f t="shared" ref="T490:V490" si="6975">TRUNC($M490 * S490,2)</f>
        <v>8578.66</v>
      </c>
      <c r="U490" s="54">
        <v>452.7</v>
      </c>
      <c r="V490" s="55">
        <f t="shared" si="6975"/>
        <v>8578.66</v>
      </c>
      <c r="W490" s="38"/>
      <c r="X490" s="38">
        <f t="shared" ref="X490" si="6976">TRUNC($M490 * W490,2)</f>
        <v>0</v>
      </c>
      <c r="Y490" s="38"/>
      <c r="Z490" s="38">
        <f t="shared" ref="Z490" si="6977">TRUNC($M490 * Y490,2)</f>
        <v>0</v>
      </c>
      <c r="AA490" s="38"/>
      <c r="AB490" s="38">
        <f t="shared" ref="AB490" si="6978">TRUNC($M490 * AA490,2)</f>
        <v>0</v>
      </c>
      <c r="AC490" s="38"/>
      <c r="AD490" s="38">
        <f t="shared" ref="AD490" si="6979">TRUNC($M490 * AC490,2)</f>
        <v>0</v>
      </c>
      <c r="AE490" s="38"/>
      <c r="AF490" s="38">
        <f t="shared" ref="AF490" si="6980">TRUNC($M490 * AE490,2)</f>
        <v>0</v>
      </c>
      <c r="AG490" s="38"/>
      <c r="AH490" s="38">
        <f t="shared" ref="AH490" si="6981">TRUNC($M490 * AG490,2)</f>
        <v>0</v>
      </c>
      <c r="AI490" s="38"/>
      <c r="AJ490" s="38">
        <f t="shared" ref="AJ490" si="6982">TRUNC($M490 * AI490,2)</f>
        <v>0</v>
      </c>
      <c r="AK490" s="38"/>
      <c r="AL490" s="38">
        <f t="shared" ref="AL490" si="6983">TRUNC($M490 * AK490,2)</f>
        <v>0</v>
      </c>
      <c r="AM490" s="38"/>
      <c r="AN490" s="38">
        <f t="shared" ref="AN490" si="6984">TRUNC($M490 * AM490,2)</f>
        <v>0</v>
      </c>
      <c r="AO490" s="38"/>
      <c r="AP490" s="38">
        <f t="shared" ref="AP490" si="6985">TRUNC($M490 * AO490,2)</f>
        <v>0</v>
      </c>
      <c r="AQ490" s="38"/>
      <c r="AR490" s="38">
        <f t="shared" ref="AR490" si="6986">TRUNC($M490 * AQ490,2)</f>
        <v>0</v>
      </c>
      <c r="AS490" s="38"/>
      <c r="AT490" s="38">
        <f t="shared" ref="AT490" si="6987">TRUNC($M490 * AS490,2)</f>
        <v>0</v>
      </c>
      <c r="AU490" s="38"/>
      <c r="AV490" s="38">
        <f t="shared" ref="AV490" si="6988">TRUNC($M490 * AU490,2)</f>
        <v>0</v>
      </c>
      <c r="AW490" s="38"/>
      <c r="AX490" s="37">
        <f t="shared" ref="AX490" si="6989">TRUNC($M490 * AW490,2)</f>
        <v>0</v>
      </c>
      <c r="AY490" s="36">
        <f t="shared" si="6886"/>
        <v>452.7</v>
      </c>
      <c r="AZ490" s="38">
        <f t="shared" ref="AZ490" si="6990">TRUNC($M490 * AY490,2)</f>
        <v>8578.66</v>
      </c>
      <c r="BA490" s="38">
        <f t="shared" si="6888"/>
        <v>0</v>
      </c>
      <c r="BB490" s="37">
        <f t="shared" ref="BB490" si="6991">TRUNC($M490 * BA490,2)</f>
        <v>0</v>
      </c>
    </row>
    <row r="491" spans="1:54" ht="24" customHeight="1" x14ac:dyDescent="0.25">
      <c r="A491" s="4" t="s">
        <v>1297</v>
      </c>
      <c r="B491" s="4" t="s">
        <v>12</v>
      </c>
      <c r="C491" s="4"/>
      <c r="D491" s="4" t="s">
        <v>958</v>
      </c>
      <c r="E491" s="5"/>
      <c r="F491" s="14"/>
      <c r="G491" s="6"/>
      <c r="H491" s="6"/>
      <c r="I491" s="7">
        <f>SUM(I492:I501)</f>
        <v>165384.71</v>
      </c>
      <c r="J491" s="7"/>
      <c r="K491" s="7">
        <f>SUM(K492:K501)</f>
        <v>198993.38999999998</v>
      </c>
      <c r="L491" s="22">
        <f>K491 / L13</f>
        <v>6.8618410344827574E-2</v>
      </c>
      <c r="M491" s="25"/>
      <c r="N491" s="26">
        <f>SUM(N492:N501)</f>
        <v>149189.75</v>
      </c>
      <c r="O491" s="25"/>
      <c r="P491" s="30">
        <f>SUM(P492:P501)</f>
        <v>29321</v>
      </c>
      <c r="Q491" s="30"/>
      <c r="R491" s="30">
        <f>SUM(R492:R501)</f>
        <v>0</v>
      </c>
      <c r="S491" s="30"/>
      <c r="T491" s="26">
        <f>SUM(T492:T501)</f>
        <v>178510.75</v>
      </c>
      <c r="U491" s="25"/>
      <c r="V491" s="30">
        <f>SUM(V492:V501)</f>
        <v>0</v>
      </c>
      <c r="W491" s="30"/>
      <c r="X491" s="30">
        <f>SUM(X492:X501)</f>
        <v>85856.53</v>
      </c>
      <c r="Y491" s="30"/>
      <c r="Z491" s="30">
        <f>SUM(Z492:Z501)</f>
        <v>59424.45</v>
      </c>
      <c r="AA491" s="30"/>
      <c r="AB491" s="30">
        <f>SUM(AB492:AB501)</f>
        <v>3908.75</v>
      </c>
      <c r="AC491" s="30"/>
      <c r="AD491" s="30">
        <f>SUM(AD492:AD501)</f>
        <v>0</v>
      </c>
      <c r="AE491" s="30"/>
      <c r="AF491" s="30">
        <f>SUM(AF492:AF501)</f>
        <v>0</v>
      </c>
      <c r="AG491" s="30"/>
      <c r="AH491" s="30">
        <f>SUM(AH492:AH501)</f>
        <v>0</v>
      </c>
      <c r="AI491" s="30"/>
      <c r="AJ491" s="30">
        <f>SUM(AJ492:AJ501)</f>
        <v>0</v>
      </c>
      <c r="AK491" s="30"/>
      <c r="AL491" s="30">
        <f>SUM(AL492:AL501)</f>
        <v>0</v>
      </c>
      <c r="AM491" s="30"/>
      <c r="AN491" s="30">
        <f>SUM(AN492:AN501)</f>
        <v>0</v>
      </c>
      <c r="AO491" s="30"/>
      <c r="AP491" s="30">
        <f>SUM(AP492:AP501)</f>
        <v>0</v>
      </c>
      <c r="AQ491" s="30"/>
      <c r="AR491" s="30">
        <f>SUM(AR492:AR501)</f>
        <v>0</v>
      </c>
      <c r="AS491" s="30"/>
      <c r="AT491" s="30">
        <f>SUM(AT492:AT501)</f>
        <v>0</v>
      </c>
      <c r="AU491" s="30"/>
      <c r="AV491" s="30">
        <f>SUM(AV492:AV501)</f>
        <v>0</v>
      </c>
      <c r="AW491" s="30"/>
      <c r="AX491" s="26">
        <f>SUM(AX492:AX501)</f>
        <v>0</v>
      </c>
      <c r="AY491" s="25"/>
      <c r="AZ491" s="30">
        <f>SUM(AZ492:AZ501)</f>
        <v>149189.75</v>
      </c>
      <c r="BA491" s="30"/>
      <c r="BB491" s="26">
        <f>SUM(BB492:BB501)</f>
        <v>29321</v>
      </c>
    </row>
    <row r="492" spans="1:54" ht="39" customHeight="1" x14ac:dyDescent="0.25">
      <c r="A492" s="31" t="s">
        <v>1298</v>
      </c>
      <c r="B492" s="31" t="s">
        <v>959</v>
      </c>
      <c r="C492" s="31" t="s">
        <v>34</v>
      </c>
      <c r="D492" s="31" t="s">
        <v>960</v>
      </c>
      <c r="E492" s="32" t="s">
        <v>26</v>
      </c>
      <c r="F492" s="33">
        <v>127.2</v>
      </c>
      <c r="G492" s="34">
        <v>146.41</v>
      </c>
      <c r="H492" s="34">
        <f t="shared" si="6865"/>
        <v>134.80000000000001</v>
      </c>
      <c r="I492" s="34">
        <f t="shared" si="6866"/>
        <v>17146.560000000001</v>
      </c>
      <c r="J492" s="34">
        <f>(TRUNC(H492 * L14,2) + H492)</f>
        <v>162.21</v>
      </c>
      <c r="K492" s="34">
        <f t="shared" ref="K492:K501" si="6992">TRUNC(F492 * J492,2)</f>
        <v>20633.11</v>
      </c>
      <c r="L492" s="35">
        <f>K492 / L13</f>
        <v>7.1148655172413788E-3</v>
      </c>
      <c r="M492" s="36">
        <v>121.83</v>
      </c>
      <c r="N492" s="37">
        <f t="shared" si="6868"/>
        <v>15496.77</v>
      </c>
      <c r="O492" s="36"/>
      <c r="P492" s="38">
        <f t="shared" si="6869"/>
        <v>0</v>
      </c>
      <c r="Q492" s="38"/>
      <c r="R492" s="38">
        <f t="shared" si="6869"/>
        <v>0</v>
      </c>
      <c r="S492" s="38">
        <f t="shared" si="6870"/>
        <v>127.2</v>
      </c>
      <c r="T492" s="37">
        <f t="shared" ref="T492:V492" si="6993">TRUNC($M492 * S492,2)</f>
        <v>15496.77</v>
      </c>
      <c r="U492" s="36"/>
      <c r="V492" s="38">
        <f t="shared" si="6993"/>
        <v>0</v>
      </c>
      <c r="W492" s="55">
        <v>127.2</v>
      </c>
      <c r="X492" s="55">
        <f t="shared" ref="X492" si="6994">TRUNC($M492 * W492,2)</f>
        <v>15496.77</v>
      </c>
      <c r="Y492" s="38"/>
      <c r="Z492" s="38">
        <f t="shared" ref="Z492" si="6995">TRUNC($M492 * Y492,2)</f>
        <v>0</v>
      </c>
      <c r="AA492" s="38"/>
      <c r="AB492" s="38">
        <f t="shared" ref="AB492" si="6996">TRUNC($M492 * AA492,2)</f>
        <v>0</v>
      </c>
      <c r="AC492" s="38"/>
      <c r="AD492" s="38">
        <f t="shared" ref="AD492" si="6997">TRUNC($M492 * AC492,2)</f>
        <v>0</v>
      </c>
      <c r="AE492" s="38"/>
      <c r="AF492" s="38">
        <f t="shared" ref="AF492" si="6998">TRUNC($M492 * AE492,2)</f>
        <v>0</v>
      </c>
      <c r="AG492" s="38"/>
      <c r="AH492" s="38">
        <f t="shared" ref="AH492" si="6999">TRUNC($M492 * AG492,2)</f>
        <v>0</v>
      </c>
      <c r="AI492" s="38"/>
      <c r="AJ492" s="38">
        <f t="shared" ref="AJ492" si="7000">TRUNC($M492 * AI492,2)</f>
        <v>0</v>
      </c>
      <c r="AK492" s="38"/>
      <c r="AL492" s="38">
        <f t="shared" ref="AL492" si="7001">TRUNC($M492 * AK492,2)</f>
        <v>0</v>
      </c>
      <c r="AM492" s="38"/>
      <c r="AN492" s="38">
        <f t="shared" ref="AN492" si="7002">TRUNC($M492 * AM492,2)</f>
        <v>0</v>
      </c>
      <c r="AO492" s="38"/>
      <c r="AP492" s="38">
        <f t="shared" ref="AP492" si="7003">TRUNC($M492 * AO492,2)</f>
        <v>0</v>
      </c>
      <c r="AQ492" s="38"/>
      <c r="AR492" s="38">
        <f t="shared" ref="AR492" si="7004">TRUNC($M492 * AQ492,2)</f>
        <v>0</v>
      </c>
      <c r="AS492" s="38"/>
      <c r="AT492" s="38">
        <f t="shared" ref="AT492" si="7005">TRUNC($M492 * AS492,2)</f>
        <v>0</v>
      </c>
      <c r="AU492" s="38"/>
      <c r="AV492" s="38">
        <f t="shared" ref="AV492" si="7006">TRUNC($M492 * AU492,2)</f>
        <v>0</v>
      </c>
      <c r="AW492" s="38"/>
      <c r="AX492" s="37">
        <f t="shared" ref="AX492" si="7007">TRUNC($M492 * AW492,2)</f>
        <v>0</v>
      </c>
      <c r="AY492" s="36">
        <f t="shared" si="6886"/>
        <v>127.2</v>
      </c>
      <c r="AZ492" s="38">
        <f t="shared" ref="AZ492" si="7008">TRUNC($M492 * AY492,2)</f>
        <v>15496.77</v>
      </c>
      <c r="BA492" s="38">
        <f t="shared" si="6888"/>
        <v>0</v>
      </c>
      <c r="BB492" s="37">
        <f t="shared" ref="BB492" si="7009">TRUNC($M492 * BA492,2)</f>
        <v>0</v>
      </c>
    </row>
    <row r="493" spans="1:54" ht="26.1" customHeight="1" x14ac:dyDescent="0.25">
      <c r="A493" s="31" t="s">
        <v>1299</v>
      </c>
      <c r="B493" s="31" t="s">
        <v>961</v>
      </c>
      <c r="C493" s="31" t="s">
        <v>34</v>
      </c>
      <c r="D493" s="31" t="s">
        <v>962</v>
      </c>
      <c r="E493" s="32" t="s">
        <v>26</v>
      </c>
      <c r="F493" s="33">
        <v>240</v>
      </c>
      <c r="G493" s="34">
        <v>106.15</v>
      </c>
      <c r="H493" s="34">
        <f t="shared" si="6865"/>
        <v>97.73</v>
      </c>
      <c r="I493" s="34">
        <f t="shared" si="6866"/>
        <v>23455.200000000001</v>
      </c>
      <c r="J493" s="34">
        <f>(TRUNC(H493 * L14,2) + H493)</f>
        <v>117.60000000000001</v>
      </c>
      <c r="K493" s="34">
        <f t="shared" si="6992"/>
        <v>28224</v>
      </c>
      <c r="L493" s="35">
        <f>K493 / L13</f>
        <v>9.7324137931034463E-3</v>
      </c>
      <c r="M493" s="36">
        <v>90.14</v>
      </c>
      <c r="N493" s="37">
        <f t="shared" si="6868"/>
        <v>21633.599999999999</v>
      </c>
      <c r="O493" s="36"/>
      <c r="P493" s="38">
        <f t="shared" si="6869"/>
        <v>0</v>
      </c>
      <c r="Q493" s="38"/>
      <c r="R493" s="38">
        <f t="shared" si="6869"/>
        <v>0</v>
      </c>
      <c r="S493" s="38">
        <f t="shared" si="6870"/>
        <v>240</v>
      </c>
      <c r="T493" s="37">
        <f t="shared" ref="T493:V493" si="7010">TRUNC($M493 * S493,2)</f>
        <v>21633.599999999999</v>
      </c>
      <c r="U493" s="36"/>
      <c r="V493" s="38">
        <f t="shared" si="7010"/>
        <v>0</v>
      </c>
      <c r="W493" s="55">
        <v>130</v>
      </c>
      <c r="X493" s="55">
        <f t="shared" ref="X493" si="7011">TRUNC($M493 * W493,2)</f>
        <v>11718.2</v>
      </c>
      <c r="Y493" s="55">
        <v>110</v>
      </c>
      <c r="Z493" s="55">
        <f t="shared" ref="Z493" si="7012">TRUNC($M493 * Y493,2)</f>
        <v>9915.4</v>
      </c>
      <c r="AA493" s="38"/>
      <c r="AB493" s="38">
        <f t="shared" ref="AB493" si="7013">TRUNC($M493 * AA493,2)</f>
        <v>0</v>
      </c>
      <c r="AC493" s="38"/>
      <c r="AD493" s="38">
        <f t="shared" ref="AD493" si="7014">TRUNC($M493 * AC493,2)</f>
        <v>0</v>
      </c>
      <c r="AE493" s="38"/>
      <c r="AF493" s="38">
        <f t="shared" ref="AF493" si="7015">TRUNC($M493 * AE493,2)</f>
        <v>0</v>
      </c>
      <c r="AG493" s="38"/>
      <c r="AH493" s="38">
        <f t="shared" ref="AH493" si="7016">TRUNC($M493 * AG493,2)</f>
        <v>0</v>
      </c>
      <c r="AI493" s="38"/>
      <c r="AJ493" s="38">
        <f t="shared" ref="AJ493" si="7017">TRUNC($M493 * AI493,2)</f>
        <v>0</v>
      </c>
      <c r="AK493" s="38"/>
      <c r="AL493" s="38">
        <f t="shared" ref="AL493" si="7018">TRUNC($M493 * AK493,2)</f>
        <v>0</v>
      </c>
      <c r="AM493" s="38"/>
      <c r="AN493" s="38">
        <f t="shared" ref="AN493" si="7019">TRUNC($M493 * AM493,2)</f>
        <v>0</v>
      </c>
      <c r="AO493" s="38"/>
      <c r="AP493" s="38">
        <f t="shared" ref="AP493" si="7020">TRUNC($M493 * AO493,2)</f>
        <v>0</v>
      </c>
      <c r="AQ493" s="38"/>
      <c r="AR493" s="38">
        <f t="shared" ref="AR493" si="7021">TRUNC($M493 * AQ493,2)</f>
        <v>0</v>
      </c>
      <c r="AS493" s="38"/>
      <c r="AT493" s="38">
        <f t="shared" ref="AT493" si="7022">TRUNC($M493 * AS493,2)</f>
        <v>0</v>
      </c>
      <c r="AU493" s="38"/>
      <c r="AV493" s="38">
        <f t="shared" ref="AV493" si="7023">TRUNC($M493 * AU493,2)</f>
        <v>0</v>
      </c>
      <c r="AW493" s="38"/>
      <c r="AX493" s="37">
        <f t="shared" ref="AX493" si="7024">TRUNC($M493 * AW493,2)</f>
        <v>0</v>
      </c>
      <c r="AY493" s="36">
        <f t="shared" si="6886"/>
        <v>240</v>
      </c>
      <c r="AZ493" s="38">
        <f t="shared" ref="AZ493" si="7025">TRUNC($M493 * AY493,2)</f>
        <v>21633.599999999999</v>
      </c>
      <c r="BA493" s="38">
        <f t="shared" si="6888"/>
        <v>0</v>
      </c>
      <c r="BB493" s="37">
        <f t="shared" ref="BB493" si="7026">TRUNC($M493 * BA493,2)</f>
        <v>0</v>
      </c>
    </row>
    <row r="494" spans="1:54" ht="24" customHeight="1" x14ac:dyDescent="0.25">
      <c r="A494" s="31" t="s">
        <v>1300</v>
      </c>
      <c r="B494" s="31" t="s">
        <v>963</v>
      </c>
      <c r="C494" s="31" t="s">
        <v>19</v>
      </c>
      <c r="D494" s="31" t="s">
        <v>964</v>
      </c>
      <c r="E494" s="32" t="s">
        <v>51</v>
      </c>
      <c r="F494" s="33">
        <v>45.1</v>
      </c>
      <c r="G494" s="34">
        <v>524.34</v>
      </c>
      <c r="H494" s="34">
        <f t="shared" si="6865"/>
        <v>482.78</v>
      </c>
      <c r="I494" s="34">
        <f t="shared" si="6866"/>
        <v>21773.37</v>
      </c>
      <c r="J494" s="34">
        <f>(TRUNC(H494 * L14,2) + H494)</f>
        <v>580.97</v>
      </c>
      <c r="K494" s="34">
        <f t="shared" si="6992"/>
        <v>26201.74</v>
      </c>
      <c r="L494" s="35">
        <f>K494 / L13</f>
        <v>9.0350827586206887E-3</v>
      </c>
      <c r="M494" s="36">
        <v>371.81</v>
      </c>
      <c r="N494" s="37">
        <f t="shared" si="6868"/>
        <v>16768.63</v>
      </c>
      <c r="O494" s="36"/>
      <c r="P494" s="38">
        <f t="shared" si="6869"/>
        <v>0</v>
      </c>
      <c r="Q494" s="38"/>
      <c r="R494" s="38">
        <f t="shared" si="6869"/>
        <v>0</v>
      </c>
      <c r="S494" s="38">
        <f t="shared" si="6870"/>
        <v>45.1</v>
      </c>
      <c r="T494" s="37">
        <f t="shared" ref="T494:V494" si="7027">TRUNC($M494 * S494,2)</f>
        <v>16768.63</v>
      </c>
      <c r="U494" s="36"/>
      <c r="V494" s="38">
        <f t="shared" si="7027"/>
        <v>0</v>
      </c>
      <c r="W494" s="55">
        <v>25</v>
      </c>
      <c r="X494" s="55">
        <f t="shared" ref="X494" si="7028">TRUNC($M494 * W494,2)</f>
        <v>9295.25</v>
      </c>
      <c r="Y494" s="55">
        <v>20.100000000000001</v>
      </c>
      <c r="Z494" s="55">
        <f t="shared" ref="Z494" si="7029">TRUNC($M494 * Y494,2)</f>
        <v>7473.38</v>
      </c>
      <c r="AA494" s="38"/>
      <c r="AB494" s="38">
        <f t="shared" ref="AB494" si="7030">TRUNC($M494 * AA494,2)</f>
        <v>0</v>
      </c>
      <c r="AC494" s="38"/>
      <c r="AD494" s="38">
        <f t="shared" ref="AD494" si="7031">TRUNC($M494 * AC494,2)</f>
        <v>0</v>
      </c>
      <c r="AE494" s="38"/>
      <c r="AF494" s="38">
        <f t="shared" ref="AF494" si="7032">TRUNC($M494 * AE494,2)</f>
        <v>0</v>
      </c>
      <c r="AG494" s="38"/>
      <c r="AH494" s="38">
        <f t="shared" ref="AH494" si="7033">TRUNC($M494 * AG494,2)</f>
        <v>0</v>
      </c>
      <c r="AI494" s="38"/>
      <c r="AJ494" s="38">
        <f t="shared" ref="AJ494" si="7034">TRUNC($M494 * AI494,2)</f>
        <v>0</v>
      </c>
      <c r="AK494" s="38"/>
      <c r="AL494" s="38">
        <f t="shared" ref="AL494" si="7035">TRUNC($M494 * AK494,2)</f>
        <v>0</v>
      </c>
      <c r="AM494" s="38"/>
      <c r="AN494" s="38">
        <f t="shared" ref="AN494" si="7036">TRUNC($M494 * AM494,2)</f>
        <v>0</v>
      </c>
      <c r="AO494" s="38"/>
      <c r="AP494" s="38">
        <f t="shared" ref="AP494" si="7037">TRUNC($M494 * AO494,2)</f>
        <v>0</v>
      </c>
      <c r="AQ494" s="38"/>
      <c r="AR494" s="38">
        <f t="shared" ref="AR494" si="7038">TRUNC($M494 * AQ494,2)</f>
        <v>0</v>
      </c>
      <c r="AS494" s="38"/>
      <c r="AT494" s="38">
        <f t="shared" ref="AT494" si="7039">TRUNC($M494 * AS494,2)</f>
        <v>0</v>
      </c>
      <c r="AU494" s="38"/>
      <c r="AV494" s="38">
        <f t="shared" ref="AV494" si="7040">TRUNC($M494 * AU494,2)</f>
        <v>0</v>
      </c>
      <c r="AW494" s="38"/>
      <c r="AX494" s="37">
        <f t="shared" ref="AX494" si="7041">TRUNC($M494 * AW494,2)</f>
        <v>0</v>
      </c>
      <c r="AY494" s="36">
        <f t="shared" si="6886"/>
        <v>45.1</v>
      </c>
      <c r="AZ494" s="38">
        <f t="shared" ref="AZ494" si="7042">TRUNC($M494 * AY494,2)</f>
        <v>16768.63</v>
      </c>
      <c r="BA494" s="38">
        <f t="shared" si="6888"/>
        <v>0</v>
      </c>
      <c r="BB494" s="37">
        <f t="shared" ref="BB494" si="7043">TRUNC($M494 * BA494,2)</f>
        <v>0</v>
      </c>
    </row>
    <row r="495" spans="1:54" ht="26.1" customHeight="1" x14ac:dyDescent="0.25">
      <c r="A495" s="31" t="s">
        <v>1301</v>
      </c>
      <c r="B495" s="31" t="s">
        <v>965</v>
      </c>
      <c r="C495" s="31" t="s">
        <v>19</v>
      </c>
      <c r="D495" s="31" t="s">
        <v>966</v>
      </c>
      <c r="E495" s="32" t="s">
        <v>51</v>
      </c>
      <c r="F495" s="33">
        <v>45.1</v>
      </c>
      <c r="G495" s="34">
        <v>108.19</v>
      </c>
      <c r="H495" s="34">
        <f t="shared" si="6865"/>
        <v>99.61</v>
      </c>
      <c r="I495" s="34">
        <f t="shared" si="6866"/>
        <v>4492.41</v>
      </c>
      <c r="J495" s="34">
        <f>(TRUNC(H495 * L14,2) + H495)</f>
        <v>119.87</v>
      </c>
      <c r="K495" s="34">
        <f t="shared" si="6992"/>
        <v>5406.13</v>
      </c>
      <c r="L495" s="35">
        <f>K495 / L13</f>
        <v>1.8641827586206893E-3</v>
      </c>
      <c r="M495" s="36">
        <v>119.85</v>
      </c>
      <c r="N495" s="37">
        <f t="shared" si="6868"/>
        <v>5405.23</v>
      </c>
      <c r="O495" s="36"/>
      <c r="P495" s="38">
        <f t="shared" si="6869"/>
        <v>0</v>
      </c>
      <c r="Q495" s="38"/>
      <c r="R495" s="38">
        <f t="shared" si="6869"/>
        <v>0</v>
      </c>
      <c r="S495" s="38">
        <f t="shared" si="6870"/>
        <v>45.1</v>
      </c>
      <c r="T495" s="37">
        <f t="shared" ref="T495:V495" si="7044">TRUNC($M495 * S495,2)</f>
        <v>5405.23</v>
      </c>
      <c r="U495" s="36"/>
      <c r="V495" s="38">
        <f t="shared" si="7044"/>
        <v>0</v>
      </c>
      <c r="W495" s="55">
        <v>28</v>
      </c>
      <c r="X495" s="55">
        <f t="shared" ref="X495" si="7045">TRUNC($M495 * W495,2)</f>
        <v>3355.8</v>
      </c>
      <c r="Y495" s="55">
        <v>17.100000000000001</v>
      </c>
      <c r="Z495" s="55">
        <f t="shared" ref="Z495" si="7046">TRUNC($M495 * Y495,2)</f>
        <v>2049.4299999999998</v>
      </c>
      <c r="AA495" s="38"/>
      <c r="AB495" s="38">
        <f t="shared" ref="AB495" si="7047">TRUNC($M495 * AA495,2)</f>
        <v>0</v>
      </c>
      <c r="AC495" s="38"/>
      <c r="AD495" s="38">
        <f t="shared" ref="AD495" si="7048">TRUNC($M495 * AC495,2)</f>
        <v>0</v>
      </c>
      <c r="AE495" s="38"/>
      <c r="AF495" s="38">
        <f t="shared" ref="AF495" si="7049">TRUNC($M495 * AE495,2)</f>
        <v>0</v>
      </c>
      <c r="AG495" s="38"/>
      <c r="AH495" s="38">
        <f t="shared" ref="AH495" si="7050">TRUNC($M495 * AG495,2)</f>
        <v>0</v>
      </c>
      <c r="AI495" s="38"/>
      <c r="AJ495" s="38">
        <f t="shared" ref="AJ495" si="7051">TRUNC($M495 * AI495,2)</f>
        <v>0</v>
      </c>
      <c r="AK495" s="38"/>
      <c r="AL495" s="38">
        <f t="shared" ref="AL495" si="7052">TRUNC($M495 * AK495,2)</f>
        <v>0</v>
      </c>
      <c r="AM495" s="38"/>
      <c r="AN495" s="38">
        <f t="shared" ref="AN495" si="7053">TRUNC($M495 * AM495,2)</f>
        <v>0</v>
      </c>
      <c r="AO495" s="38"/>
      <c r="AP495" s="38">
        <f t="shared" ref="AP495" si="7054">TRUNC($M495 * AO495,2)</f>
        <v>0</v>
      </c>
      <c r="AQ495" s="38"/>
      <c r="AR495" s="38">
        <f t="shared" ref="AR495" si="7055">TRUNC($M495 * AQ495,2)</f>
        <v>0</v>
      </c>
      <c r="AS495" s="38"/>
      <c r="AT495" s="38">
        <f t="shared" ref="AT495" si="7056">TRUNC($M495 * AS495,2)</f>
        <v>0</v>
      </c>
      <c r="AU495" s="38"/>
      <c r="AV495" s="38">
        <f t="shared" ref="AV495" si="7057">TRUNC($M495 * AU495,2)</f>
        <v>0</v>
      </c>
      <c r="AW495" s="38"/>
      <c r="AX495" s="37">
        <f t="shared" ref="AX495" si="7058">TRUNC($M495 * AW495,2)</f>
        <v>0</v>
      </c>
      <c r="AY495" s="36">
        <f t="shared" si="6886"/>
        <v>45.1</v>
      </c>
      <c r="AZ495" s="38">
        <f t="shared" ref="AZ495" si="7059">TRUNC($M495 * AY495,2)</f>
        <v>5405.23</v>
      </c>
      <c r="BA495" s="38">
        <f t="shared" si="6888"/>
        <v>0</v>
      </c>
      <c r="BB495" s="37">
        <f t="shared" ref="BB495" si="7060">TRUNC($M495 * BA495,2)</f>
        <v>0</v>
      </c>
    </row>
    <row r="496" spans="1:54" ht="39" customHeight="1" x14ac:dyDescent="0.25">
      <c r="A496" s="31" t="s">
        <v>1302</v>
      </c>
      <c r="B496" s="31" t="s">
        <v>156</v>
      </c>
      <c r="C496" s="31" t="s">
        <v>34</v>
      </c>
      <c r="D496" s="31" t="s">
        <v>157</v>
      </c>
      <c r="E496" s="32" t="s">
        <v>76</v>
      </c>
      <c r="F496" s="33">
        <v>1110.9000000000001</v>
      </c>
      <c r="G496" s="34">
        <v>13.18</v>
      </c>
      <c r="H496" s="34">
        <f t="shared" si="6865"/>
        <v>12.13</v>
      </c>
      <c r="I496" s="34">
        <f t="shared" si="6866"/>
        <v>13475.21</v>
      </c>
      <c r="J496" s="34">
        <f>(TRUNC(H496 * L14,2) + H496)</f>
        <v>14.59</v>
      </c>
      <c r="K496" s="34">
        <f t="shared" si="6992"/>
        <v>16208.03</v>
      </c>
      <c r="L496" s="35">
        <f>K496 / L13</f>
        <v>5.5889758620689652E-3</v>
      </c>
      <c r="M496" s="36">
        <v>10.62</v>
      </c>
      <c r="N496" s="37">
        <f t="shared" si="6868"/>
        <v>11797.75</v>
      </c>
      <c r="O496" s="36"/>
      <c r="P496" s="38">
        <f t="shared" si="6869"/>
        <v>0</v>
      </c>
      <c r="Q496" s="38"/>
      <c r="R496" s="38">
        <f t="shared" si="6869"/>
        <v>0</v>
      </c>
      <c r="S496" s="38">
        <f t="shared" si="6870"/>
        <v>1110.9000000000001</v>
      </c>
      <c r="T496" s="37">
        <f t="shared" ref="T496:V496" si="7061">TRUNC($M496 * S496,2)</f>
        <v>11797.75</v>
      </c>
      <c r="U496" s="36"/>
      <c r="V496" s="38">
        <f t="shared" si="7061"/>
        <v>0</v>
      </c>
      <c r="W496" s="55">
        <v>666.54</v>
      </c>
      <c r="X496" s="55">
        <f t="shared" ref="X496" si="7062">TRUNC($M496 * W496,2)</f>
        <v>7078.65</v>
      </c>
      <c r="Y496" s="55">
        <v>444.36</v>
      </c>
      <c r="Z496" s="55">
        <f t="shared" ref="Z496" si="7063">TRUNC($M496 * Y496,2)</f>
        <v>4719.1000000000004</v>
      </c>
      <c r="AA496" s="38"/>
      <c r="AB496" s="38">
        <f t="shared" ref="AB496" si="7064">TRUNC($M496 * AA496,2)</f>
        <v>0</v>
      </c>
      <c r="AC496" s="38"/>
      <c r="AD496" s="38">
        <f t="shared" ref="AD496" si="7065">TRUNC($M496 * AC496,2)</f>
        <v>0</v>
      </c>
      <c r="AE496" s="38"/>
      <c r="AF496" s="38">
        <f t="shared" ref="AF496" si="7066">TRUNC($M496 * AE496,2)</f>
        <v>0</v>
      </c>
      <c r="AG496" s="38"/>
      <c r="AH496" s="38">
        <f t="shared" ref="AH496" si="7067">TRUNC($M496 * AG496,2)</f>
        <v>0</v>
      </c>
      <c r="AI496" s="38"/>
      <c r="AJ496" s="38">
        <f t="shared" ref="AJ496" si="7068">TRUNC($M496 * AI496,2)</f>
        <v>0</v>
      </c>
      <c r="AK496" s="38"/>
      <c r="AL496" s="38">
        <f t="shared" ref="AL496" si="7069">TRUNC($M496 * AK496,2)</f>
        <v>0</v>
      </c>
      <c r="AM496" s="38"/>
      <c r="AN496" s="38">
        <f t="shared" ref="AN496" si="7070">TRUNC($M496 * AM496,2)</f>
        <v>0</v>
      </c>
      <c r="AO496" s="38"/>
      <c r="AP496" s="38">
        <f t="shared" ref="AP496" si="7071">TRUNC($M496 * AO496,2)</f>
        <v>0</v>
      </c>
      <c r="AQ496" s="38"/>
      <c r="AR496" s="38">
        <f t="shared" ref="AR496" si="7072">TRUNC($M496 * AQ496,2)</f>
        <v>0</v>
      </c>
      <c r="AS496" s="38"/>
      <c r="AT496" s="38">
        <f t="shared" ref="AT496" si="7073">TRUNC($M496 * AS496,2)</f>
        <v>0</v>
      </c>
      <c r="AU496" s="38"/>
      <c r="AV496" s="38">
        <f t="shared" ref="AV496" si="7074">TRUNC($M496 * AU496,2)</f>
        <v>0</v>
      </c>
      <c r="AW496" s="38"/>
      <c r="AX496" s="37">
        <f t="shared" ref="AX496" si="7075">TRUNC($M496 * AW496,2)</f>
        <v>0</v>
      </c>
      <c r="AY496" s="36">
        <f t="shared" si="6886"/>
        <v>1110.9000000000001</v>
      </c>
      <c r="AZ496" s="38">
        <f t="shared" ref="AZ496" si="7076">TRUNC($M496 * AY496,2)</f>
        <v>11797.75</v>
      </c>
      <c r="BA496" s="38">
        <f t="shared" si="6888"/>
        <v>0</v>
      </c>
      <c r="BB496" s="37">
        <f t="shared" ref="BB496" si="7077">TRUNC($M496 * BA496,2)</f>
        <v>0</v>
      </c>
    </row>
    <row r="497" spans="1:54" ht="39" customHeight="1" x14ac:dyDescent="0.25">
      <c r="A497" s="31" t="s">
        <v>1303</v>
      </c>
      <c r="B497" s="31" t="s">
        <v>136</v>
      </c>
      <c r="C497" s="31" t="s">
        <v>34</v>
      </c>
      <c r="D497" s="31" t="s">
        <v>137</v>
      </c>
      <c r="E497" s="32" t="s">
        <v>76</v>
      </c>
      <c r="F497" s="33">
        <v>597.29999999999995</v>
      </c>
      <c r="G497" s="34">
        <v>10.8</v>
      </c>
      <c r="H497" s="34">
        <f t="shared" si="6865"/>
        <v>9.94</v>
      </c>
      <c r="I497" s="34">
        <f t="shared" si="6866"/>
        <v>5937.16</v>
      </c>
      <c r="J497" s="34">
        <f>(TRUNC(H497 * L14,2) + H497)</f>
        <v>11.959999999999999</v>
      </c>
      <c r="K497" s="34">
        <f t="shared" si="6992"/>
        <v>7143.7</v>
      </c>
      <c r="L497" s="35">
        <f>K497 / L13</f>
        <v>2.4633448275862063E-3</v>
      </c>
      <c r="M497" s="36">
        <v>8.1999999999999993</v>
      </c>
      <c r="N497" s="37">
        <f t="shared" si="6868"/>
        <v>4897.8599999999997</v>
      </c>
      <c r="O497" s="36"/>
      <c r="P497" s="38">
        <f t="shared" si="6869"/>
        <v>0</v>
      </c>
      <c r="Q497" s="38"/>
      <c r="R497" s="38">
        <f t="shared" si="6869"/>
        <v>0</v>
      </c>
      <c r="S497" s="38">
        <f t="shared" si="6870"/>
        <v>597.29999999999995</v>
      </c>
      <c r="T497" s="37">
        <f t="shared" ref="T497:V497" si="7078">TRUNC($M497 * S497,2)</f>
        <v>4897.8599999999997</v>
      </c>
      <c r="U497" s="36"/>
      <c r="V497" s="38">
        <f t="shared" si="7078"/>
        <v>0</v>
      </c>
      <c r="W497" s="55">
        <v>358.38</v>
      </c>
      <c r="X497" s="55">
        <f t="shared" ref="X497" si="7079">TRUNC($M497 * W497,2)</f>
        <v>2938.71</v>
      </c>
      <c r="Y497" s="55">
        <v>238.92</v>
      </c>
      <c r="Z497" s="55">
        <f t="shared" ref="Z497" si="7080">TRUNC($M497 * Y497,2)</f>
        <v>1959.14</v>
      </c>
      <c r="AA497" s="38"/>
      <c r="AB497" s="38">
        <f t="shared" ref="AB497" si="7081">TRUNC($M497 * AA497,2)</f>
        <v>0</v>
      </c>
      <c r="AC497" s="38"/>
      <c r="AD497" s="38">
        <f t="shared" ref="AD497" si="7082">TRUNC($M497 * AC497,2)</f>
        <v>0</v>
      </c>
      <c r="AE497" s="38"/>
      <c r="AF497" s="38">
        <f t="shared" ref="AF497" si="7083">TRUNC($M497 * AE497,2)</f>
        <v>0</v>
      </c>
      <c r="AG497" s="38"/>
      <c r="AH497" s="38">
        <f t="shared" ref="AH497" si="7084">TRUNC($M497 * AG497,2)</f>
        <v>0</v>
      </c>
      <c r="AI497" s="38"/>
      <c r="AJ497" s="38">
        <f t="shared" ref="AJ497" si="7085">TRUNC($M497 * AI497,2)</f>
        <v>0</v>
      </c>
      <c r="AK497" s="38"/>
      <c r="AL497" s="38">
        <f t="shared" ref="AL497" si="7086">TRUNC($M497 * AK497,2)</f>
        <v>0</v>
      </c>
      <c r="AM497" s="38"/>
      <c r="AN497" s="38">
        <f t="shared" ref="AN497" si="7087">TRUNC($M497 * AM497,2)</f>
        <v>0</v>
      </c>
      <c r="AO497" s="38"/>
      <c r="AP497" s="38">
        <f t="shared" ref="AP497" si="7088">TRUNC($M497 * AO497,2)</f>
        <v>0</v>
      </c>
      <c r="AQ497" s="38"/>
      <c r="AR497" s="38">
        <f t="shared" ref="AR497" si="7089">TRUNC($M497 * AQ497,2)</f>
        <v>0</v>
      </c>
      <c r="AS497" s="38"/>
      <c r="AT497" s="38">
        <f t="shared" ref="AT497" si="7090">TRUNC($M497 * AS497,2)</f>
        <v>0</v>
      </c>
      <c r="AU497" s="38"/>
      <c r="AV497" s="38">
        <f t="shared" ref="AV497" si="7091">TRUNC($M497 * AU497,2)</f>
        <v>0</v>
      </c>
      <c r="AW497" s="38"/>
      <c r="AX497" s="37">
        <f t="shared" ref="AX497" si="7092">TRUNC($M497 * AW497,2)</f>
        <v>0</v>
      </c>
      <c r="AY497" s="36">
        <f t="shared" si="6886"/>
        <v>597.29999999999995</v>
      </c>
      <c r="AZ497" s="38">
        <f t="shared" ref="AZ497" si="7093">TRUNC($M497 * AY497,2)</f>
        <v>4897.8599999999997</v>
      </c>
      <c r="BA497" s="38">
        <f t="shared" si="6888"/>
        <v>0</v>
      </c>
      <c r="BB497" s="37">
        <f t="shared" ref="BB497" si="7094">TRUNC($M497 * BA497,2)</f>
        <v>0</v>
      </c>
    </row>
    <row r="498" spans="1:54" ht="39" customHeight="1" x14ac:dyDescent="0.25">
      <c r="A498" s="31" t="s">
        <v>1304</v>
      </c>
      <c r="B498" s="31" t="s">
        <v>139</v>
      </c>
      <c r="C498" s="31" t="s">
        <v>34</v>
      </c>
      <c r="D498" s="31" t="s">
        <v>140</v>
      </c>
      <c r="E498" s="32" t="s">
        <v>76</v>
      </c>
      <c r="F498" s="33">
        <v>1983</v>
      </c>
      <c r="G498" s="34">
        <v>9.02</v>
      </c>
      <c r="H498" s="34">
        <f t="shared" si="6865"/>
        <v>8.3000000000000007</v>
      </c>
      <c r="I498" s="34">
        <f t="shared" si="6866"/>
        <v>16458.900000000001</v>
      </c>
      <c r="J498" s="34">
        <f>(TRUNC(H498 * L14,2) + H498)</f>
        <v>9.98</v>
      </c>
      <c r="K498" s="34">
        <f t="shared" si="6992"/>
        <v>19790.34</v>
      </c>
      <c r="L498" s="35">
        <f>K498 / L13</f>
        <v>6.824255172413792E-3</v>
      </c>
      <c r="M498" s="36">
        <v>6.72</v>
      </c>
      <c r="N498" s="37">
        <f t="shared" si="6868"/>
        <v>13325.76</v>
      </c>
      <c r="O498" s="36"/>
      <c r="P498" s="38">
        <f t="shared" si="6869"/>
        <v>0</v>
      </c>
      <c r="Q498" s="38"/>
      <c r="R498" s="38">
        <f t="shared" si="6869"/>
        <v>0</v>
      </c>
      <c r="S498" s="38">
        <f t="shared" si="6870"/>
        <v>1983</v>
      </c>
      <c r="T498" s="37">
        <f t="shared" ref="T498:V498" si="7095">TRUNC($M498 * S498,2)</f>
        <v>13325.76</v>
      </c>
      <c r="U498" s="36"/>
      <c r="V498" s="38">
        <f t="shared" si="7095"/>
        <v>0</v>
      </c>
      <c r="W498" s="55">
        <v>1189.8</v>
      </c>
      <c r="X498" s="55">
        <f t="shared" ref="X498" si="7096">TRUNC($M498 * W498,2)</f>
        <v>7995.45</v>
      </c>
      <c r="Y498" s="55">
        <v>793.2</v>
      </c>
      <c r="Z498" s="55">
        <f t="shared" ref="Z498" si="7097">TRUNC($M498 * Y498,2)</f>
        <v>5330.3</v>
      </c>
      <c r="AA498" s="38"/>
      <c r="AB498" s="38">
        <f t="shared" ref="AB498" si="7098">TRUNC($M498 * AA498,2)</f>
        <v>0</v>
      </c>
      <c r="AC498" s="38"/>
      <c r="AD498" s="38">
        <f t="shared" ref="AD498" si="7099">TRUNC($M498 * AC498,2)</f>
        <v>0</v>
      </c>
      <c r="AE498" s="38"/>
      <c r="AF498" s="38">
        <f t="shared" ref="AF498" si="7100">TRUNC($M498 * AE498,2)</f>
        <v>0</v>
      </c>
      <c r="AG498" s="38"/>
      <c r="AH498" s="38">
        <f t="shared" ref="AH498" si="7101">TRUNC($M498 * AG498,2)</f>
        <v>0</v>
      </c>
      <c r="AI498" s="38"/>
      <c r="AJ498" s="38">
        <f t="shared" ref="AJ498" si="7102">TRUNC($M498 * AI498,2)</f>
        <v>0</v>
      </c>
      <c r="AK498" s="38"/>
      <c r="AL498" s="38">
        <f t="shared" ref="AL498" si="7103">TRUNC($M498 * AK498,2)</f>
        <v>0</v>
      </c>
      <c r="AM498" s="38"/>
      <c r="AN498" s="38">
        <f t="shared" ref="AN498" si="7104">TRUNC($M498 * AM498,2)</f>
        <v>0</v>
      </c>
      <c r="AO498" s="38"/>
      <c r="AP498" s="38">
        <f t="shared" ref="AP498" si="7105">TRUNC($M498 * AO498,2)</f>
        <v>0</v>
      </c>
      <c r="AQ498" s="38"/>
      <c r="AR498" s="38">
        <f t="shared" ref="AR498" si="7106">TRUNC($M498 * AQ498,2)</f>
        <v>0</v>
      </c>
      <c r="AS498" s="38"/>
      <c r="AT498" s="38">
        <f t="shared" ref="AT498" si="7107">TRUNC($M498 * AS498,2)</f>
        <v>0</v>
      </c>
      <c r="AU498" s="38"/>
      <c r="AV498" s="38">
        <f t="shared" ref="AV498" si="7108">TRUNC($M498 * AU498,2)</f>
        <v>0</v>
      </c>
      <c r="AW498" s="38"/>
      <c r="AX498" s="37">
        <f t="shared" ref="AX498" si="7109">TRUNC($M498 * AW498,2)</f>
        <v>0</v>
      </c>
      <c r="AY498" s="36">
        <f t="shared" si="6886"/>
        <v>1983</v>
      </c>
      <c r="AZ498" s="38">
        <f t="shared" ref="AZ498" si="7110">TRUNC($M498 * AY498,2)</f>
        <v>13325.76</v>
      </c>
      <c r="BA498" s="38">
        <f t="shared" si="6888"/>
        <v>0</v>
      </c>
      <c r="BB498" s="37">
        <f t="shared" ref="BB498" si="7111">TRUNC($M498 * BA498,2)</f>
        <v>0</v>
      </c>
    </row>
    <row r="499" spans="1:54" ht="26.1" customHeight="1" x14ac:dyDescent="0.25">
      <c r="A499" s="31" t="s">
        <v>1305</v>
      </c>
      <c r="B499" s="31" t="s">
        <v>967</v>
      </c>
      <c r="C499" s="31" t="s">
        <v>19</v>
      </c>
      <c r="D499" s="31" t="s">
        <v>968</v>
      </c>
      <c r="E499" s="32" t="s">
        <v>26</v>
      </c>
      <c r="F499" s="33">
        <v>429.6</v>
      </c>
      <c r="G499" s="34">
        <v>147.02000000000001</v>
      </c>
      <c r="H499" s="34">
        <f t="shared" si="6865"/>
        <v>135.36000000000001</v>
      </c>
      <c r="I499" s="34">
        <f t="shared" si="6866"/>
        <v>58150.65</v>
      </c>
      <c r="J499" s="34">
        <f>(TRUNC(H499 * L14,2) + H499)</f>
        <v>162.89000000000001</v>
      </c>
      <c r="K499" s="34">
        <f t="shared" si="6992"/>
        <v>69977.539999999994</v>
      </c>
      <c r="L499" s="35">
        <f>K499 / L13</f>
        <v>2.4130186206896546E-2</v>
      </c>
      <c r="M499" s="36">
        <v>130.25</v>
      </c>
      <c r="N499" s="37">
        <f t="shared" si="6868"/>
        <v>55955.4</v>
      </c>
      <c r="O499" s="36"/>
      <c r="P499" s="38">
        <f t="shared" si="6869"/>
        <v>0</v>
      </c>
      <c r="Q499" s="38"/>
      <c r="R499" s="38">
        <f t="shared" si="6869"/>
        <v>0</v>
      </c>
      <c r="S499" s="38">
        <f t="shared" si="6870"/>
        <v>429.6</v>
      </c>
      <c r="T499" s="37">
        <f t="shared" ref="T499:V499" si="7112">TRUNC($M499 * S499,2)</f>
        <v>55955.4</v>
      </c>
      <c r="U499" s="36"/>
      <c r="V499" s="38">
        <f t="shared" si="7112"/>
        <v>0</v>
      </c>
      <c r="W499" s="55">
        <v>214.8</v>
      </c>
      <c r="X499" s="55">
        <f t="shared" ref="X499" si="7113">TRUNC($M499 * W499,2)</f>
        <v>27977.7</v>
      </c>
      <c r="Y499" s="55">
        <v>214.8</v>
      </c>
      <c r="Z499" s="55">
        <f t="shared" ref="Z499" si="7114">TRUNC($M499 * Y499,2)</f>
        <v>27977.7</v>
      </c>
      <c r="AA499" s="38"/>
      <c r="AB499" s="38">
        <f t="shared" ref="AB499" si="7115">TRUNC($M499 * AA499,2)</f>
        <v>0</v>
      </c>
      <c r="AC499" s="38"/>
      <c r="AD499" s="38">
        <f t="shared" ref="AD499" si="7116">TRUNC($M499 * AC499,2)</f>
        <v>0</v>
      </c>
      <c r="AE499" s="38"/>
      <c r="AF499" s="38">
        <f t="shared" ref="AF499" si="7117">TRUNC($M499 * AE499,2)</f>
        <v>0</v>
      </c>
      <c r="AG499" s="38"/>
      <c r="AH499" s="38">
        <f t="shared" ref="AH499" si="7118">TRUNC($M499 * AG499,2)</f>
        <v>0</v>
      </c>
      <c r="AI499" s="38"/>
      <c r="AJ499" s="38">
        <f t="shared" ref="AJ499" si="7119">TRUNC($M499 * AI499,2)</f>
        <v>0</v>
      </c>
      <c r="AK499" s="38"/>
      <c r="AL499" s="38">
        <f t="shared" ref="AL499" si="7120">TRUNC($M499 * AK499,2)</f>
        <v>0</v>
      </c>
      <c r="AM499" s="38"/>
      <c r="AN499" s="38">
        <f t="shared" ref="AN499" si="7121">TRUNC($M499 * AM499,2)</f>
        <v>0</v>
      </c>
      <c r="AO499" s="38"/>
      <c r="AP499" s="38">
        <f t="shared" ref="AP499" si="7122">TRUNC($M499 * AO499,2)</f>
        <v>0</v>
      </c>
      <c r="AQ499" s="38"/>
      <c r="AR499" s="38">
        <f t="shared" ref="AR499" si="7123">TRUNC($M499 * AQ499,2)</f>
        <v>0</v>
      </c>
      <c r="AS499" s="38"/>
      <c r="AT499" s="38">
        <f t="shared" ref="AT499" si="7124">TRUNC($M499 * AS499,2)</f>
        <v>0</v>
      </c>
      <c r="AU499" s="38"/>
      <c r="AV499" s="38">
        <f t="shared" ref="AV499" si="7125">TRUNC($M499 * AU499,2)</f>
        <v>0</v>
      </c>
      <c r="AW499" s="38"/>
      <c r="AX499" s="37">
        <f t="shared" ref="AX499" si="7126">TRUNC($M499 * AW499,2)</f>
        <v>0</v>
      </c>
      <c r="AY499" s="36">
        <f t="shared" si="6886"/>
        <v>429.6</v>
      </c>
      <c r="AZ499" s="38">
        <f t="shared" ref="AZ499" si="7127">TRUNC($M499 * AY499,2)</f>
        <v>55955.4</v>
      </c>
      <c r="BA499" s="38">
        <f t="shared" si="6888"/>
        <v>0</v>
      </c>
      <c r="BB499" s="37">
        <f t="shared" ref="BB499" si="7128">TRUNC($M499 * BA499,2)</f>
        <v>0</v>
      </c>
    </row>
    <row r="500" spans="1:54" ht="26.1" customHeight="1" x14ac:dyDescent="0.25">
      <c r="A500" s="31" t="s">
        <v>1306</v>
      </c>
      <c r="B500" s="31" t="s">
        <v>969</v>
      </c>
      <c r="C500" s="31" t="s">
        <v>34</v>
      </c>
      <c r="D500" s="31" t="s">
        <v>970</v>
      </c>
      <c r="E500" s="32" t="s">
        <v>36</v>
      </c>
      <c r="F500" s="33">
        <v>15</v>
      </c>
      <c r="G500" s="34">
        <v>31.93</v>
      </c>
      <c r="H500" s="34">
        <f t="shared" si="6865"/>
        <v>29.39</v>
      </c>
      <c r="I500" s="34">
        <f t="shared" si="6866"/>
        <v>440.85</v>
      </c>
      <c r="J500" s="34">
        <f>(TRUNC(H500 * L14,2) + H500)</f>
        <v>35.36</v>
      </c>
      <c r="K500" s="34">
        <f t="shared" si="6992"/>
        <v>530.4</v>
      </c>
      <c r="L500" s="35">
        <f>K500 / L13</f>
        <v>1.8289655172413788E-4</v>
      </c>
      <c r="M500" s="36">
        <v>27.25</v>
      </c>
      <c r="N500" s="37">
        <f t="shared" si="6868"/>
        <v>408.75</v>
      </c>
      <c r="O500" s="36">
        <v>26</v>
      </c>
      <c r="P500" s="38">
        <f t="shared" si="6869"/>
        <v>708.5</v>
      </c>
      <c r="Q500" s="38"/>
      <c r="R500" s="38">
        <f t="shared" si="6869"/>
        <v>0</v>
      </c>
      <c r="S500" s="38">
        <f t="shared" si="6870"/>
        <v>41</v>
      </c>
      <c r="T500" s="37">
        <f t="shared" ref="T500:V500" si="7129">TRUNC($M500 * S500,2)</f>
        <v>1117.25</v>
      </c>
      <c r="U500" s="36"/>
      <c r="V500" s="38">
        <f t="shared" si="7129"/>
        <v>0</v>
      </c>
      <c r="W500" s="38"/>
      <c r="X500" s="38">
        <f t="shared" ref="X500" si="7130">TRUNC($M500 * W500,2)</f>
        <v>0</v>
      </c>
      <c r="Y500" s="38"/>
      <c r="Z500" s="38">
        <f t="shared" ref="Z500" si="7131">TRUNC($M500 * Y500,2)</f>
        <v>0</v>
      </c>
      <c r="AA500" s="55">
        <v>15</v>
      </c>
      <c r="AB500" s="55">
        <f t="shared" ref="AB500" si="7132">TRUNC($M500 * AA500,2)</f>
        <v>408.75</v>
      </c>
      <c r="AC500" s="38"/>
      <c r="AD500" s="38">
        <f t="shared" ref="AD500" si="7133">TRUNC($M500 * AC500,2)</f>
        <v>0</v>
      </c>
      <c r="AE500" s="38"/>
      <c r="AF500" s="38">
        <f t="shared" ref="AF500" si="7134">TRUNC($M500 * AE500,2)</f>
        <v>0</v>
      </c>
      <c r="AG500" s="38"/>
      <c r="AH500" s="38">
        <f t="shared" ref="AH500" si="7135">TRUNC($M500 * AG500,2)</f>
        <v>0</v>
      </c>
      <c r="AI500" s="38"/>
      <c r="AJ500" s="38">
        <f t="shared" ref="AJ500" si="7136">TRUNC($M500 * AI500,2)</f>
        <v>0</v>
      </c>
      <c r="AK500" s="38"/>
      <c r="AL500" s="38">
        <f t="shared" ref="AL500" si="7137">TRUNC($M500 * AK500,2)</f>
        <v>0</v>
      </c>
      <c r="AM500" s="38"/>
      <c r="AN500" s="38">
        <f t="shared" ref="AN500" si="7138">TRUNC($M500 * AM500,2)</f>
        <v>0</v>
      </c>
      <c r="AO500" s="38"/>
      <c r="AP500" s="38">
        <f t="shared" ref="AP500" si="7139">TRUNC($M500 * AO500,2)</f>
        <v>0</v>
      </c>
      <c r="AQ500" s="38"/>
      <c r="AR500" s="38">
        <f t="shared" ref="AR500" si="7140">TRUNC($M500 * AQ500,2)</f>
        <v>0</v>
      </c>
      <c r="AS500" s="38"/>
      <c r="AT500" s="38">
        <f t="shared" ref="AT500" si="7141">TRUNC($M500 * AS500,2)</f>
        <v>0</v>
      </c>
      <c r="AU500" s="38"/>
      <c r="AV500" s="38">
        <f t="shared" ref="AV500" si="7142">TRUNC($M500 * AU500,2)</f>
        <v>0</v>
      </c>
      <c r="AW500" s="38"/>
      <c r="AX500" s="37">
        <f t="shared" ref="AX500" si="7143">TRUNC($M500 * AW500,2)</f>
        <v>0</v>
      </c>
      <c r="AY500" s="36">
        <f t="shared" si="6886"/>
        <v>15</v>
      </c>
      <c r="AZ500" s="38">
        <f t="shared" ref="AZ500" si="7144">TRUNC($M500 * AY500,2)</f>
        <v>408.75</v>
      </c>
      <c r="BA500" s="38">
        <f t="shared" si="6888"/>
        <v>26</v>
      </c>
      <c r="BB500" s="37">
        <f t="shared" ref="BB500" si="7145">TRUNC($M500 * BA500,2)</f>
        <v>708.5</v>
      </c>
    </row>
    <row r="501" spans="1:54" ht="51.9" customHeight="1" x14ac:dyDescent="0.25">
      <c r="A501" s="31" t="s">
        <v>1307</v>
      </c>
      <c r="B501" s="31" t="s">
        <v>386</v>
      </c>
      <c r="C501" s="31" t="s">
        <v>34</v>
      </c>
      <c r="D501" s="31" t="s">
        <v>387</v>
      </c>
      <c r="E501" s="32" t="s">
        <v>218</v>
      </c>
      <c r="F501" s="33">
        <v>80</v>
      </c>
      <c r="G501" s="34">
        <v>55.05</v>
      </c>
      <c r="H501" s="34">
        <f t="shared" si="6865"/>
        <v>50.68</v>
      </c>
      <c r="I501" s="34">
        <f t="shared" si="6866"/>
        <v>4054.4</v>
      </c>
      <c r="J501" s="34">
        <f>(TRUNC(H501 * L14,2) + H501)</f>
        <v>60.980000000000004</v>
      </c>
      <c r="K501" s="34">
        <f t="shared" si="6992"/>
        <v>4878.3999999999996</v>
      </c>
      <c r="L501" s="35">
        <f>K501 / L13</f>
        <v>1.6822068965517238E-3</v>
      </c>
      <c r="M501" s="36">
        <v>43.75</v>
      </c>
      <c r="N501" s="37">
        <f t="shared" si="6868"/>
        <v>3500</v>
      </c>
      <c r="O501" s="36">
        <v>654</v>
      </c>
      <c r="P501" s="38">
        <f t="shared" si="6869"/>
        <v>28612.5</v>
      </c>
      <c r="Q501" s="38"/>
      <c r="R501" s="38">
        <f t="shared" si="6869"/>
        <v>0</v>
      </c>
      <c r="S501" s="38">
        <f t="shared" si="6870"/>
        <v>734</v>
      </c>
      <c r="T501" s="37">
        <f t="shared" ref="T501:V501" si="7146">TRUNC($M501 * S501,2)</f>
        <v>32112.5</v>
      </c>
      <c r="U501" s="36"/>
      <c r="V501" s="38">
        <f t="shared" si="7146"/>
        <v>0</v>
      </c>
      <c r="W501" s="38"/>
      <c r="X501" s="38">
        <f t="shared" ref="X501" si="7147">TRUNC($M501 * W501,2)</f>
        <v>0</v>
      </c>
      <c r="Y501" s="38"/>
      <c r="Z501" s="38">
        <f t="shared" ref="Z501" si="7148">TRUNC($M501 * Y501,2)</f>
        <v>0</v>
      </c>
      <c r="AA501" s="55">
        <v>80</v>
      </c>
      <c r="AB501" s="55">
        <f t="shared" ref="AB501" si="7149">TRUNC($M501 * AA501,2)</f>
        <v>3500</v>
      </c>
      <c r="AC501" s="38"/>
      <c r="AD501" s="38">
        <f t="shared" ref="AD501" si="7150">TRUNC($M501 * AC501,2)</f>
        <v>0</v>
      </c>
      <c r="AE501" s="38"/>
      <c r="AF501" s="38">
        <f t="shared" ref="AF501" si="7151">TRUNC($M501 * AE501,2)</f>
        <v>0</v>
      </c>
      <c r="AG501" s="38"/>
      <c r="AH501" s="38">
        <f t="shared" ref="AH501" si="7152">TRUNC($M501 * AG501,2)</f>
        <v>0</v>
      </c>
      <c r="AI501" s="38"/>
      <c r="AJ501" s="38">
        <f t="shared" ref="AJ501" si="7153">TRUNC($M501 * AI501,2)</f>
        <v>0</v>
      </c>
      <c r="AK501" s="38"/>
      <c r="AL501" s="38">
        <f t="shared" ref="AL501" si="7154">TRUNC($M501 * AK501,2)</f>
        <v>0</v>
      </c>
      <c r="AM501" s="38"/>
      <c r="AN501" s="38">
        <f t="shared" ref="AN501" si="7155">TRUNC($M501 * AM501,2)</f>
        <v>0</v>
      </c>
      <c r="AO501" s="38"/>
      <c r="AP501" s="38">
        <f t="shared" ref="AP501" si="7156">TRUNC($M501 * AO501,2)</f>
        <v>0</v>
      </c>
      <c r="AQ501" s="38"/>
      <c r="AR501" s="38">
        <f t="shared" ref="AR501" si="7157">TRUNC($M501 * AQ501,2)</f>
        <v>0</v>
      </c>
      <c r="AS501" s="38"/>
      <c r="AT501" s="38">
        <f t="shared" ref="AT501" si="7158">TRUNC($M501 * AS501,2)</f>
        <v>0</v>
      </c>
      <c r="AU501" s="38"/>
      <c r="AV501" s="38">
        <f t="shared" ref="AV501" si="7159">TRUNC($M501 * AU501,2)</f>
        <v>0</v>
      </c>
      <c r="AW501" s="38"/>
      <c r="AX501" s="37">
        <f t="shared" ref="AX501" si="7160">TRUNC($M501 * AW501,2)</f>
        <v>0</v>
      </c>
      <c r="AY501" s="36">
        <f t="shared" si="6886"/>
        <v>80</v>
      </c>
      <c r="AZ501" s="38">
        <f t="shared" ref="AZ501" si="7161">TRUNC($M501 * AY501,2)</f>
        <v>3500</v>
      </c>
      <c r="BA501" s="38">
        <f t="shared" si="6888"/>
        <v>654</v>
      </c>
      <c r="BB501" s="37">
        <f t="shared" ref="BB501" si="7162">TRUNC($M501 * BA501,2)</f>
        <v>28612.5</v>
      </c>
    </row>
    <row r="502" spans="1:54" ht="24" customHeight="1" x14ac:dyDescent="0.25">
      <c r="A502" s="4">
        <v>23</v>
      </c>
      <c r="B502" s="4" t="s">
        <v>12</v>
      </c>
      <c r="C502" s="4"/>
      <c r="D502" s="4" t="s">
        <v>971</v>
      </c>
      <c r="E502" s="5"/>
      <c r="F502" s="14"/>
      <c r="G502" s="6"/>
      <c r="H502" s="6"/>
      <c r="I502" s="7">
        <f>SUM(I503:I504)</f>
        <v>98892</v>
      </c>
      <c r="J502" s="7"/>
      <c r="K502" s="7">
        <f>SUM(K503:K504)</f>
        <v>118998</v>
      </c>
      <c r="L502" s="22">
        <f>K502 / L13</f>
        <v>4.103379310344827E-2</v>
      </c>
      <c r="M502" s="25"/>
      <c r="N502" s="26">
        <f>SUM(N503:N504)</f>
        <v>114570</v>
      </c>
      <c r="O502" s="25"/>
      <c r="P502" s="30">
        <f>SUM(P503:P504)</f>
        <v>579.4</v>
      </c>
      <c r="Q502" s="30"/>
      <c r="R502" s="30">
        <f>SUM(R503:R504)</f>
        <v>17.13</v>
      </c>
      <c r="S502" s="30"/>
      <c r="T502" s="26">
        <f>SUM(T503:T504)</f>
        <v>115132.26999999999</v>
      </c>
      <c r="U502" s="25"/>
      <c r="V502" s="30">
        <f>SUM(V503:V504)</f>
        <v>0</v>
      </c>
      <c r="W502" s="30"/>
      <c r="X502" s="30">
        <f>SUM(X503:X504)</f>
        <v>0</v>
      </c>
      <c r="Y502" s="30"/>
      <c r="Z502" s="30">
        <f>SUM(Z503:Z504)</f>
        <v>0</v>
      </c>
      <c r="AA502" s="30"/>
      <c r="AB502" s="30">
        <f>SUM(AB503:AB504)</f>
        <v>114570</v>
      </c>
      <c r="AC502" s="30"/>
      <c r="AD502" s="30">
        <f>SUM(AD503:AD504)</f>
        <v>0</v>
      </c>
      <c r="AE502" s="30"/>
      <c r="AF502" s="30">
        <f>SUM(AF503:AF504)</f>
        <v>0</v>
      </c>
      <c r="AG502" s="30"/>
      <c r="AH502" s="30">
        <f>SUM(AH503:AH504)</f>
        <v>0</v>
      </c>
      <c r="AI502" s="30"/>
      <c r="AJ502" s="30">
        <f>SUM(AJ503:AJ504)</f>
        <v>0</v>
      </c>
      <c r="AK502" s="30"/>
      <c r="AL502" s="30">
        <f>SUM(AL503:AL504)</f>
        <v>0</v>
      </c>
      <c r="AM502" s="30"/>
      <c r="AN502" s="30">
        <f>SUM(AN503:AN504)</f>
        <v>0</v>
      </c>
      <c r="AO502" s="30"/>
      <c r="AP502" s="30">
        <f>SUM(AP503:AP504)</f>
        <v>0</v>
      </c>
      <c r="AQ502" s="30"/>
      <c r="AR502" s="30">
        <f>SUM(AR503:AR504)</f>
        <v>0</v>
      </c>
      <c r="AS502" s="30"/>
      <c r="AT502" s="30">
        <f>SUM(AT503:AT504)</f>
        <v>0</v>
      </c>
      <c r="AU502" s="30"/>
      <c r="AV502" s="30">
        <f>SUM(AV503:AV504)</f>
        <v>0</v>
      </c>
      <c r="AW502" s="30"/>
      <c r="AX502" s="26">
        <f>SUM(AX503:AX504)</f>
        <v>0</v>
      </c>
      <c r="AY502" s="25"/>
      <c r="AZ502" s="30">
        <f>SUM(AZ503:AZ504)</f>
        <v>114570</v>
      </c>
      <c r="BA502" s="30"/>
      <c r="BB502" s="26">
        <f>SUM(BB503:BB504)</f>
        <v>562.27</v>
      </c>
    </row>
    <row r="503" spans="1:54" ht="26.1" customHeight="1" x14ac:dyDescent="0.25">
      <c r="A503" s="50" t="s">
        <v>1308</v>
      </c>
      <c r="B503" s="39" t="s">
        <v>972</v>
      </c>
      <c r="C503" s="39" t="s">
        <v>34</v>
      </c>
      <c r="D503" s="39" t="s">
        <v>973</v>
      </c>
      <c r="E503" s="40" t="s">
        <v>974</v>
      </c>
      <c r="F503" s="41">
        <v>1800</v>
      </c>
      <c r="G503" s="42">
        <v>52.3</v>
      </c>
      <c r="H503" s="42">
        <f t="shared" si="6865"/>
        <v>48.15</v>
      </c>
      <c r="I503" s="42">
        <f t="shared" si="6866"/>
        <v>86670</v>
      </c>
      <c r="J503" s="42">
        <f>(TRUNC(H503 * L14,2) + H503)</f>
        <v>57.94</v>
      </c>
      <c r="K503" s="42">
        <f>TRUNC(F503 * J503,2)</f>
        <v>104292</v>
      </c>
      <c r="L503" s="44">
        <f>K503 / L13</f>
        <v>3.596275862068965E-2</v>
      </c>
      <c r="M503" s="45">
        <v>57.94</v>
      </c>
      <c r="N503" s="46">
        <f t="shared" si="6868"/>
        <v>104292</v>
      </c>
      <c r="O503" s="45">
        <v>10</v>
      </c>
      <c r="P503" s="47">
        <f t="shared" si="6869"/>
        <v>579.4</v>
      </c>
      <c r="Q503" s="47"/>
      <c r="R503" s="47">
        <f t="shared" si="6869"/>
        <v>0</v>
      </c>
      <c r="S503" s="47">
        <f t="shared" si="6870"/>
        <v>1810</v>
      </c>
      <c r="T503" s="46">
        <f t="shared" ref="T503:V503" si="7163">TRUNC($M503 * S503,2)</f>
        <v>104871.4</v>
      </c>
      <c r="U503" s="45"/>
      <c r="V503" s="47">
        <f t="shared" si="7163"/>
        <v>0</v>
      </c>
      <c r="W503" s="47"/>
      <c r="X503" s="47">
        <f t="shared" ref="X503" si="7164">TRUNC($M503 * W503,2)</f>
        <v>0</v>
      </c>
      <c r="Y503" s="47"/>
      <c r="Z503" s="47">
        <f t="shared" ref="Z503" si="7165">TRUNC($M503 * Y503,2)</f>
        <v>0</v>
      </c>
      <c r="AA503" s="56">
        <v>1800</v>
      </c>
      <c r="AB503" s="56">
        <f t="shared" ref="AB503" si="7166">TRUNC($M503 * AA503,2)</f>
        <v>104292</v>
      </c>
      <c r="AC503" s="47"/>
      <c r="AD503" s="47">
        <f t="shared" ref="AD503" si="7167">TRUNC($M503 * AC503,2)</f>
        <v>0</v>
      </c>
      <c r="AE503" s="47"/>
      <c r="AF503" s="47">
        <f t="shared" ref="AF503" si="7168">TRUNC($M503 * AE503,2)</f>
        <v>0</v>
      </c>
      <c r="AG503" s="47"/>
      <c r="AH503" s="47">
        <f t="shared" ref="AH503" si="7169">TRUNC($M503 * AG503,2)</f>
        <v>0</v>
      </c>
      <c r="AI503" s="47"/>
      <c r="AJ503" s="47">
        <f t="shared" ref="AJ503" si="7170">TRUNC($M503 * AI503,2)</f>
        <v>0</v>
      </c>
      <c r="AK503" s="47"/>
      <c r="AL503" s="47">
        <f t="shared" ref="AL503" si="7171">TRUNC($M503 * AK503,2)</f>
        <v>0</v>
      </c>
      <c r="AM503" s="47"/>
      <c r="AN503" s="47">
        <f t="shared" ref="AN503" si="7172">TRUNC($M503 * AM503,2)</f>
        <v>0</v>
      </c>
      <c r="AO503" s="47"/>
      <c r="AP503" s="47">
        <f t="shared" ref="AP503" si="7173">TRUNC($M503 * AO503,2)</f>
        <v>0</v>
      </c>
      <c r="AQ503" s="47"/>
      <c r="AR503" s="47">
        <f t="shared" ref="AR503" si="7174">TRUNC($M503 * AQ503,2)</f>
        <v>0</v>
      </c>
      <c r="AS503" s="47"/>
      <c r="AT503" s="47">
        <f t="shared" ref="AT503" si="7175">TRUNC($M503 * AS503,2)</f>
        <v>0</v>
      </c>
      <c r="AU503" s="47"/>
      <c r="AV503" s="47">
        <f t="shared" ref="AV503" si="7176">TRUNC($M503 * AU503,2)</f>
        <v>0</v>
      </c>
      <c r="AW503" s="47"/>
      <c r="AX503" s="46">
        <f t="shared" ref="AX503" si="7177">TRUNC($M503 * AW503,2)</f>
        <v>0</v>
      </c>
      <c r="AY503" s="45">
        <f t="shared" si="6886"/>
        <v>1800</v>
      </c>
      <c r="AZ503" s="47">
        <f t="shared" ref="AZ503" si="7178">TRUNC($M503 * AY503,2)</f>
        <v>104292</v>
      </c>
      <c r="BA503" s="47">
        <f t="shared" si="6888"/>
        <v>10</v>
      </c>
      <c r="BB503" s="46">
        <f t="shared" ref="BB503" si="7179">TRUNC($M503 * BA503,2)</f>
        <v>579.4</v>
      </c>
    </row>
    <row r="504" spans="1:54" ht="24" customHeight="1" x14ac:dyDescent="0.25">
      <c r="A504" s="31" t="s">
        <v>1309</v>
      </c>
      <c r="B504" s="31" t="s">
        <v>975</v>
      </c>
      <c r="C504" s="31" t="s">
        <v>976</v>
      </c>
      <c r="D504" s="31" t="s">
        <v>977</v>
      </c>
      <c r="E504" s="32" t="s">
        <v>51</v>
      </c>
      <c r="F504" s="33">
        <v>1800</v>
      </c>
      <c r="G504" s="34">
        <v>7.38</v>
      </c>
      <c r="H504" s="34">
        <f t="shared" si="6865"/>
        <v>6.79</v>
      </c>
      <c r="I504" s="34">
        <f t="shared" si="6866"/>
        <v>12222</v>
      </c>
      <c r="J504" s="34">
        <f>(TRUNC(H504 * L14,2) + H504)</f>
        <v>8.17</v>
      </c>
      <c r="K504" s="34">
        <f>TRUNC(F504 * J504,2)</f>
        <v>14706</v>
      </c>
      <c r="L504" s="35">
        <f>K504 / L13</f>
        <v>5.0710344827586198E-3</v>
      </c>
      <c r="M504" s="36">
        <v>5.71</v>
      </c>
      <c r="N504" s="37">
        <f t="shared" si="6868"/>
        <v>10278</v>
      </c>
      <c r="O504" s="36"/>
      <c r="P504" s="38">
        <f t="shared" si="6869"/>
        <v>0</v>
      </c>
      <c r="Q504" s="38">
        <v>3</v>
      </c>
      <c r="R504" s="38">
        <f t="shared" si="6869"/>
        <v>17.13</v>
      </c>
      <c r="S504" s="38">
        <f t="shared" si="6870"/>
        <v>1797</v>
      </c>
      <c r="T504" s="37">
        <f t="shared" ref="T504:V504" si="7180">TRUNC($M504 * S504,2)</f>
        <v>10260.870000000001</v>
      </c>
      <c r="U504" s="36"/>
      <c r="V504" s="38">
        <f t="shared" si="7180"/>
        <v>0</v>
      </c>
      <c r="W504" s="38"/>
      <c r="X504" s="38">
        <f t="shared" ref="X504" si="7181">TRUNC($M504 * W504,2)</f>
        <v>0</v>
      </c>
      <c r="Y504" s="38"/>
      <c r="Z504" s="38">
        <f t="shared" ref="Z504" si="7182">TRUNC($M504 * Y504,2)</f>
        <v>0</v>
      </c>
      <c r="AA504" s="55">
        <v>1800</v>
      </c>
      <c r="AB504" s="55">
        <f t="shared" ref="AB504" si="7183">TRUNC($M504 * AA504,2)</f>
        <v>10278</v>
      </c>
      <c r="AC504" s="38"/>
      <c r="AD504" s="38">
        <f t="shared" ref="AD504" si="7184">TRUNC($M504 * AC504,2)</f>
        <v>0</v>
      </c>
      <c r="AE504" s="38"/>
      <c r="AF504" s="38">
        <f t="shared" ref="AF504" si="7185">TRUNC($M504 * AE504,2)</f>
        <v>0</v>
      </c>
      <c r="AG504" s="38"/>
      <c r="AH504" s="38">
        <f t="shared" ref="AH504" si="7186">TRUNC($M504 * AG504,2)</f>
        <v>0</v>
      </c>
      <c r="AI504" s="38"/>
      <c r="AJ504" s="38">
        <f t="shared" ref="AJ504" si="7187">TRUNC($M504 * AI504,2)</f>
        <v>0</v>
      </c>
      <c r="AK504" s="38"/>
      <c r="AL504" s="38">
        <f t="shared" ref="AL504" si="7188">TRUNC($M504 * AK504,2)</f>
        <v>0</v>
      </c>
      <c r="AM504" s="38"/>
      <c r="AN504" s="38">
        <f t="shared" ref="AN504" si="7189">TRUNC($M504 * AM504,2)</f>
        <v>0</v>
      </c>
      <c r="AO504" s="38"/>
      <c r="AP504" s="38">
        <f t="shared" ref="AP504" si="7190">TRUNC($M504 * AO504,2)</f>
        <v>0</v>
      </c>
      <c r="AQ504" s="38"/>
      <c r="AR504" s="38">
        <f t="shared" ref="AR504" si="7191">TRUNC($M504 * AQ504,2)</f>
        <v>0</v>
      </c>
      <c r="AS504" s="38"/>
      <c r="AT504" s="38">
        <f t="shared" ref="AT504" si="7192">TRUNC($M504 * AS504,2)</f>
        <v>0</v>
      </c>
      <c r="AU504" s="38"/>
      <c r="AV504" s="38">
        <f t="shared" ref="AV504" si="7193">TRUNC($M504 * AU504,2)</f>
        <v>0</v>
      </c>
      <c r="AW504" s="38"/>
      <c r="AX504" s="37">
        <f t="shared" ref="AX504" si="7194">TRUNC($M504 * AW504,2)</f>
        <v>0</v>
      </c>
      <c r="AY504" s="36">
        <f t="shared" si="6886"/>
        <v>1800</v>
      </c>
      <c r="AZ504" s="38">
        <f t="shared" ref="AZ504" si="7195">TRUNC($M504 * AY504,2)</f>
        <v>10278</v>
      </c>
      <c r="BA504" s="38">
        <f t="shared" si="6888"/>
        <v>-3</v>
      </c>
      <c r="BB504" s="37">
        <f t="shared" ref="BB504" si="7196">TRUNC($M504 * BA504,2)</f>
        <v>-17.13</v>
      </c>
    </row>
    <row r="505" spans="1:54" ht="24" customHeight="1" x14ac:dyDescent="0.25">
      <c r="A505" s="4">
        <v>24</v>
      </c>
      <c r="B505" s="4" t="s">
        <v>12</v>
      </c>
      <c r="C505" s="4"/>
      <c r="D505" s="4" t="s">
        <v>978</v>
      </c>
      <c r="E505" s="5"/>
      <c r="F505" s="14"/>
      <c r="G505" s="6"/>
      <c r="H505" s="6"/>
      <c r="I505" s="7">
        <f>SUM(I506:I507)</f>
        <v>185650.96</v>
      </c>
      <c r="J505" s="7"/>
      <c r="K505" s="7">
        <f>SUM(K506:K507)</f>
        <v>223411.12</v>
      </c>
      <c r="L505" s="22">
        <f>K505 / L13</f>
        <v>7.70383172413793E-2</v>
      </c>
      <c r="M505" s="25"/>
      <c r="N505" s="26">
        <f>SUM(N506:N507)</f>
        <v>184038.8</v>
      </c>
      <c r="O505" s="25"/>
      <c r="P505" s="30">
        <f>SUM(P506:P507)</f>
        <v>0</v>
      </c>
      <c r="Q505" s="30"/>
      <c r="R505" s="30">
        <f>SUM(R506:R507)</f>
        <v>1335.16</v>
      </c>
      <c r="S505" s="30"/>
      <c r="T505" s="26">
        <f>SUM(T506:T507)</f>
        <v>182703.64</v>
      </c>
      <c r="U505" s="25"/>
      <c r="V505" s="30">
        <f>SUM(V506:V507)</f>
        <v>0</v>
      </c>
      <c r="W505" s="30"/>
      <c r="X505" s="30">
        <f>SUM(X506:X507)</f>
        <v>0</v>
      </c>
      <c r="Y505" s="30"/>
      <c r="Z505" s="30">
        <f>SUM(Z506:Z507)</f>
        <v>0</v>
      </c>
      <c r="AA505" s="30"/>
      <c r="AB505" s="30">
        <f>SUM(AB506:AB507)</f>
        <v>0</v>
      </c>
      <c r="AC505" s="30"/>
      <c r="AD505" s="30">
        <f>SUM(AD506:AD507)</f>
        <v>0</v>
      </c>
      <c r="AE505" s="30"/>
      <c r="AF505" s="30">
        <f>SUM(AF506:AF507)</f>
        <v>0</v>
      </c>
      <c r="AG505" s="30"/>
      <c r="AH505" s="30">
        <f>SUM(AH506:AH507)</f>
        <v>0</v>
      </c>
      <c r="AI505" s="30"/>
      <c r="AJ505" s="30">
        <f>SUM(AJ506:AJ507)</f>
        <v>0</v>
      </c>
      <c r="AK505" s="30"/>
      <c r="AL505" s="30">
        <f>SUM(AL506:AL507)</f>
        <v>0</v>
      </c>
      <c r="AM505" s="30"/>
      <c r="AN505" s="30">
        <f>SUM(AN506:AN507)</f>
        <v>0</v>
      </c>
      <c r="AO505" s="30"/>
      <c r="AP505" s="30">
        <f>SUM(AP506:AP507)</f>
        <v>0</v>
      </c>
      <c r="AQ505" s="30"/>
      <c r="AR505" s="30">
        <f>SUM(AR506:AR507)</f>
        <v>0</v>
      </c>
      <c r="AS505" s="30"/>
      <c r="AT505" s="30">
        <f>SUM(AT506:AT507)</f>
        <v>0</v>
      </c>
      <c r="AU505" s="30"/>
      <c r="AV505" s="30">
        <f>SUM(AV506:AV507)</f>
        <v>0</v>
      </c>
      <c r="AW505" s="30"/>
      <c r="AX505" s="26">
        <f>SUM(AX506:AX507)</f>
        <v>0</v>
      </c>
      <c r="AY505" s="25"/>
      <c r="AZ505" s="30">
        <f>SUM(AZ506:AZ507)</f>
        <v>0</v>
      </c>
      <c r="BA505" s="30"/>
      <c r="BB505" s="26">
        <f>SUM(BB506:BB507)</f>
        <v>182703.64</v>
      </c>
    </row>
    <row r="506" spans="1:54" ht="26.1" customHeight="1" x14ac:dyDescent="0.25">
      <c r="A506" s="31" t="s">
        <v>1310</v>
      </c>
      <c r="B506" s="31" t="s">
        <v>979</v>
      </c>
      <c r="C506" s="31" t="s">
        <v>976</v>
      </c>
      <c r="D506" s="31" t="s">
        <v>980</v>
      </c>
      <c r="E506" s="32" t="s">
        <v>218</v>
      </c>
      <c r="F506" s="33">
        <v>130</v>
      </c>
      <c r="G506" s="34">
        <v>1456.49</v>
      </c>
      <c r="H506" s="34">
        <f t="shared" si="6865"/>
        <v>1341.05</v>
      </c>
      <c r="I506" s="34">
        <f t="shared" si="6866"/>
        <v>174336.5</v>
      </c>
      <c r="J506" s="34">
        <f>(TRUNC(H506 * L14,2) + H506)</f>
        <v>1613.81</v>
      </c>
      <c r="K506" s="34">
        <f>TRUNC(F506 * J506,2)</f>
        <v>209795.3</v>
      </c>
      <c r="L506" s="35">
        <f>K506 / L13</f>
        <v>7.2343206896551715E-2</v>
      </c>
      <c r="M506" s="36">
        <v>1335.16</v>
      </c>
      <c r="N506" s="37">
        <f t="shared" si="6868"/>
        <v>173570.8</v>
      </c>
      <c r="O506" s="36"/>
      <c r="P506" s="38">
        <f t="shared" si="6869"/>
        <v>0</v>
      </c>
      <c r="Q506" s="38">
        <v>1</v>
      </c>
      <c r="R506" s="38">
        <f t="shared" si="6869"/>
        <v>1335.16</v>
      </c>
      <c r="S506" s="38">
        <f t="shared" si="6870"/>
        <v>129</v>
      </c>
      <c r="T506" s="37">
        <f t="shared" ref="T506:V506" si="7197">TRUNC($M506 * S506,2)</f>
        <v>172235.64</v>
      </c>
      <c r="U506" s="36"/>
      <c r="V506" s="38">
        <f t="shared" si="7197"/>
        <v>0</v>
      </c>
      <c r="W506" s="38"/>
      <c r="X506" s="38">
        <f t="shared" ref="X506" si="7198">TRUNC($M506 * W506,2)</f>
        <v>0</v>
      </c>
      <c r="Y506" s="38"/>
      <c r="Z506" s="38">
        <f t="shared" ref="Z506" si="7199">TRUNC($M506 * Y506,2)</f>
        <v>0</v>
      </c>
      <c r="AA506" s="38"/>
      <c r="AB506" s="38">
        <f t="shared" ref="AB506" si="7200">TRUNC($M506 * AA506,2)</f>
        <v>0</v>
      </c>
      <c r="AC506" s="38"/>
      <c r="AD506" s="38">
        <f t="shared" ref="AD506" si="7201">TRUNC($M506 * AC506,2)</f>
        <v>0</v>
      </c>
      <c r="AE506" s="38"/>
      <c r="AF506" s="38">
        <f t="shared" ref="AF506" si="7202">TRUNC($M506 * AE506,2)</f>
        <v>0</v>
      </c>
      <c r="AG506" s="38"/>
      <c r="AH506" s="38">
        <f t="shared" ref="AH506" si="7203">TRUNC($M506 * AG506,2)</f>
        <v>0</v>
      </c>
      <c r="AI506" s="38"/>
      <c r="AJ506" s="38">
        <f t="shared" ref="AJ506" si="7204">TRUNC($M506 * AI506,2)</f>
        <v>0</v>
      </c>
      <c r="AK506" s="38"/>
      <c r="AL506" s="38">
        <f t="shared" ref="AL506" si="7205">TRUNC($M506 * AK506,2)</f>
        <v>0</v>
      </c>
      <c r="AM506" s="38"/>
      <c r="AN506" s="38">
        <f t="shared" ref="AN506" si="7206">TRUNC($M506 * AM506,2)</f>
        <v>0</v>
      </c>
      <c r="AO506" s="38"/>
      <c r="AP506" s="38">
        <f t="shared" ref="AP506" si="7207">TRUNC($M506 * AO506,2)</f>
        <v>0</v>
      </c>
      <c r="AQ506" s="38"/>
      <c r="AR506" s="38">
        <f t="shared" ref="AR506" si="7208">TRUNC($M506 * AQ506,2)</f>
        <v>0</v>
      </c>
      <c r="AS506" s="38"/>
      <c r="AT506" s="38">
        <f t="shared" ref="AT506" si="7209">TRUNC($M506 * AS506,2)</f>
        <v>0</v>
      </c>
      <c r="AU506" s="38"/>
      <c r="AV506" s="38">
        <f t="shared" ref="AV506" si="7210">TRUNC($M506 * AU506,2)</f>
        <v>0</v>
      </c>
      <c r="AW506" s="38"/>
      <c r="AX506" s="37">
        <f t="shared" ref="AX506" si="7211">TRUNC($M506 * AW506,2)</f>
        <v>0</v>
      </c>
      <c r="AY506" s="36">
        <f t="shared" si="6886"/>
        <v>0</v>
      </c>
      <c r="AZ506" s="38">
        <f t="shared" ref="AZ506" si="7212">TRUNC($M506 * AY506,2)</f>
        <v>0</v>
      </c>
      <c r="BA506" s="38">
        <f t="shared" si="6888"/>
        <v>129</v>
      </c>
      <c r="BB506" s="37">
        <f t="shared" ref="BB506" si="7213">TRUNC($M506 * BA506,2)</f>
        <v>172235.64</v>
      </c>
    </row>
    <row r="507" spans="1:54" ht="26.1" customHeight="1" thickBot="1" x14ac:dyDescent="0.3">
      <c r="A507" s="31" t="s">
        <v>1311</v>
      </c>
      <c r="B507" s="31" t="s">
        <v>981</v>
      </c>
      <c r="C507" s="31" t="s">
        <v>976</v>
      </c>
      <c r="D507" s="31" t="s">
        <v>982</v>
      </c>
      <c r="E507" s="32" t="s">
        <v>36</v>
      </c>
      <c r="F507" s="33">
        <v>2</v>
      </c>
      <c r="G507" s="34">
        <v>6144.22</v>
      </c>
      <c r="H507" s="34">
        <f t="shared" si="6865"/>
        <v>5657.23</v>
      </c>
      <c r="I507" s="34">
        <f t="shared" si="6866"/>
        <v>11314.46</v>
      </c>
      <c r="J507" s="34">
        <f>(TRUNC(H507 * L14,2) + H507)</f>
        <v>6807.91</v>
      </c>
      <c r="K507" s="34">
        <f>TRUNC(F507 * J507,2)</f>
        <v>13615.82</v>
      </c>
      <c r="L507" s="35">
        <f>K507 / L13</f>
        <v>4.6951103448275855E-3</v>
      </c>
      <c r="M507" s="51">
        <v>5234</v>
      </c>
      <c r="N507" s="52">
        <f t="shared" si="6868"/>
        <v>10468</v>
      </c>
      <c r="O507" s="51"/>
      <c r="P507" s="53">
        <f t="shared" si="6869"/>
        <v>0</v>
      </c>
      <c r="Q507" s="53"/>
      <c r="R507" s="53">
        <f t="shared" si="6869"/>
        <v>0</v>
      </c>
      <c r="S507" s="53">
        <f t="shared" si="6870"/>
        <v>2</v>
      </c>
      <c r="T507" s="52">
        <f t="shared" ref="T507:V507" si="7214">TRUNC($M507 * S507,2)</f>
        <v>10468</v>
      </c>
      <c r="U507" s="51"/>
      <c r="V507" s="53">
        <f t="shared" si="7214"/>
        <v>0</v>
      </c>
      <c r="W507" s="53"/>
      <c r="X507" s="53">
        <f t="shared" ref="X507" si="7215">TRUNC($M507 * W507,2)</f>
        <v>0</v>
      </c>
      <c r="Y507" s="53"/>
      <c r="Z507" s="53">
        <f t="shared" ref="Z507" si="7216">TRUNC($M507 * Y507,2)</f>
        <v>0</v>
      </c>
      <c r="AA507" s="53"/>
      <c r="AB507" s="53">
        <f t="shared" ref="AB507" si="7217">TRUNC($M507 * AA507,2)</f>
        <v>0</v>
      </c>
      <c r="AC507" s="53"/>
      <c r="AD507" s="53">
        <f t="shared" ref="AD507" si="7218">TRUNC($M507 * AC507,2)</f>
        <v>0</v>
      </c>
      <c r="AE507" s="53"/>
      <c r="AF507" s="53">
        <f t="shared" ref="AF507" si="7219">TRUNC($M507 * AE507,2)</f>
        <v>0</v>
      </c>
      <c r="AG507" s="53"/>
      <c r="AH507" s="53">
        <f t="shared" ref="AH507" si="7220">TRUNC($M507 * AG507,2)</f>
        <v>0</v>
      </c>
      <c r="AI507" s="53"/>
      <c r="AJ507" s="53">
        <f t="shared" ref="AJ507" si="7221">TRUNC($M507 * AI507,2)</f>
        <v>0</v>
      </c>
      <c r="AK507" s="53"/>
      <c r="AL507" s="53">
        <f t="shared" ref="AL507" si="7222">TRUNC($M507 * AK507,2)</f>
        <v>0</v>
      </c>
      <c r="AM507" s="53"/>
      <c r="AN507" s="53">
        <f t="shared" ref="AN507" si="7223">TRUNC($M507 * AM507,2)</f>
        <v>0</v>
      </c>
      <c r="AO507" s="53"/>
      <c r="AP507" s="53">
        <f t="shared" ref="AP507" si="7224">TRUNC($M507 * AO507,2)</f>
        <v>0</v>
      </c>
      <c r="AQ507" s="53"/>
      <c r="AR507" s="53">
        <f t="shared" ref="AR507" si="7225">TRUNC($M507 * AQ507,2)</f>
        <v>0</v>
      </c>
      <c r="AS507" s="53"/>
      <c r="AT507" s="53">
        <f t="shared" ref="AT507" si="7226">TRUNC($M507 * AS507,2)</f>
        <v>0</v>
      </c>
      <c r="AU507" s="53"/>
      <c r="AV507" s="53">
        <f t="shared" ref="AV507" si="7227">TRUNC($M507 * AU507,2)</f>
        <v>0</v>
      </c>
      <c r="AW507" s="53"/>
      <c r="AX507" s="52">
        <f t="shared" ref="AX507" si="7228">TRUNC($M507 * AW507,2)</f>
        <v>0</v>
      </c>
      <c r="AY507" s="51">
        <f t="shared" si="6886"/>
        <v>0</v>
      </c>
      <c r="AZ507" s="53">
        <f t="shared" ref="AZ507" si="7229">TRUNC($M507 * AY507,2)</f>
        <v>0</v>
      </c>
      <c r="BA507" s="53">
        <f t="shared" si="6888"/>
        <v>2</v>
      </c>
      <c r="BB507" s="52">
        <f t="shared" ref="BB507" si="7230">TRUNC($M507 * BA507,2)</f>
        <v>10468</v>
      </c>
    </row>
    <row r="509" spans="1:54" x14ac:dyDescent="0.25">
      <c r="H509" s="65" t="s">
        <v>1315</v>
      </c>
      <c r="I509" s="65"/>
      <c r="J509" s="65"/>
      <c r="K509" s="61">
        <f>SUM(I16,I27,I59,I92,I110,I121,I124,I155,I163,I172,I175,I178,I191,I193,I220,I331,I436,I455,I463,I472,I480,I482,I502,I505)</f>
        <v>2410068.13</v>
      </c>
      <c r="L509" s="61"/>
      <c r="M509" s="61">
        <f>SUM(N16,N27,N59,N92,N110,N121,N124,N155,N163,N172,N175,N178,N191,N193,N220,N331,N436,N455,N463,N472,N480,N482,N502,N505)</f>
        <v>2093275.96</v>
      </c>
      <c r="N509" s="61"/>
      <c r="O509" s="61">
        <f>SUM(P16,P27,P59,P92,P110,P121,P124,P155,P163,P172,P175,P178,P191,P193,P220,P331,P436,P455,P463,P472,P480,P482,P502,P505)</f>
        <v>29900.400000000001</v>
      </c>
      <c r="P509" s="61"/>
      <c r="Q509" s="61">
        <f>SUM(R16,R27,R59,R92,R110,R121,R124,R155,R163,R172,R175,R178,R191,R193,R220,R331,R436,R455,R463,R472,R480,R482,R502,R505)</f>
        <v>1352.2900000000002</v>
      </c>
      <c r="R509" s="61"/>
      <c r="S509" s="61">
        <f>SUM(T16,T27,T59,T92,T110,T121,T124,T155,T163,T172,T175,T178,T191,T193,T220,T331,T436,T455,T463,T472,T480,T482,T502,T505)</f>
        <v>2121824.0699999998</v>
      </c>
      <c r="T509" s="61"/>
      <c r="U509" s="61">
        <f>SUM(V16,V27,V59,V92,V110,V121,V124,V155,V163,V172,V175,V178,V191,V193,V220,V331,V436,V455,V463,V472,V480,V482,V502,V505)</f>
        <v>83286.28</v>
      </c>
      <c r="V509" s="61"/>
      <c r="W509" s="61">
        <f>SUM(X16,X27,X59,X92,X110,X121,X124,X155,X163,X172,X175,X178,X191,X193,X220,X331,X436,X455,X463,X472,X480,X482,X502,X505)</f>
        <v>95921.53</v>
      </c>
      <c r="X509" s="61"/>
      <c r="Y509" s="61">
        <f>SUM(Z16,Z27,Z59,Z92,Z110,Z121,Z124,Z155,Z163,Z172,Z175,Z178,Z191,Z193,Z220,Z331,Z436,Z455,Z463,Z472,Z480,Z482,Z502,Z505)</f>
        <v>61839.839999999997</v>
      </c>
      <c r="Z509" s="61"/>
      <c r="AA509" s="61">
        <f>SUM(AB16,AB27,AB59,AB92,AB110,AB121,AB124,AB155,AB163,AB172,AB175,AB178,AB191,AB193,AB220,AB331,AB436,AB455,AB463,AB472,AB480,AB482,AB502,AB505)</f>
        <v>119846.66</v>
      </c>
      <c r="AB509" s="61"/>
      <c r="AC509" s="61">
        <f>SUM(AD16,AD27,AD59,AD92,AD110,AD121,AD124,AD155,AD163,AD172,AD175,AD178,AD191,AD193,AD220,AD331,AD436,AD455,AD463,AD472,AD480,AD482,AD502,AD505)</f>
        <v>35168.61</v>
      </c>
      <c r="AD509" s="61"/>
      <c r="AE509" s="61">
        <f>SUM(AF16,AF27,AF59,AF92,AF110,AF121,AF124,AF155,AF163,AF172,AF175,AF178,AF191,AF193,AF220,AF331,AF436,AF455,AF463,AF472,AF480,AF482,AF502,AF505)</f>
        <v>73175.25</v>
      </c>
      <c r="AF509" s="61"/>
      <c r="AG509" s="61">
        <f>SUM(AH16,AH27,AH59,AH92,AH110,AH121,AH124,AH155,AH163,AH172,AH175,AH178,AH191,AH193,AH220,AH331,AH436,AH455,AH463,AH472,AH480,AH482,AH502,AH505)</f>
        <v>0</v>
      </c>
      <c r="AH509" s="61"/>
      <c r="AI509" s="61">
        <f>SUM(AJ16,AJ27,AJ59,AJ92,AJ110,AJ121,AJ124,AJ155,AJ163,AJ172,AJ175,AJ178,AJ191,AJ193,AJ220,AJ331,AJ436,AJ455,AJ463,AJ472,AJ480,AJ482,AJ502,AJ505)</f>
        <v>0</v>
      </c>
      <c r="AJ509" s="61"/>
      <c r="AK509" s="61">
        <f>SUM(AL16,AL27,AL59,AL92,AL110,AL121,AL124,AL155,AL163,AL172,AL175,AL178,AL191,AL193,AL220,AL331,AL436,AL455,AL463,AL472,AL480,AL482,AL502,AL505)</f>
        <v>0</v>
      </c>
      <c r="AL509" s="61"/>
      <c r="AM509" s="61">
        <f>SUM(AN16,AN27,AN59,AN92,AN110,AN121,AN124,AN155,AN163,AN172,AN175,AN178,AN191,AN193,AN220,AN331,AN436,AN455,AN463,AN472,AN480,AN482,AN502,AN505)</f>
        <v>0</v>
      </c>
      <c r="AN509" s="61"/>
      <c r="AO509" s="61">
        <f>SUM(AP16,AP27,AP59,AP92,AP110,AP121,AP124,AP155,AP163,AP172,AP175,AP178,AP191,AP193,AP220,AP331,AP436,AP455,AP463,AP472,AP480,AP482,AP502,AP505)</f>
        <v>0</v>
      </c>
      <c r="AP509" s="61"/>
      <c r="AQ509" s="61">
        <f>SUM(AR16,AR27,AR59,AR92,AR110,AR121,AR124,AR155,AR163,AR172,AR175,AR178,AR191,AR193,AR220,AR331,AR436,AR455,AR463,AR472,AR480,AR482,AR502,AR505)</f>
        <v>0</v>
      </c>
      <c r="AR509" s="61"/>
      <c r="AS509" s="61">
        <f>SUM(AT16,AT27,AT59,AT92,AT110,AT121,AT124,AT155,AT163,AT172,AT175,AT178,AT191,AT193,AT220,AT331,AT436,AT455,AT463,AT472,AT480,AT482,AT502,AT505)</f>
        <v>0</v>
      </c>
      <c r="AT509" s="61"/>
      <c r="AU509" s="61">
        <f>SUM(AV16,AV27,AV59,AV92,AV110,AV121,AV124,AV155,AV163,AV172,AV175,AV178,AV191,AV193,AV220,AV331,AV436,AV455,AV463,AV472,AV480,AV482,AV502,AV505)</f>
        <v>0</v>
      </c>
      <c r="AV509" s="61"/>
      <c r="AW509" s="61">
        <f>SUM(AX16,AX27,AX59,AX92,AX110,AX121,AX124,AX155,AX163,AX172,AX175,AX178,AX191,AX193,AX220,AX331,AX436,AX455,AX463,AX472,AX480,AX482,AX502,AX505)</f>
        <v>0</v>
      </c>
      <c r="AX509" s="61"/>
      <c r="AY509" s="61">
        <f>SUM(AZ16,AZ27,AZ59,AZ92,AZ110,AZ121,AZ124,AZ155,AZ163,AZ172,AZ175,AZ178,AZ191,AZ193,AZ220,AZ331,AZ436,AZ455,AZ463,AZ472,AZ480,AZ482,AZ502,AZ505)</f>
        <v>469238.18999999994</v>
      </c>
      <c r="AZ509" s="61"/>
      <c r="BA509" s="61">
        <f>SUM(BB16,BB27,BB59,BB92,BB110,BB121,BB124,BB155,BB163,BB172,BB175,BB178,BB191,BB193,BB220,BB331,BB436,BB455,BB463,BB472,BB480,BB482,BB502,BB505)</f>
        <v>1652585.88</v>
      </c>
      <c r="BB509" s="61"/>
    </row>
    <row r="510" spans="1:54" x14ac:dyDescent="0.25">
      <c r="A510" t="s">
        <v>1371</v>
      </c>
      <c r="H510" s="65" t="s">
        <v>1313</v>
      </c>
      <c r="I510" s="65"/>
      <c r="J510" s="65"/>
      <c r="K510" s="61">
        <f>K511-K509</f>
        <v>489931.87000000058</v>
      </c>
      <c r="L510" s="61"/>
      <c r="M510" s="61"/>
      <c r="N510" s="61"/>
      <c r="O510" s="61"/>
      <c r="P510" s="61"/>
      <c r="Q510" s="61"/>
      <c r="R510" s="61"/>
      <c r="S510" s="61"/>
      <c r="T510" s="61"/>
      <c r="U510" s="62">
        <f>U509/$S$509</f>
        <v>3.9252208124870604E-2</v>
      </c>
      <c r="V510" s="62"/>
      <c r="W510" s="62">
        <f>W509/$S$509</f>
        <v>4.5207108052082758E-2</v>
      </c>
      <c r="X510" s="62"/>
      <c r="Y510" s="62">
        <f>Y509/$S$509</f>
        <v>2.9144659481594063E-2</v>
      </c>
      <c r="Z510" s="62"/>
      <c r="AA510" s="62">
        <f>AA509/$S$509</f>
        <v>5.648284497027127E-2</v>
      </c>
      <c r="AB510" s="62"/>
      <c r="AC510" s="62">
        <f>AC509/$S$509</f>
        <v>1.6574705932146393E-2</v>
      </c>
      <c r="AD510" s="62"/>
      <c r="AE510" s="62">
        <f>AE509/$S$509</f>
        <v>3.448695442501979E-2</v>
      </c>
      <c r="AF510" s="62"/>
      <c r="AG510" s="62">
        <f>AG509/$S$509</f>
        <v>0</v>
      </c>
      <c r="AH510" s="62"/>
      <c r="AI510" s="62">
        <f>AI509/$S$509</f>
        <v>0</v>
      </c>
      <c r="AJ510" s="62"/>
      <c r="AK510" s="62">
        <f>AK509/$S$509</f>
        <v>0</v>
      </c>
      <c r="AL510" s="62"/>
      <c r="AM510" s="62">
        <f>AM509/$S$509</f>
        <v>0</v>
      </c>
      <c r="AN510" s="62"/>
      <c r="AO510" s="62">
        <f>AO509/$S$509</f>
        <v>0</v>
      </c>
      <c r="AP510" s="62"/>
      <c r="AQ510" s="62">
        <f>AQ509/$S$509</f>
        <v>0</v>
      </c>
      <c r="AR510" s="62"/>
      <c r="AS510" s="62">
        <f>AS509/$S$509</f>
        <v>0</v>
      </c>
      <c r="AT510" s="62"/>
      <c r="AU510" s="62">
        <f>AU509/$S$509</f>
        <v>0</v>
      </c>
      <c r="AV510" s="62"/>
      <c r="AW510" s="62">
        <f>AW509/$S$509</f>
        <v>0</v>
      </c>
      <c r="AX510" s="62"/>
      <c r="AY510" s="61"/>
      <c r="AZ510" s="61"/>
      <c r="BA510" s="61"/>
      <c r="BB510" s="61"/>
    </row>
    <row r="511" spans="1:54" x14ac:dyDescent="0.25">
      <c r="H511" s="65" t="s">
        <v>1312</v>
      </c>
      <c r="I511" s="65"/>
      <c r="J511" s="65"/>
      <c r="K511" s="61">
        <f>SUM(K16,K27,K59,K92,K110,K121,K124,K155,K163,K172,K175,K178,K191,K193,K220,K331,K436,K455,K463,K472,K480,K482,K502,K505)</f>
        <v>2900000.0000000005</v>
      </c>
      <c r="L511" s="61"/>
      <c r="M511" s="61"/>
      <c r="N511" s="61"/>
      <c r="O511" s="61"/>
      <c r="P511" s="61"/>
      <c r="Q511" s="61"/>
      <c r="R511" s="61"/>
      <c r="S511" s="61"/>
      <c r="T511" s="61"/>
      <c r="U511" s="62">
        <f>U510</f>
        <v>3.9252208124870604E-2</v>
      </c>
      <c r="V511" s="62"/>
      <c r="W511" s="62">
        <f>W510+U511</f>
        <v>8.4459316176953361E-2</v>
      </c>
      <c r="X511" s="62"/>
      <c r="Y511" s="62">
        <f>Y510+W511</f>
        <v>0.11360397565854742</v>
      </c>
      <c r="Z511" s="62"/>
      <c r="AA511" s="62">
        <f>AA510+Y511</f>
        <v>0.17008682062881869</v>
      </c>
      <c r="AB511" s="62"/>
      <c r="AC511" s="62">
        <f>AC510+AA511</f>
        <v>0.18666152656096507</v>
      </c>
      <c r="AD511" s="62"/>
      <c r="AE511" s="62">
        <f>AE510+AC511</f>
        <v>0.22114848098598486</v>
      </c>
      <c r="AF511" s="62"/>
      <c r="AG511" s="62">
        <f>AG510+AE511</f>
        <v>0.22114848098598486</v>
      </c>
      <c r="AH511" s="62"/>
      <c r="AI511" s="62">
        <f>AI510+AG511</f>
        <v>0.22114848098598486</v>
      </c>
      <c r="AJ511" s="62"/>
      <c r="AK511" s="62">
        <f>AK510+AI511</f>
        <v>0.22114848098598486</v>
      </c>
      <c r="AL511" s="62"/>
      <c r="AM511" s="62">
        <f>AM510+AK511</f>
        <v>0.22114848098598486</v>
      </c>
      <c r="AN511" s="62"/>
      <c r="AO511" s="62">
        <f>AO510+AM511</f>
        <v>0.22114848098598486</v>
      </c>
      <c r="AP511" s="62"/>
      <c r="AQ511" s="62">
        <f>AQ510+AO511</f>
        <v>0.22114848098598486</v>
      </c>
      <c r="AR511" s="62"/>
      <c r="AS511" s="62">
        <f>AS510+AQ511</f>
        <v>0.22114848098598486</v>
      </c>
      <c r="AT511" s="62"/>
      <c r="AU511" s="62">
        <f>AU510+AS511</f>
        <v>0.22114848098598486</v>
      </c>
      <c r="AV511" s="62"/>
      <c r="AW511" s="62">
        <f>AW510+AU511</f>
        <v>0.22114848098598486</v>
      </c>
      <c r="AX511" s="62"/>
      <c r="AY511" s="61"/>
      <c r="AZ511" s="61"/>
      <c r="BA511" s="61"/>
      <c r="BB511" s="61"/>
    </row>
    <row r="512" spans="1:54" x14ac:dyDescent="0.25">
      <c r="O512" s="67">
        <f>M509+O509-Q509</f>
        <v>2121824.0699999998</v>
      </c>
    </row>
    <row r="513" spans="4:13" x14ac:dyDescent="0.25">
      <c r="D513" s="20"/>
    </row>
    <row r="514" spans="4:13" x14ac:dyDescent="0.25">
      <c r="D514" s="15" t="s">
        <v>1326</v>
      </c>
    </row>
    <row r="515" spans="4:13" x14ac:dyDescent="0.25">
      <c r="D515" s="15" t="s">
        <v>1327</v>
      </c>
      <c r="M515">
        <f>M509/K511</f>
        <v>0.72181929655172405</v>
      </c>
    </row>
    <row r="516" spans="4:13" x14ac:dyDescent="0.25">
      <c r="D516" s="15" t="s">
        <v>1328</v>
      </c>
    </row>
    <row r="517" spans="4:13" x14ac:dyDescent="0.25">
      <c r="D517" s="15" t="s">
        <v>1329</v>
      </c>
    </row>
  </sheetData>
  <mergeCells count="104">
    <mergeCell ref="M509:N509"/>
    <mergeCell ref="M510:N510"/>
    <mergeCell ref="M511:N511"/>
    <mergeCell ref="M14:N14"/>
    <mergeCell ref="A5:L5"/>
    <mergeCell ref="A10:L10"/>
    <mergeCell ref="J13:K13"/>
    <mergeCell ref="J14:K14"/>
    <mergeCell ref="K511:L511"/>
    <mergeCell ref="H511:J511"/>
    <mergeCell ref="H510:J510"/>
    <mergeCell ref="K510:L510"/>
    <mergeCell ref="H509:J509"/>
    <mergeCell ref="K509:L509"/>
    <mergeCell ref="S14:T14"/>
    <mergeCell ref="S509:T509"/>
    <mergeCell ref="S510:T510"/>
    <mergeCell ref="S511:T511"/>
    <mergeCell ref="U14:V14"/>
    <mergeCell ref="U509:V509"/>
    <mergeCell ref="U510:V510"/>
    <mergeCell ref="U511:V511"/>
    <mergeCell ref="O14:P14"/>
    <mergeCell ref="O509:P509"/>
    <mergeCell ref="O510:P510"/>
    <mergeCell ref="O511:P511"/>
    <mergeCell ref="Q14:R14"/>
    <mergeCell ref="Q509:R509"/>
    <mergeCell ref="Q510:R510"/>
    <mergeCell ref="Q511:R511"/>
    <mergeCell ref="AA509:AB509"/>
    <mergeCell ref="AA510:AB510"/>
    <mergeCell ref="AA511:AB511"/>
    <mergeCell ref="AC14:AD14"/>
    <mergeCell ref="AC509:AD509"/>
    <mergeCell ref="AC510:AD510"/>
    <mergeCell ref="AC511:AD511"/>
    <mergeCell ref="W509:X509"/>
    <mergeCell ref="W510:X510"/>
    <mergeCell ref="W511:X511"/>
    <mergeCell ref="Y14:Z14"/>
    <mergeCell ref="Y509:Z509"/>
    <mergeCell ref="Y510:Z510"/>
    <mergeCell ref="Y511:Z511"/>
    <mergeCell ref="AY511:AZ511"/>
    <mergeCell ref="BA14:BB14"/>
    <mergeCell ref="BA509:BB509"/>
    <mergeCell ref="BA510:BB510"/>
    <mergeCell ref="BA511:BB511"/>
    <mergeCell ref="AY509:AZ509"/>
    <mergeCell ref="AY510:AZ510"/>
    <mergeCell ref="AM511:AN511"/>
    <mergeCell ref="AO14:AP14"/>
    <mergeCell ref="AO509:AP509"/>
    <mergeCell ref="AO510:AP510"/>
    <mergeCell ref="AO511:AP511"/>
    <mergeCell ref="AM14:AN14"/>
    <mergeCell ref="AM509:AN509"/>
    <mergeCell ref="AM510:AN510"/>
    <mergeCell ref="AQ511:AR511"/>
    <mergeCell ref="AS14:AT14"/>
    <mergeCell ref="AS509:AT509"/>
    <mergeCell ref="AS510:AT510"/>
    <mergeCell ref="AS511:AT511"/>
    <mergeCell ref="AQ509:AR509"/>
    <mergeCell ref="AQ510:AR510"/>
    <mergeCell ref="AU511:AV511"/>
    <mergeCell ref="AW14:AX14"/>
    <mergeCell ref="AW509:AX509"/>
    <mergeCell ref="AW510:AX510"/>
    <mergeCell ref="AW511:AX511"/>
    <mergeCell ref="AU14:AV14"/>
    <mergeCell ref="AU509:AV509"/>
    <mergeCell ref="AU510:AV510"/>
    <mergeCell ref="W12:X12"/>
    <mergeCell ref="W13:X13"/>
    <mergeCell ref="U12:V12"/>
    <mergeCell ref="U13:V13"/>
    <mergeCell ref="AI510:AJ510"/>
    <mergeCell ref="AI511:AJ511"/>
    <mergeCell ref="AK14:AL14"/>
    <mergeCell ref="AK509:AL509"/>
    <mergeCell ref="AK510:AL510"/>
    <mergeCell ref="AK511:AL511"/>
    <mergeCell ref="AI509:AJ509"/>
    <mergeCell ref="AE509:AF509"/>
    <mergeCell ref="AE510:AF510"/>
    <mergeCell ref="AE511:AF511"/>
    <mergeCell ref="AG14:AH14"/>
    <mergeCell ref="AG509:AH509"/>
    <mergeCell ref="AG510:AH510"/>
    <mergeCell ref="AG511:AH511"/>
    <mergeCell ref="AY14:AZ14"/>
    <mergeCell ref="AQ14:AR14"/>
    <mergeCell ref="AI14:AJ14"/>
    <mergeCell ref="AE14:AF14"/>
    <mergeCell ref="AA14:AB14"/>
    <mergeCell ref="W14:X14"/>
    <mergeCell ref="AA12:AB12"/>
    <mergeCell ref="AA13:AB13"/>
    <mergeCell ref="Y12:Z12"/>
    <mergeCell ref="Y13:Z13"/>
    <mergeCell ref="AC12:AD12"/>
    <mergeCell ref="AC13:AD13"/>
  </mergeCells>
  <phoneticPr fontId="23" type="noConversion"/>
  <pageMargins left="0.51181102362204722" right="0.51181102362204722" top="0.39370078740157483" bottom="0.78740157480314965" header="0.51181102362204722" footer="0.51181102362204722"/>
  <pageSetup paperSize="9" scale="24" fitToHeight="0" orientation="landscape" r:id="rId1"/>
  <headerFoot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Orçamento Sintético</vt:lpstr>
      <vt:lpstr>'Orçamento Sintético'!Area_de_impressao</vt:lpstr>
      <vt:lpstr>'Orçamento Sintético'!Titulos_de_impressao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Secretaria de Obras</cp:lastModifiedBy>
  <cp:revision>0</cp:revision>
  <cp:lastPrinted>2025-07-17T10:50:42Z</cp:lastPrinted>
  <dcterms:created xsi:type="dcterms:W3CDTF">2025-01-16T18:04:24Z</dcterms:created>
  <dcterms:modified xsi:type="dcterms:W3CDTF">2025-11-28T12:38:25Z</dcterms:modified>
</cp:coreProperties>
</file>